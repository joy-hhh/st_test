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wan-Hee Hyeong\Documents\OneDrive\문서\2025 Others\st_test\fs_example\"/>
    </mc:Choice>
  </mc:AlternateContent>
  <bookViews>
    <workbookView xWindow="-120" yWindow="-120" windowWidth="29040" windowHeight="15720" tabRatio="835" activeTab="6"/>
  </bookViews>
  <sheets>
    <sheet name="Info" sheetId="1" r:id="rId1"/>
    <sheet name="CAJE00_투자자본상계" sheetId="2" r:id="rId2"/>
    <sheet name="CAJE01_채권채무제거" sheetId="3" r:id="rId3"/>
    <sheet name="CAJE02_제품미실현이익제거" sheetId="4" r:id="rId4"/>
    <sheet name="CAJE03_상각자산미실현이익제거" sheetId="5" r:id="rId5"/>
    <sheet name="CAJE04_배당조정" sheetId="6" r:id="rId6"/>
    <sheet name="CAJE05_기타손익조정" sheetId="7" r:id="rId7"/>
    <sheet name="CAJE96_취득일차이조정" sheetId="8" r:id="rId8"/>
    <sheet name="CAJE97_법인세조정" sheetId="9" r:id="rId9"/>
    <sheet name="CAJE98_비지배지분조정" sheetId="10" r:id="rId10"/>
    <sheet name="CAJE99_기타조정" sheetId="11" r:id="rId1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6" l="1"/>
</calcChain>
</file>

<file path=xl/sharedStrings.xml><?xml version="1.0" encoding="utf-8"?>
<sst xmlns="http://schemas.openxmlformats.org/spreadsheetml/2006/main" count="262" uniqueCount="57">
  <si>
    <t>회사명</t>
  </si>
  <si>
    <t>당기세율</t>
  </si>
  <si>
    <t>당기지분율</t>
  </si>
  <si>
    <t>모회사</t>
  </si>
  <si>
    <t>자회사A</t>
  </si>
  <si>
    <t>계정코드</t>
  </si>
  <si>
    <t>계정명</t>
  </si>
  <si>
    <t>당기전기</t>
  </si>
  <si>
    <t>금액</t>
  </si>
  <si>
    <t>설명</t>
  </si>
  <si>
    <t>19200</t>
  </si>
  <si>
    <t>종속기업투자</t>
  </si>
  <si>
    <t>취득일</t>
  </si>
  <si>
    <t>자회사A 투자금액 제거</t>
  </si>
  <si>
    <t>33100</t>
  </si>
  <si>
    <t>자본금</t>
  </si>
  <si>
    <t>자회사A 자본금 제거</t>
  </si>
  <si>
    <t>10800</t>
  </si>
  <si>
    <t>매출채권</t>
  </si>
  <si>
    <t>자회사A에 대한 매출채권 제거</t>
  </si>
  <si>
    <t>25100</t>
  </si>
  <si>
    <t>매입채무</t>
  </si>
  <si>
    <t>모회사에 대한 매입채무 제거</t>
  </si>
  <si>
    <t>당기</t>
  </si>
  <si>
    <t>45500</t>
  </si>
  <si>
    <t>매출원가</t>
  </si>
  <si>
    <t>40200</t>
  </si>
  <si>
    <t>매출</t>
  </si>
  <si>
    <t>당기 판매분 매출</t>
  </si>
  <si>
    <t>당기 판매분 매출원가</t>
  </si>
  <si>
    <t>15200</t>
  </si>
  <si>
    <t>제품(재고자산)</t>
  </si>
  <si>
    <t>모회사가 판매한 재고 미실현이익 제거(재고감소)</t>
  </si>
  <si>
    <t>34100</t>
  </si>
  <si>
    <t>주식발행초과금</t>
  </si>
  <si>
    <t>당기</t>
    <phoneticPr fontId="4" type="noConversion"/>
  </si>
  <si>
    <t>지분법적용투자주식</t>
  </si>
  <si>
    <t>전기</t>
  </si>
  <si>
    <t>전기</t>
    <phoneticPr fontId="4" type="noConversion"/>
  </si>
  <si>
    <t>37500</t>
  </si>
  <si>
    <t>이월이익잉여금</t>
  </si>
  <si>
    <t>34040</t>
  </si>
  <si>
    <t>지분법기타포괄손익</t>
  </si>
  <si>
    <t>91800</t>
  </si>
  <si>
    <t>지분법이익</t>
  </si>
  <si>
    <t>SDB_전기 지분법평가</t>
    <phoneticPr fontId="4" type="noConversion"/>
  </si>
  <si>
    <t>SDB_당기 지분법평가</t>
    <phoneticPr fontId="4" type="noConversion"/>
  </si>
  <si>
    <t>인니_전기 지분법평가</t>
    <phoneticPr fontId="4" type="noConversion"/>
  </si>
  <si>
    <t>인니_당기 지분법평가</t>
    <phoneticPr fontId="4" type="noConversion"/>
  </si>
  <si>
    <t>201100</t>
  </si>
  <si>
    <t>비지배지분</t>
  </si>
  <si>
    <t>비지배지분조정</t>
    <phoneticPr fontId="4" type="noConversion"/>
  </si>
  <si>
    <t>비지배지분조정(기말 증자 가정)</t>
    <phoneticPr fontId="4" type="noConversion"/>
  </si>
  <si>
    <t>105200</t>
  </si>
  <si>
    <t>연결자본잉여금조정</t>
  </si>
  <si>
    <t>90300</t>
  </si>
  <si>
    <t>배당금수익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</si>
</sst>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41" fontId="0" fillId="0" borderId="0" xfId="1" applyFont="1" applyAlignment="1"/>
    <xf numFmtId="41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3" sqref="B3"/>
    </sheetView>
  </sheetViews>
  <sheetFormatPr defaultRowHeight="16.5" x14ac:dyDescent="0.3"/>
  <cols>
    <col min="1" max="3" width="2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>
        <v>0.2</v>
      </c>
      <c r="C2">
        <v>1</v>
      </c>
    </row>
    <row r="3" spans="1:3" x14ac:dyDescent="0.3">
      <c r="A3" s="2" t="s">
        <v>4</v>
      </c>
      <c r="B3">
        <v>0.18</v>
      </c>
      <c r="C3">
        <v>0.55000000000000004</v>
      </c>
    </row>
    <row r="4" spans="1:3" x14ac:dyDescent="0.3">
      <c r="A4" s="2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34" sqref="F34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10</v>
      </c>
      <c r="C2" t="s">
        <v>11</v>
      </c>
      <c r="D2" t="s">
        <v>12</v>
      </c>
      <c r="E2" s="3">
        <v>1179726013</v>
      </c>
      <c r="F2" t="s">
        <v>13</v>
      </c>
    </row>
    <row r="3" spans="1:6" x14ac:dyDescent="0.3">
      <c r="A3" t="s">
        <v>4</v>
      </c>
      <c r="B3" t="s">
        <v>14</v>
      </c>
      <c r="C3" t="s">
        <v>15</v>
      </c>
      <c r="D3" t="s">
        <v>12</v>
      </c>
      <c r="E3" s="3">
        <v>5898630</v>
      </c>
      <c r="F3" t="s">
        <v>16</v>
      </c>
    </row>
    <row r="4" spans="1:6" x14ac:dyDescent="0.3">
      <c r="A4" t="s">
        <v>4</v>
      </c>
      <c r="B4" t="s">
        <v>33</v>
      </c>
      <c r="C4" t="s">
        <v>34</v>
      </c>
      <c r="D4" t="s">
        <v>12</v>
      </c>
      <c r="E4" s="3">
        <v>1173827383</v>
      </c>
      <c r="F4" t="s">
        <v>16</v>
      </c>
    </row>
    <row r="5" spans="1:6" x14ac:dyDescent="0.3">
      <c r="A5" t="s">
        <v>3</v>
      </c>
      <c r="B5" t="s">
        <v>10</v>
      </c>
      <c r="C5" t="s">
        <v>11</v>
      </c>
      <c r="D5" t="s">
        <v>35</v>
      </c>
      <c r="E5" s="3">
        <v>546100000</v>
      </c>
      <c r="F5" t="s">
        <v>13</v>
      </c>
    </row>
    <row r="6" spans="1:6" x14ac:dyDescent="0.3">
      <c r="A6" t="s">
        <v>4</v>
      </c>
      <c r="B6" t="s">
        <v>33</v>
      </c>
      <c r="C6" t="s">
        <v>34</v>
      </c>
      <c r="D6" t="s">
        <v>35</v>
      </c>
      <c r="E6" s="3">
        <v>1092200000</v>
      </c>
      <c r="F6" t="s">
        <v>16</v>
      </c>
    </row>
    <row r="7" spans="1:6" x14ac:dyDescent="0.3">
      <c r="A7" t="s">
        <v>3</v>
      </c>
      <c r="B7" t="s">
        <v>49</v>
      </c>
      <c r="C7" t="s">
        <v>50</v>
      </c>
      <c r="D7" t="s">
        <v>35</v>
      </c>
      <c r="E7" s="3">
        <v>-546100000</v>
      </c>
      <c r="F7" t="s">
        <v>51</v>
      </c>
    </row>
    <row r="8" spans="1:6" x14ac:dyDescent="0.3">
      <c r="A8" t="s">
        <v>3</v>
      </c>
      <c r="B8" t="s">
        <v>49</v>
      </c>
      <c r="C8" t="s">
        <v>50</v>
      </c>
      <c r="D8" t="s">
        <v>35</v>
      </c>
      <c r="E8" s="3">
        <v>5116505</v>
      </c>
      <c r="F8" t="s">
        <v>52</v>
      </c>
    </row>
    <row r="9" spans="1:6" x14ac:dyDescent="0.3">
      <c r="A9" t="s">
        <v>3</v>
      </c>
      <c r="B9" t="s">
        <v>53</v>
      </c>
      <c r="C9" t="s">
        <v>54</v>
      </c>
      <c r="D9" t="s">
        <v>35</v>
      </c>
      <c r="E9" s="4">
        <v>-5116505</v>
      </c>
      <c r="F9" t="s">
        <v>52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C4" sqref="C4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17</v>
      </c>
      <c r="C2" t="s">
        <v>18</v>
      </c>
      <c r="D2" t="s">
        <v>23</v>
      </c>
      <c r="E2" s="3">
        <v>140479840</v>
      </c>
      <c r="F2" t="s">
        <v>19</v>
      </c>
    </row>
    <row r="3" spans="1:6" x14ac:dyDescent="0.3">
      <c r="A3" t="s">
        <v>4</v>
      </c>
      <c r="B3" t="s">
        <v>20</v>
      </c>
      <c r="C3" t="s">
        <v>21</v>
      </c>
      <c r="D3" t="s">
        <v>23</v>
      </c>
      <c r="E3" s="3">
        <v>140479840</v>
      </c>
      <c r="F3" t="s">
        <v>22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A2:A99999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D2" sqref="A2:XFD3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26</v>
      </c>
      <c r="C2" t="s">
        <v>27</v>
      </c>
      <c r="D2" t="s">
        <v>23</v>
      </c>
      <c r="E2" s="3">
        <v>327302099</v>
      </c>
      <c r="F2" t="s">
        <v>28</v>
      </c>
    </row>
    <row r="3" spans="1:6" x14ac:dyDescent="0.3">
      <c r="A3" t="s">
        <v>3</v>
      </c>
      <c r="B3" t="s">
        <v>24</v>
      </c>
      <c r="C3" t="s">
        <v>25</v>
      </c>
      <c r="D3" t="s">
        <v>23</v>
      </c>
      <c r="E3" s="3">
        <v>286663169</v>
      </c>
      <c r="F3" t="s">
        <v>29</v>
      </c>
    </row>
    <row r="4" spans="1:6" x14ac:dyDescent="0.3">
      <c r="A4" t="s">
        <v>4</v>
      </c>
      <c r="B4" t="s">
        <v>30</v>
      </c>
      <c r="C4" t="s">
        <v>31</v>
      </c>
      <c r="D4" t="s">
        <v>23</v>
      </c>
      <c r="E4" s="3">
        <v>40638930</v>
      </c>
      <c r="F4" t="s">
        <v>32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A2:A99999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6" sqref="G6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E10" sqref="E10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 t="s">
        <v>3</v>
      </c>
      <c r="B2" t="s">
        <v>55</v>
      </c>
      <c r="C2" t="s">
        <v>56</v>
      </c>
      <c r="D2" t="s">
        <v>35</v>
      </c>
      <c r="E2" s="3">
        <v>179520000</v>
      </c>
    </row>
    <row r="3" spans="1:6" x14ac:dyDescent="0.3">
      <c r="A3" t="s">
        <v>4</v>
      </c>
      <c r="B3" t="s">
        <v>39</v>
      </c>
      <c r="C3" t="s">
        <v>40</v>
      </c>
      <c r="D3" t="s">
        <v>35</v>
      </c>
      <c r="E3" s="3">
        <v>-359040000</v>
      </c>
    </row>
    <row r="4" spans="1:6" x14ac:dyDescent="0.3">
      <c r="A4" t="s">
        <v>3</v>
      </c>
      <c r="B4" t="s">
        <v>49</v>
      </c>
      <c r="C4" t="s">
        <v>50</v>
      </c>
      <c r="D4" t="s">
        <v>35</v>
      </c>
      <c r="E4" s="4">
        <f>E2</f>
        <v>179520000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A2" sqref="A2"/>
    </sheetView>
  </sheetViews>
  <sheetFormatPr defaultRowHeight="16.5" x14ac:dyDescent="0.3"/>
  <cols>
    <col min="1" max="6" width="20" customWidth="1"/>
    <col min="9" max="9" width="13" bestFit="1" customWidth="1"/>
  </cols>
  <sheetData>
    <row r="1" spans="1:9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9" x14ac:dyDescent="0.3">
      <c r="A2" t="s">
        <v>3</v>
      </c>
      <c r="B2" t="s">
        <v>10</v>
      </c>
      <c r="C2" t="s">
        <v>36</v>
      </c>
      <c r="D2" t="s">
        <v>38</v>
      </c>
      <c r="E2" s="3">
        <v>158512516</v>
      </c>
      <c r="F2" t="s">
        <v>45</v>
      </c>
      <c r="I2" s="4"/>
    </row>
    <row r="3" spans="1:9" x14ac:dyDescent="0.3">
      <c r="A3" t="s">
        <v>3</v>
      </c>
      <c r="B3" t="s">
        <v>39</v>
      </c>
      <c r="C3" t="s">
        <v>40</v>
      </c>
      <c r="D3" t="s">
        <v>38</v>
      </c>
      <c r="E3" s="3">
        <v>158512516</v>
      </c>
      <c r="F3" t="s">
        <v>45</v>
      </c>
      <c r="I3" s="4"/>
    </row>
    <row r="4" spans="1:9" x14ac:dyDescent="0.3">
      <c r="A4" t="s">
        <v>3</v>
      </c>
      <c r="B4" t="s">
        <v>10</v>
      </c>
      <c r="C4" t="s">
        <v>36</v>
      </c>
      <c r="D4" t="s">
        <v>38</v>
      </c>
      <c r="E4" s="3">
        <v>209382</v>
      </c>
      <c r="F4" t="s">
        <v>45</v>
      </c>
    </row>
    <row r="5" spans="1:9" x14ac:dyDescent="0.3">
      <c r="A5" t="s">
        <v>3</v>
      </c>
      <c r="B5" t="s">
        <v>39</v>
      </c>
      <c r="C5" t="s">
        <v>40</v>
      </c>
      <c r="D5" t="s">
        <v>38</v>
      </c>
      <c r="E5" s="3">
        <v>209382</v>
      </c>
      <c r="F5" t="s">
        <v>45</v>
      </c>
    </row>
    <row r="6" spans="1:9" x14ac:dyDescent="0.3">
      <c r="A6" t="s">
        <v>3</v>
      </c>
      <c r="B6" t="s">
        <v>10</v>
      </c>
      <c r="C6" t="s">
        <v>36</v>
      </c>
      <c r="D6" t="s">
        <v>38</v>
      </c>
      <c r="E6" s="3">
        <v>24667298</v>
      </c>
      <c r="F6" t="s">
        <v>45</v>
      </c>
    </row>
    <row r="7" spans="1:9" x14ac:dyDescent="0.3">
      <c r="A7" t="s">
        <v>3</v>
      </c>
      <c r="B7" t="s">
        <v>41</v>
      </c>
      <c r="C7" t="s">
        <v>42</v>
      </c>
      <c r="D7" t="s">
        <v>38</v>
      </c>
      <c r="E7" s="3">
        <v>24667298</v>
      </c>
      <c r="F7" t="s">
        <v>45</v>
      </c>
    </row>
    <row r="8" spans="1:9" x14ac:dyDescent="0.3">
      <c r="A8" t="s">
        <v>3</v>
      </c>
      <c r="B8" t="s">
        <v>10</v>
      </c>
      <c r="C8" t="s">
        <v>36</v>
      </c>
      <c r="D8" t="s">
        <v>38</v>
      </c>
      <c r="E8" s="3">
        <v>8072230</v>
      </c>
      <c r="F8" t="s">
        <v>45</v>
      </c>
    </row>
    <row r="9" spans="1:9" x14ac:dyDescent="0.3">
      <c r="A9" t="s">
        <v>3</v>
      </c>
      <c r="B9" t="s">
        <v>41</v>
      </c>
      <c r="C9" t="s">
        <v>42</v>
      </c>
      <c r="D9" t="s">
        <v>38</v>
      </c>
      <c r="E9" s="3">
        <v>8072230</v>
      </c>
      <c r="F9" t="s">
        <v>45</v>
      </c>
    </row>
    <row r="10" spans="1:9" x14ac:dyDescent="0.3">
      <c r="A10" t="s">
        <v>3</v>
      </c>
      <c r="B10" t="s">
        <v>10</v>
      </c>
      <c r="C10" t="s">
        <v>36</v>
      </c>
      <c r="D10" t="s">
        <v>35</v>
      </c>
      <c r="E10" s="3">
        <v>-142445935200</v>
      </c>
      <c r="F10" t="s">
        <v>46</v>
      </c>
    </row>
    <row r="11" spans="1:9" x14ac:dyDescent="0.3">
      <c r="A11" t="s">
        <v>3</v>
      </c>
      <c r="B11" t="s">
        <v>43</v>
      </c>
      <c r="C11" t="s">
        <v>44</v>
      </c>
      <c r="D11" t="s">
        <v>35</v>
      </c>
      <c r="E11" s="4">
        <v>-142445935200</v>
      </c>
      <c r="F11" t="s">
        <v>46</v>
      </c>
    </row>
    <row r="12" spans="1:9" x14ac:dyDescent="0.3">
      <c r="A12" t="s">
        <v>3</v>
      </c>
      <c r="B12" t="s">
        <v>10</v>
      </c>
      <c r="C12" t="s">
        <v>36</v>
      </c>
      <c r="D12" t="s">
        <v>35</v>
      </c>
      <c r="E12" s="3">
        <v>3869106</v>
      </c>
      <c r="F12" t="s">
        <v>46</v>
      </c>
    </row>
    <row r="13" spans="1:9" x14ac:dyDescent="0.3">
      <c r="A13" t="s">
        <v>3</v>
      </c>
      <c r="B13" t="s">
        <v>39</v>
      </c>
      <c r="C13" t="s">
        <v>40</v>
      </c>
      <c r="D13" t="s">
        <v>35</v>
      </c>
      <c r="E13" s="3">
        <v>3869106</v>
      </c>
      <c r="F13" t="s">
        <v>46</v>
      </c>
    </row>
    <row r="14" spans="1:9" x14ac:dyDescent="0.3">
      <c r="A14" t="s">
        <v>3</v>
      </c>
      <c r="B14" t="s">
        <v>10</v>
      </c>
      <c r="C14" t="s">
        <v>36</v>
      </c>
      <c r="D14" t="s">
        <v>35</v>
      </c>
      <c r="E14" s="3">
        <v>-533640104</v>
      </c>
      <c r="F14" t="s">
        <v>46</v>
      </c>
    </row>
    <row r="15" spans="1:9" x14ac:dyDescent="0.3">
      <c r="A15" t="s">
        <v>3</v>
      </c>
      <c r="B15" t="s">
        <v>41</v>
      </c>
      <c r="C15" t="s">
        <v>42</v>
      </c>
      <c r="D15" t="s">
        <v>35</v>
      </c>
      <c r="E15" s="3">
        <v>-533640104</v>
      </c>
      <c r="F15" t="s">
        <v>46</v>
      </c>
    </row>
    <row r="16" spans="1:9" x14ac:dyDescent="0.3">
      <c r="A16" t="s">
        <v>3</v>
      </c>
      <c r="B16" t="s">
        <v>10</v>
      </c>
      <c r="C16" t="s">
        <v>36</v>
      </c>
      <c r="D16" t="s">
        <v>35</v>
      </c>
      <c r="E16" s="3">
        <v>798903977</v>
      </c>
      <c r="F16" t="s">
        <v>46</v>
      </c>
    </row>
    <row r="17" spans="1:6" x14ac:dyDescent="0.3">
      <c r="A17" t="s">
        <v>3</v>
      </c>
      <c r="B17" t="s">
        <v>41</v>
      </c>
      <c r="C17" t="s">
        <v>42</v>
      </c>
      <c r="D17" t="s">
        <v>35</v>
      </c>
      <c r="E17" s="3">
        <v>798903977</v>
      </c>
      <c r="F17" t="s">
        <v>46</v>
      </c>
    </row>
    <row r="18" spans="1:6" x14ac:dyDescent="0.3">
      <c r="A18" t="s">
        <v>3</v>
      </c>
      <c r="B18" t="s">
        <v>10</v>
      </c>
      <c r="C18" t="s">
        <v>36</v>
      </c>
      <c r="D18" t="s">
        <v>38</v>
      </c>
      <c r="E18" s="3">
        <v>22081943</v>
      </c>
      <c r="F18" t="s">
        <v>47</v>
      </c>
    </row>
    <row r="19" spans="1:6" x14ac:dyDescent="0.3">
      <c r="A19" t="s">
        <v>3</v>
      </c>
      <c r="B19" t="s">
        <v>39</v>
      </c>
      <c r="C19" t="s">
        <v>40</v>
      </c>
      <c r="D19" t="s">
        <v>37</v>
      </c>
      <c r="E19" s="3">
        <v>22081943</v>
      </c>
      <c r="F19" t="s">
        <v>47</v>
      </c>
    </row>
    <row r="20" spans="1:6" x14ac:dyDescent="0.3">
      <c r="A20" t="s">
        <v>3</v>
      </c>
      <c r="B20" t="s">
        <v>10</v>
      </c>
      <c r="C20" t="s">
        <v>36</v>
      </c>
      <c r="D20" t="s">
        <v>38</v>
      </c>
      <c r="E20" s="3">
        <v>22725883</v>
      </c>
      <c r="F20" t="s">
        <v>47</v>
      </c>
    </row>
    <row r="21" spans="1:6" x14ac:dyDescent="0.3">
      <c r="A21" t="s">
        <v>3</v>
      </c>
      <c r="B21" t="s">
        <v>41</v>
      </c>
      <c r="C21" t="s">
        <v>42</v>
      </c>
      <c r="D21" t="s">
        <v>37</v>
      </c>
      <c r="E21" s="3">
        <v>22725883</v>
      </c>
      <c r="F21" t="s">
        <v>47</v>
      </c>
    </row>
    <row r="22" spans="1:6" x14ac:dyDescent="0.3">
      <c r="A22" t="s">
        <v>3</v>
      </c>
      <c r="B22" t="s">
        <v>10</v>
      </c>
      <c r="C22" t="s">
        <v>36</v>
      </c>
      <c r="D22" t="s">
        <v>35</v>
      </c>
      <c r="E22" s="3">
        <v>-124772716</v>
      </c>
      <c r="F22" t="s">
        <v>48</v>
      </c>
    </row>
    <row r="23" spans="1:6" x14ac:dyDescent="0.3">
      <c r="A23" t="s">
        <v>3</v>
      </c>
      <c r="B23" t="s">
        <v>43</v>
      </c>
      <c r="C23" t="s">
        <v>44</v>
      </c>
      <c r="D23" t="s">
        <v>35</v>
      </c>
      <c r="E23" s="3">
        <v>-124772716</v>
      </c>
      <c r="F23" t="s">
        <v>48</v>
      </c>
    </row>
    <row r="24" spans="1:6" x14ac:dyDescent="0.3">
      <c r="A24" t="s">
        <v>3</v>
      </c>
      <c r="B24" t="s">
        <v>10</v>
      </c>
      <c r="C24" t="s">
        <v>36</v>
      </c>
      <c r="D24" t="s">
        <v>35</v>
      </c>
      <c r="E24" s="3">
        <v>274715975</v>
      </c>
      <c r="F24" t="s">
        <v>48</v>
      </c>
    </row>
    <row r="25" spans="1:6" x14ac:dyDescent="0.3">
      <c r="A25" t="s">
        <v>3</v>
      </c>
      <c r="B25" t="s">
        <v>41</v>
      </c>
      <c r="C25" t="s">
        <v>42</v>
      </c>
      <c r="D25" t="s">
        <v>35</v>
      </c>
      <c r="E25" s="3">
        <v>274715975</v>
      </c>
      <c r="F25" t="s">
        <v>48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A2:A16 A17:A99991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9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A2" sqref="A2:F3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A2" sqref="A2:F35"/>
    </sheetView>
  </sheetViews>
  <sheetFormatPr defaultRowHeight="16.5" x14ac:dyDescent="0.3"/>
  <cols>
    <col min="1" max="6" width="20" customWidth="1"/>
  </cols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E2" s="3"/>
    </row>
    <row r="3" spans="1:6" x14ac:dyDescent="0.3">
      <c r="E3" s="3"/>
    </row>
    <row r="4" spans="1:6" x14ac:dyDescent="0.3">
      <c r="E4" s="3"/>
    </row>
    <row r="5" spans="1:6" x14ac:dyDescent="0.3">
      <c r="E5" s="3"/>
    </row>
    <row r="6" spans="1:6" x14ac:dyDescent="0.3">
      <c r="E6" s="3"/>
    </row>
    <row r="7" spans="1:6" x14ac:dyDescent="0.3">
      <c r="E7" s="3"/>
    </row>
    <row r="8" spans="1:6" x14ac:dyDescent="0.3">
      <c r="E8" s="3"/>
    </row>
    <row r="9" spans="1:6" x14ac:dyDescent="0.3">
      <c r="E9" s="3"/>
    </row>
    <row r="10" spans="1:6" x14ac:dyDescent="0.3">
      <c r="E10" s="3"/>
    </row>
    <row r="11" spans="1:6" x14ac:dyDescent="0.3">
      <c r="E11" s="4"/>
    </row>
    <row r="12" spans="1:6" x14ac:dyDescent="0.3">
      <c r="E12" s="3"/>
    </row>
    <row r="13" spans="1:6" x14ac:dyDescent="0.3">
      <c r="E13" s="3"/>
    </row>
    <row r="14" spans="1:6" x14ac:dyDescent="0.3">
      <c r="E14" s="3"/>
    </row>
    <row r="15" spans="1:6" x14ac:dyDescent="0.3">
      <c r="E15" s="3"/>
    </row>
    <row r="16" spans="1:6" x14ac:dyDescent="0.3">
      <c r="E16" s="3"/>
    </row>
    <row r="17" spans="5:5" x14ac:dyDescent="0.3">
      <c r="E17" s="3"/>
    </row>
    <row r="18" spans="5:5" x14ac:dyDescent="0.3">
      <c r="E18" s="3"/>
    </row>
    <row r="19" spans="5:5" x14ac:dyDescent="0.3">
      <c r="E19" s="3"/>
    </row>
    <row r="20" spans="5:5" x14ac:dyDescent="0.3">
      <c r="E20" s="3"/>
    </row>
    <row r="21" spans="5:5" x14ac:dyDescent="0.3">
      <c r="E21" s="3"/>
    </row>
    <row r="22" spans="5:5" x14ac:dyDescent="0.3">
      <c r="E22" s="3"/>
    </row>
    <row r="23" spans="5:5" x14ac:dyDescent="0.3">
      <c r="E23" s="3"/>
    </row>
    <row r="24" spans="5:5" x14ac:dyDescent="0.3">
      <c r="E24" s="3"/>
    </row>
    <row r="25" spans="5:5" x14ac:dyDescent="0.3">
      <c r="E25" s="3"/>
    </row>
    <row r="26" spans="5:5" x14ac:dyDescent="0.3">
      <c r="E26" s="3"/>
    </row>
    <row r="27" spans="5:5" x14ac:dyDescent="0.3">
      <c r="E27" s="3"/>
    </row>
    <row r="28" spans="5:5" x14ac:dyDescent="0.3">
      <c r="E28" s="3"/>
    </row>
    <row r="29" spans="5:5" x14ac:dyDescent="0.3">
      <c r="E29" s="3"/>
    </row>
    <row r="30" spans="5:5" x14ac:dyDescent="0.3">
      <c r="E30" s="3"/>
    </row>
    <row r="31" spans="5:5" x14ac:dyDescent="0.3">
      <c r="E31" s="3"/>
    </row>
    <row r="32" spans="5:5" x14ac:dyDescent="0.3">
      <c r="E32" s="3"/>
    </row>
    <row r="33" spans="5:5" x14ac:dyDescent="0.3">
      <c r="E33" s="3"/>
    </row>
    <row r="34" spans="5:5" x14ac:dyDescent="0.3">
      <c r="E34" s="3"/>
    </row>
    <row r="35" spans="5:5" x14ac:dyDescent="0.3">
      <c r="E35" s="3"/>
    </row>
  </sheetData>
  <phoneticPr fontId="4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잘못된 입력" error="목록에 있는 값만 입력할 수 있습니다." promptTitle="회사명 선택" prompt="목록에서 회사명을 선택하세요.">
          <x14:formula1>
            <xm:f>Info!$A$2:$A$4</xm:f>
          </x14:formula1>
          <xm:sqref>A2:A100001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Info</vt:lpstr>
      <vt:lpstr>CAJE00_투자자본상계</vt:lpstr>
      <vt:lpstr>CAJE01_채권채무제거</vt:lpstr>
      <vt:lpstr>CAJE02_제품미실현이익제거</vt:lpstr>
      <vt:lpstr>CAJE03_상각자산미실현이익제거</vt:lpstr>
      <vt:lpstr>CAJE04_배당조정</vt:lpstr>
      <vt:lpstr>CAJE05_기타손익조정</vt:lpstr>
      <vt:lpstr>CAJE96_취득일차이조정</vt:lpstr>
      <vt:lpstr>CAJE97_법인세조정</vt:lpstr>
      <vt:lpstr>CAJE98_비지배지분조정</vt:lpstr>
      <vt:lpstr>CAJE99_기타조정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Hwan-Hee Hyeong</cp:lastModifiedBy>
  <dcterms:created xsi:type="dcterms:W3CDTF">2025-09-05T02:20:29Z</dcterms:created>
  <dcterms:modified xsi:type="dcterms:W3CDTF">2025-09-15T07:36:56Z</dcterms:modified>
</cp:coreProperties>
</file>