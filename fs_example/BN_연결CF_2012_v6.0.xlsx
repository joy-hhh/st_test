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toffice3651000358-my.sharepoint.com/personal/hjshin_rsmkr_kr/Documents/이전 법인 backup/삼화회계법인/업무/2.비감사업무/1.IFRS 컨버전 및 PA/2.바이오노트/2020/연결 CF/"/>
    </mc:Choice>
  </mc:AlternateContent>
  <xr:revisionPtr revIDLastSave="15" documentId="13_ncr:1_{2738FF9B-79B9-4BDF-B377-72A2DEF56743}" xr6:coauthVersionLast="47" xr6:coauthVersionMax="47" xr10:uidLastSave="{09376F95-BD4E-48E7-AE94-8EA8824B2A9C}"/>
  <bookViews>
    <workbookView xWindow="-120" yWindow="-120" windowWidth="29040" windowHeight="15720" tabRatio="928" activeTab="3" xr2:uid="{FCF4F78C-DC25-4F93-9EA4-68AFCF650CFC}"/>
  </bookViews>
  <sheets>
    <sheet name="FX" sheetId="2" r:id="rId1"/>
    <sheet name="A-1. 별도FS_18" sheetId="1" r:id="rId2"/>
    <sheet name="A-1. 별도FS_19" sheetId="4" r:id="rId3"/>
    <sheet name="A-1. 별도FS_20" sheetId="23" r:id="rId4"/>
    <sheet name="C.연결조정 정산표_20" sheetId="5" r:id="rId5"/>
    <sheet name="공시CF" sheetId="18" r:id="rId6"/>
    <sheet name="B.연결조정분개 요약표" sheetId="22" r:id="rId7"/>
    <sheet name="CFwp_Aggregated" sheetId="17" r:id="rId8"/>
    <sheet name="CFwp_Korea" sheetId="6" r:id="rId9"/>
    <sheet name="CFwp_US_local" sheetId="8" r:id="rId10"/>
    <sheet name="CFwp_US_KRW" sheetId="1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</externalReferences>
  <definedNames>
    <definedName name="_">#REF!</definedName>
    <definedName name="_?">#REF!</definedName>
    <definedName name="_ˆó_ü—Ìˆæ">#REF!</definedName>
    <definedName name="_________jh1" hidden="1">{#N/A,#N/A,FALSE,"Yield";#N/A,#N/A,FALSE,"Loss1";#N/A,#N/A,FALSE,"Loss2";#N/A,#N/A,FALSE,"Hour-Labor(배분)";#N/A,#N/A,FALSE,"Capital Expenditure";#N/A,#N/A,FALSE,"Productivity"}</definedName>
    <definedName name="_________jh3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___jh4" hidden="1">{#N/A,#N/A,FALSE,"Yield";#N/A,#N/A,FALSE,"Loss1";#N/A,#N/A,FALSE,"Loss2";#N/A,#N/A,FALSE,"Hour-Labor(배분)";#N/A,#N/A,FALSE,"Capital Expenditure";#N/A,#N/A,FALSE,"Productivity"}</definedName>
    <definedName name="_________jh5" hidden="1">{#N/A,#N/A,FALSE,"98소지이동TOTvs99.1 (2)";#N/A,#N/A,FALSE,"TOTAL";#N/A,#N/A,FALSE,"98소지이동TOTvs99.1(b) (2)"}</definedName>
    <definedName name="_________RR1" hidden="1">{#N/A,#N/A,FALSE,"98소지이동TOTvs99.1 (2)";#N/A,#N/A,FALSE,"TOTAL";#N/A,#N/A,FALSE,"98소지이동TOTvs99.1(b) (2)"}</definedName>
    <definedName name="_________RR2" hidden="1">{#N/A,#N/A,FALSE,"군산원가";#N/A,#N/A,FALSE,"팀별월별";#N/A,#N/A,FALSE,"타공정대체";#N/A,#N/A,FALSE,"기타경비";#N/A,#N/A,FALSE,"원료";#N/A,#N/A,FALSE,"연료"}</definedName>
    <definedName name="_________RR3" hidden="1">{#N/A,#N/A,FALSE,"군산원가";#N/A,#N/A,FALSE,"팀별월별";#N/A,#N/A,FALSE,"타공정대체";#N/A,#N/A,FALSE,"기타경비";#N/A,#N/A,FALSE,"원료";#N/A,#N/A,FALSE,"연료"}</definedName>
    <definedName name="_________RR4" hidden="1">{#N/A,#N/A,FALSE,"98소지이동TOTvs99.1 (2)";#N/A,#N/A,FALSE,"TOTAL";#N/A,#N/A,FALSE,"98소지이동TOTvs99.1(b) (2)"}</definedName>
    <definedName name="_________RR5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___RR6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_____RR7" hidden="1">{#N/A,#N/A,FALSE,"Yield";#N/A,#N/A,FALSE,"Loss1";#N/A,#N/A,FALSE,"Loss2";#N/A,#N/A,FALSE,"Hour-Labor(배분)";#N/A,#N/A,FALSE,"Capital Expenditure";#N/A,#N/A,FALSE,"Productivity"}</definedName>
    <definedName name="_________RR8" hidden="1">{#N/A,#N/A,FALSE,"98소지이동TOTvs99.1 (2)";#N/A,#N/A,FALSE,"TOTAL";#N/A,#N/A,FALSE,"98소지이동TOTvs99.1(b) (2)"}</definedName>
    <definedName name="_________SS1" hidden="1">{#N/A,#N/A,FALSE,"98소지이동TOTvs99.1 (2)";#N/A,#N/A,FALSE,"TOTAL";#N/A,#N/A,FALSE,"98소지이동TOTvs99.1(b) (2)"}</definedName>
    <definedName name="_________SS10" hidden="1">{#N/A,#N/A,FALSE,"군산원가";#N/A,#N/A,FALSE,"팀별월별";#N/A,#N/A,FALSE,"타공정대체";#N/A,#N/A,FALSE,"기타경비";#N/A,#N/A,FALSE,"원료";#N/A,#N/A,FALSE,"연료"}</definedName>
    <definedName name="_________SS11" hidden="1">{#N/A,#N/A,FALSE,"98소지이동TOTvs99.1 (2)";#N/A,#N/A,FALSE,"TOTAL";#N/A,#N/A,FALSE,"98소지이동TOTvs99.1(b) (2)"}</definedName>
    <definedName name="_________SS12" hidden="1">{#N/A,#N/A,FALSE,"98소지이동TOTvs99.1 (2)";#N/A,#N/A,FALSE,"TOTAL";#N/A,#N/A,FALSE,"98소지이동TOTvs99.1(b) (2)"}</definedName>
    <definedName name="_________SS13" hidden="1">{#N/A,#N/A,FALSE,"98소지이동TOTvs99.1 (2)";#N/A,#N/A,FALSE,"TOTAL";#N/A,#N/A,FALSE,"98소지이동TOTvs99.1(b) (2)"}</definedName>
    <definedName name="_________SS14" hidden="1">{#N/A,#N/A,FALSE,"98소지이동TOTvs99.1 (2)";#N/A,#N/A,FALSE,"TOTAL";#N/A,#N/A,FALSE,"98소지이동TOTvs99.1(b) (2)"}</definedName>
    <definedName name="_________SS15" hidden="1">{#N/A,#N/A,FALSE,"군산원가";#N/A,#N/A,FALSE,"팀별월별";#N/A,#N/A,FALSE,"타공정대체";#N/A,#N/A,FALSE,"기타경비";#N/A,#N/A,FALSE,"원료";#N/A,#N/A,FALSE,"연료"}</definedName>
    <definedName name="_________SS16" hidden="1">{#N/A,#N/A,FALSE,"군산원가";#N/A,#N/A,FALSE,"팀별월별";#N/A,#N/A,FALSE,"타공정대체";#N/A,#N/A,FALSE,"기타경비";#N/A,#N/A,FALSE,"원료";#N/A,#N/A,FALSE,"연료"}</definedName>
    <definedName name="_________SS17" hidden="1">{#N/A,#N/A,FALSE,"군산원가";#N/A,#N/A,FALSE,"팀별월별";#N/A,#N/A,FALSE,"타공정대체";#N/A,#N/A,FALSE,"기타경비";#N/A,#N/A,FALSE,"원료";#N/A,#N/A,FALSE,"연료"}</definedName>
    <definedName name="_________SS18" hidden="1">{#N/A,#N/A,FALSE,"군산원가";#N/A,#N/A,FALSE,"팀별월별";#N/A,#N/A,FALSE,"타공정대체";#N/A,#N/A,FALSE,"기타경비";#N/A,#N/A,FALSE,"원료";#N/A,#N/A,FALSE,"연료"}</definedName>
    <definedName name="_________SS19" hidden="1">{#N/A,#N/A,FALSE,"Yield";#N/A,#N/A,FALSE,"Loss1";#N/A,#N/A,FALSE,"Loss2";#N/A,#N/A,FALSE,"Hour-Labor(배분)";#N/A,#N/A,FALSE,"Capital Expenditure";#N/A,#N/A,FALSE,"Productivity"}</definedName>
    <definedName name="_________SS2" hidden="1">{#N/A,#N/A,FALSE,"98소지이동TOTvs99.1 (2)";#N/A,#N/A,FALSE,"TOTAL";#N/A,#N/A,FALSE,"98소지이동TOTvs99.1(b) (2)"}</definedName>
    <definedName name="_________SS20" hidden="1">{#N/A,#N/A,FALSE,"98소지이동TOTvs99.1 (2)";#N/A,#N/A,FALSE,"TOTAL";#N/A,#N/A,FALSE,"98소지이동TOTvs99.1(b) (2)"}</definedName>
    <definedName name="_________SS21" hidden="1">{#N/A,#N/A,FALSE,"98소지이동TOTvs99.1 (2)";#N/A,#N/A,FALSE,"TOTAL";#N/A,#N/A,FALSE,"98소지이동TOTvs99.1(b) (2)"}</definedName>
    <definedName name="_________SS22" hidden="1">{#N/A,#N/A,FALSE,"Yield";#N/A,#N/A,FALSE,"Loss1";#N/A,#N/A,FALSE,"Loss2";#N/A,#N/A,FALSE,"Hour-Labor(배분)";#N/A,#N/A,FALSE,"Capital Expenditure";#N/A,#N/A,FALSE,"Productivity"}</definedName>
    <definedName name="_________SS23" hidden="1">{#N/A,#N/A,FALSE,"Yield";#N/A,#N/A,FALSE,"Loss1";#N/A,#N/A,FALSE,"Loss2";#N/A,#N/A,FALSE,"Hour-Labor(배분)";#N/A,#N/A,FALSE,"Capital Expenditure";#N/A,#N/A,FALSE,"Productivity"}</definedName>
    <definedName name="_________SS24" hidden="1">{#N/A,#N/A,FALSE,"Yield";#N/A,#N/A,FALSE,"Loss1";#N/A,#N/A,FALSE,"Loss2";#N/A,#N/A,FALSE,"Hour-Labor(배분)";#N/A,#N/A,FALSE,"Capital Expenditure";#N/A,#N/A,FALSE,"Productivity"}</definedName>
    <definedName name="_________SS25" hidden="1">{#N/A,#N/A,FALSE,"98소지이동TOTvs99.1 (2)";#N/A,#N/A,FALSE,"TOTAL";#N/A,#N/A,FALSE,"98소지이동TOTvs99.1(b) (2)"}</definedName>
    <definedName name="_________SS2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___SS27" hidden="1">{#N/A,#N/A,FALSE,"Yield";#N/A,#N/A,FALSE,"Loss1";#N/A,#N/A,FALSE,"Loss2";#N/A,#N/A,FALSE,"Hour-Labor(배분)";#N/A,#N/A,FALSE,"Capital Expenditure";#N/A,#N/A,FALSE,"Productivity"}</definedName>
    <definedName name="_________SS28" hidden="1">{#N/A,#N/A,FALSE,"군산원가";#N/A,#N/A,FALSE,"팀별월별";#N/A,#N/A,FALSE,"타공정대체";#N/A,#N/A,FALSE,"기타경비";#N/A,#N/A,FALSE,"원료";#N/A,#N/A,FALSE,"연료"}</definedName>
    <definedName name="_________SS29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___SS3" hidden="1">{#N/A,#N/A,FALSE,"군산원가";#N/A,#N/A,FALSE,"팀별월별";#N/A,#N/A,FALSE,"타공정대체";#N/A,#N/A,FALSE,"기타경비";#N/A,#N/A,FALSE,"원료";#N/A,#N/A,FALSE,"연료"}</definedName>
    <definedName name="_________SS30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_____SS31" hidden="1">{#N/A,#N/A,FALSE,"Yield";#N/A,#N/A,FALSE,"Loss1";#N/A,#N/A,FALSE,"Loss2";#N/A,#N/A,FALSE,"Hour-Labor(배분)";#N/A,#N/A,FALSE,"Capital Expenditure";#N/A,#N/A,FALSE,"Productivity"}</definedName>
    <definedName name="_________SS32" hidden="1">{#N/A,#N/A,FALSE,"98소지이동TOTvs99.1 (2)";#N/A,#N/A,FALSE,"TOTAL";#N/A,#N/A,FALSE,"98소지이동TOTvs99.1(b) (2)"}</definedName>
    <definedName name="_________SS4" hidden="1">{#N/A,#N/A,FALSE,"군산원가";#N/A,#N/A,FALSE,"팀별월별";#N/A,#N/A,FALSE,"타공정대체";#N/A,#N/A,FALSE,"기타경비";#N/A,#N/A,FALSE,"원료";#N/A,#N/A,FALSE,"연료"}</definedName>
    <definedName name="_________SS5" hidden="1">{#N/A,#N/A,FALSE,"98소지이동TOTvs99.1 (2)";#N/A,#N/A,FALSE,"TOTAL";#N/A,#N/A,FALSE,"98소지이동TOTvs99.1(b) (2)"}</definedName>
    <definedName name="_________SS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___SS7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_____SS8" hidden="1">{#N/A,#N/A,FALSE,"98소지이동TOTvs99.1 (2)";#N/A,#N/A,FALSE,"TOTAL";#N/A,#N/A,FALSE,"98소지이동TOTvs99.1(b) (2)"}</definedName>
    <definedName name="_________SS9" hidden="1">{#N/A,#N/A,FALSE,"98소지이동TOTvs99.1 (2)";#N/A,#N/A,FALSE,"TOTAL";#N/A,#N/A,FALSE,"98소지이동TOTvs99.1(b) (2)"}</definedName>
    <definedName name="_________www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_________XX1" hidden="1">{#N/A,#N/A,FALSE,"98소지이동TOTvs99.1 (2)";#N/A,#N/A,FALSE,"TOTAL";#N/A,#N/A,FALSE,"98소지이동TOTvs99.1(b) (2)"}</definedName>
    <definedName name="_________XX10" hidden="1">{#N/A,#N/A,FALSE,"Yield";#N/A,#N/A,FALSE,"Loss1";#N/A,#N/A,FALSE,"Loss2";#N/A,#N/A,FALSE,"Hour-Labor(배분)";#N/A,#N/A,FALSE,"Capital Expenditure";#N/A,#N/A,FALSE,"Productivity"}</definedName>
    <definedName name="_________XX2" hidden="1">{#N/A,#N/A,FALSE,"98소지이동TOTvs99.1 (2)";#N/A,#N/A,FALSE,"TOTAL";#N/A,#N/A,FALSE,"98소지이동TOTvs99.1(b) (2)"}</definedName>
    <definedName name="_________XX3" hidden="1">{#N/A,#N/A,FALSE,"98소지이동TOTvs99.1 (2)";#N/A,#N/A,FALSE,"TOTAL";#N/A,#N/A,FALSE,"98소지이동TOTvs99.1(b) (2)"}</definedName>
    <definedName name="_________XX4" hidden="1">{#N/A,#N/A,FALSE,"군산원가";#N/A,#N/A,FALSE,"팀별월별";#N/A,#N/A,FALSE,"타공정대체";#N/A,#N/A,FALSE,"기타경비";#N/A,#N/A,FALSE,"원료";#N/A,#N/A,FALSE,"연료"}</definedName>
    <definedName name="_________XX5" hidden="1">{#N/A,#N/A,FALSE,"군산원가";#N/A,#N/A,FALSE,"팀별월별";#N/A,#N/A,FALSE,"타공정대체";#N/A,#N/A,FALSE,"기타경비";#N/A,#N/A,FALSE,"원료";#N/A,#N/A,FALSE,"연료"}</definedName>
    <definedName name="_________XX6" hidden="1">{#N/A,#N/A,FALSE,"Yield";#N/A,#N/A,FALSE,"Loss1";#N/A,#N/A,FALSE,"Loss2";#N/A,#N/A,FALSE,"Hour-Labor(배분)";#N/A,#N/A,FALSE,"Capital Expenditure";#N/A,#N/A,FALSE,"Productivity"}</definedName>
    <definedName name="_________XX7" hidden="1">{#N/A,#N/A,FALSE,"98소지이동TOTvs99.1 (2)";#N/A,#N/A,FALSE,"TOTAL";#N/A,#N/A,FALSE,"98소지이동TOTvs99.1(b) (2)"}</definedName>
    <definedName name="_________XX8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___XX9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_____ZZ1" hidden="1">{#N/A,#N/A,FALSE,"98소지이동TOTvs99.1 (2)";#N/A,#N/A,FALSE,"TOTAL";#N/A,#N/A,FALSE,"98소지이동TOTvs99.1(b) (2)"}</definedName>
    <definedName name="_______jh1" hidden="1">{#N/A,#N/A,FALSE,"Yield";#N/A,#N/A,FALSE,"Loss1";#N/A,#N/A,FALSE,"Loss2";#N/A,#N/A,FALSE,"Hour-Labor(배분)";#N/A,#N/A,FALSE,"Capital Expenditure";#N/A,#N/A,FALSE,"Productivity"}</definedName>
    <definedName name="_______jh3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_jh4" hidden="1">{#N/A,#N/A,FALSE,"Yield";#N/A,#N/A,FALSE,"Loss1";#N/A,#N/A,FALSE,"Loss2";#N/A,#N/A,FALSE,"Hour-Labor(배분)";#N/A,#N/A,FALSE,"Capital Expenditure";#N/A,#N/A,FALSE,"Productivity"}</definedName>
    <definedName name="_______jh5" hidden="1">{#N/A,#N/A,FALSE,"98소지이동TOTvs99.1 (2)";#N/A,#N/A,FALSE,"TOTAL";#N/A,#N/A,FALSE,"98소지이동TOTvs99.1(b) (2)"}</definedName>
    <definedName name="_______RR1" hidden="1">{#N/A,#N/A,FALSE,"98소지이동TOTvs99.1 (2)";#N/A,#N/A,FALSE,"TOTAL";#N/A,#N/A,FALSE,"98소지이동TOTvs99.1(b) (2)"}</definedName>
    <definedName name="_______RR2" hidden="1">{#N/A,#N/A,FALSE,"군산원가";#N/A,#N/A,FALSE,"팀별월별";#N/A,#N/A,FALSE,"타공정대체";#N/A,#N/A,FALSE,"기타경비";#N/A,#N/A,FALSE,"원료";#N/A,#N/A,FALSE,"연료"}</definedName>
    <definedName name="_______RR3" hidden="1">{#N/A,#N/A,FALSE,"군산원가";#N/A,#N/A,FALSE,"팀별월별";#N/A,#N/A,FALSE,"타공정대체";#N/A,#N/A,FALSE,"기타경비";#N/A,#N/A,FALSE,"원료";#N/A,#N/A,FALSE,"연료"}</definedName>
    <definedName name="_______RR4" hidden="1">{#N/A,#N/A,FALSE,"98소지이동TOTvs99.1 (2)";#N/A,#N/A,FALSE,"TOTAL";#N/A,#N/A,FALSE,"98소지이동TOTvs99.1(b) (2)"}</definedName>
    <definedName name="_______RR5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_RR6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___RR7" hidden="1">{#N/A,#N/A,FALSE,"Yield";#N/A,#N/A,FALSE,"Loss1";#N/A,#N/A,FALSE,"Loss2";#N/A,#N/A,FALSE,"Hour-Labor(배분)";#N/A,#N/A,FALSE,"Capital Expenditure";#N/A,#N/A,FALSE,"Productivity"}</definedName>
    <definedName name="_______RR8" hidden="1">{#N/A,#N/A,FALSE,"98소지이동TOTvs99.1 (2)";#N/A,#N/A,FALSE,"TOTAL";#N/A,#N/A,FALSE,"98소지이동TOTvs99.1(b) (2)"}</definedName>
    <definedName name="_______s1" hidden="1">{#N/A,#N/A,FALSE,"UNIT";#N/A,#N/A,FALSE,"UNIT";#N/A,#N/A,FALSE,"계정"}</definedName>
    <definedName name="_______s10" hidden="1">{#N/A,#N/A,FALSE,"UNIT";#N/A,#N/A,FALSE,"UNIT";#N/A,#N/A,FALSE,"계정"}</definedName>
    <definedName name="_______s11" hidden="1">{#N/A,#N/A,FALSE,"UNIT";#N/A,#N/A,FALSE,"UNIT";#N/A,#N/A,FALSE,"계정"}</definedName>
    <definedName name="_______s12" hidden="1">{#N/A,#N/A,FALSE,"UNIT";#N/A,#N/A,FALSE,"UNIT";#N/A,#N/A,FALSE,"계정"}</definedName>
    <definedName name="_______s13" hidden="1">{#N/A,#N/A,FALSE,"UNIT";#N/A,#N/A,FALSE,"UNIT";#N/A,#N/A,FALSE,"계정"}</definedName>
    <definedName name="_______s14" hidden="1">{#N/A,#N/A,FALSE,"UNIT";#N/A,#N/A,FALSE,"UNIT";#N/A,#N/A,FALSE,"계정"}</definedName>
    <definedName name="_______s16" hidden="1">{#N/A,#N/A,FALSE,"UNIT";#N/A,#N/A,FALSE,"UNIT";#N/A,#N/A,FALSE,"계정"}</definedName>
    <definedName name="_______s17" hidden="1">{#N/A,#N/A,FALSE,"UNIT";#N/A,#N/A,FALSE,"UNIT";#N/A,#N/A,FALSE,"계정"}</definedName>
    <definedName name="_______s2" hidden="1">{#N/A,#N/A,FALSE,"UNIT";#N/A,#N/A,FALSE,"UNIT";#N/A,#N/A,FALSE,"계정"}</definedName>
    <definedName name="_______s3" hidden="1">{#N/A,#N/A,FALSE,"UNIT";#N/A,#N/A,FALSE,"UNIT";#N/A,#N/A,FALSE,"계정"}</definedName>
    <definedName name="_______s4" hidden="1">{#N/A,#N/A,FALSE,"UNIT";#N/A,#N/A,FALSE,"UNIT";#N/A,#N/A,FALSE,"계정"}</definedName>
    <definedName name="_______s5" hidden="1">{#N/A,#N/A,FALSE,"UNIT";#N/A,#N/A,FALSE,"UNIT";#N/A,#N/A,FALSE,"계정"}</definedName>
    <definedName name="_______s6" hidden="1">{#N/A,#N/A,FALSE,"UNIT";#N/A,#N/A,FALSE,"UNIT";#N/A,#N/A,FALSE,"계정"}</definedName>
    <definedName name="_______s9" hidden="1">{#N/A,#N/A,FALSE,"UNIT";#N/A,#N/A,FALSE,"UNIT";#N/A,#N/A,FALSE,"계정"}</definedName>
    <definedName name="_______SS1" hidden="1">{#N/A,#N/A,FALSE,"98소지이동TOTvs99.1 (2)";#N/A,#N/A,FALSE,"TOTAL";#N/A,#N/A,FALSE,"98소지이동TOTvs99.1(b) (2)"}</definedName>
    <definedName name="_______SS10" hidden="1">{#N/A,#N/A,FALSE,"군산원가";#N/A,#N/A,FALSE,"팀별월별";#N/A,#N/A,FALSE,"타공정대체";#N/A,#N/A,FALSE,"기타경비";#N/A,#N/A,FALSE,"원료";#N/A,#N/A,FALSE,"연료"}</definedName>
    <definedName name="_______SS11" hidden="1">{#N/A,#N/A,FALSE,"98소지이동TOTvs99.1 (2)";#N/A,#N/A,FALSE,"TOTAL";#N/A,#N/A,FALSE,"98소지이동TOTvs99.1(b) (2)"}</definedName>
    <definedName name="_______SS12" hidden="1">{#N/A,#N/A,FALSE,"98소지이동TOTvs99.1 (2)";#N/A,#N/A,FALSE,"TOTAL";#N/A,#N/A,FALSE,"98소지이동TOTvs99.1(b) (2)"}</definedName>
    <definedName name="_______SS13" hidden="1">{#N/A,#N/A,FALSE,"98소지이동TOTvs99.1 (2)";#N/A,#N/A,FALSE,"TOTAL";#N/A,#N/A,FALSE,"98소지이동TOTvs99.1(b) (2)"}</definedName>
    <definedName name="_______SS14" hidden="1">{#N/A,#N/A,FALSE,"98소지이동TOTvs99.1 (2)";#N/A,#N/A,FALSE,"TOTAL";#N/A,#N/A,FALSE,"98소지이동TOTvs99.1(b) (2)"}</definedName>
    <definedName name="_______SS15" hidden="1">{#N/A,#N/A,FALSE,"군산원가";#N/A,#N/A,FALSE,"팀별월별";#N/A,#N/A,FALSE,"타공정대체";#N/A,#N/A,FALSE,"기타경비";#N/A,#N/A,FALSE,"원료";#N/A,#N/A,FALSE,"연료"}</definedName>
    <definedName name="_______SS16" hidden="1">{#N/A,#N/A,FALSE,"군산원가";#N/A,#N/A,FALSE,"팀별월별";#N/A,#N/A,FALSE,"타공정대체";#N/A,#N/A,FALSE,"기타경비";#N/A,#N/A,FALSE,"원료";#N/A,#N/A,FALSE,"연료"}</definedName>
    <definedName name="_______SS17" hidden="1">{#N/A,#N/A,FALSE,"군산원가";#N/A,#N/A,FALSE,"팀별월별";#N/A,#N/A,FALSE,"타공정대체";#N/A,#N/A,FALSE,"기타경비";#N/A,#N/A,FALSE,"원료";#N/A,#N/A,FALSE,"연료"}</definedName>
    <definedName name="_______SS18" hidden="1">{#N/A,#N/A,FALSE,"군산원가";#N/A,#N/A,FALSE,"팀별월별";#N/A,#N/A,FALSE,"타공정대체";#N/A,#N/A,FALSE,"기타경비";#N/A,#N/A,FALSE,"원료";#N/A,#N/A,FALSE,"연료"}</definedName>
    <definedName name="_______SS19" hidden="1">{#N/A,#N/A,FALSE,"Yield";#N/A,#N/A,FALSE,"Loss1";#N/A,#N/A,FALSE,"Loss2";#N/A,#N/A,FALSE,"Hour-Labor(배분)";#N/A,#N/A,FALSE,"Capital Expenditure";#N/A,#N/A,FALSE,"Productivity"}</definedName>
    <definedName name="_______SS2" hidden="1">{#N/A,#N/A,FALSE,"98소지이동TOTvs99.1 (2)";#N/A,#N/A,FALSE,"TOTAL";#N/A,#N/A,FALSE,"98소지이동TOTvs99.1(b) (2)"}</definedName>
    <definedName name="_______SS20" hidden="1">{#N/A,#N/A,FALSE,"98소지이동TOTvs99.1 (2)";#N/A,#N/A,FALSE,"TOTAL";#N/A,#N/A,FALSE,"98소지이동TOTvs99.1(b) (2)"}</definedName>
    <definedName name="_______SS21" hidden="1">{#N/A,#N/A,FALSE,"98소지이동TOTvs99.1 (2)";#N/A,#N/A,FALSE,"TOTAL";#N/A,#N/A,FALSE,"98소지이동TOTvs99.1(b) (2)"}</definedName>
    <definedName name="_______SS22" hidden="1">{#N/A,#N/A,FALSE,"Yield";#N/A,#N/A,FALSE,"Loss1";#N/A,#N/A,FALSE,"Loss2";#N/A,#N/A,FALSE,"Hour-Labor(배분)";#N/A,#N/A,FALSE,"Capital Expenditure";#N/A,#N/A,FALSE,"Productivity"}</definedName>
    <definedName name="_______SS23" hidden="1">{#N/A,#N/A,FALSE,"Yield";#N/A,#N/A,FALSE,"Loss1";#N/A,#N/A,FALSE,"Loss2";#N/A,#N/A,FALSE,"Hour-Labor(배분)";#N/A,#N/A,FALSE,"Capital Expenditure";#N/A,#N/A,FALSE,"Productivity"}</definedName>
    <definedName name="_______SS24" hidden="1">{#N/A,#N/A,FALSE,"Yield";#N/A,#N/A,FALSE,"Loss1";#N/A,#N/A,FALSE,"Loss2";#N/A,#N/A,FALSE,"Hour-Labor(배분)";#N/A,#N/A,FALSE,"Capital Expenditure";#N/A,#N/A,FALSE,"Productivity"}</definedName>
    <definedName name="_______SS25" hidden="1">{#N/A,#N/A,FALSE,"98소지이동TOTvs99.1 (2)";#N/A,#N/A,FALSE,"TOTAL";#N/A,#N/A,FALSE,"98소지이동TOTvs99.1(b) (2)"}</definedName>
    <definedName name="_______SS2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_SS27" hidden="1">{#N/A,#N/A,FALSE,"Yield";#N/A,#N/A,FALSE,"Loss1";#N/A,#N/A,FALSE,"Loss2";#N/A,#N/A,FALSE,"Hour-Labor(배분)";#N/A,#N/A,FALSE,"Capital Expenditure";#N/A,#N/A,FALSE,"Productivity"}</definedName>
    <definedName name="_______SS28" hidden="1">{#N/A,#N/A,FALSE,"군산원가";#N/A,#N/A,FALSE,"팀별월별";#N/A,#N/A,FALSE,"타공정대체";#N/A,#N/A,FALSE,"기타경비";#N/A,#N/A,FALSE,"원료";#N/A,#N/A,FALSE,"연료"}</definedName>
    <definedName name="_______SS29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_SS3" hidden="1">{#N/A,#N/A,FALSE,"군산원가";#N/A,#N/A,FALSE,"팀별월별";#N/A,#N/A,FALSE,"타공정대체";#N/A,#N/A,FALSE,"기타경비";#N/A,#N/A,FALSE,"원료";#N/A,#N/A,FALSE,"연료"}</definedName>
    <definedName name="_______SS30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___SS31" hidden="1">{#N/A,#N/A,FALSE,"Yield";#N/A,#N/A,FALSE,"Loss1";#N/A,#N/A,FALSE,"Loss2";#N/A,#N/A,FALSE,"Hour-Labor(배분)";#N/A,#N/A,FALSE,"Capital Expenditure";#N/A,#N/A,FALSE,"Productivity"}</definedName>
    <definedName name="_______SS32" hidden="1">{#N/A,#N/A,FALSE,"98소지이동TOTvs99.1 (2)";#N/A,#N/A,FALSE,"TOTAL";#N/A,#N/A,FALSE,"98소지이동TOTvs99.1(b) (2)"}</definedName>
    <definedName name="_______SS4" hidden="1">{#N/A,#N/A,FALSE,"군산원가";#N/A,#N/A,FALSE,"팀별월별";#N/A,#N/A,FALSE,"타공정대체";#N/A,#N/A,FALSE,"기타경비";#N/A,#N/A,FALSE,"원료";#N/A,#N/A,FALSE,"연료"}</definedName>
    <definedName name="_______SS5" hidden="1">{#N/A,#N/A,FALSE,"98소지이동TOTvs99.1 (2)";#N/A,#N/A,FALSE,"TOTAL";#N/A,#N/A,FALSE,"98소지이동TOTvs99.1(b) (2)"}</definedName>
    <definedName name="_______SS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_SS7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___SS8" hidden="1">{#N/A,#N/A,FALSE,"98소지이동TOTvs99.1 (2)";#N/A,#N/A,FALSE,"TOTAL";#N/A,#N/A,FALSE,"98소지이동TOTvs99.1(b) (2)"}</definedName>
    <definedName name="_______SS9" hidden="1">{#N/A,#N/A,FALSE,"98소지이동TOTvs99.1 (2)";#N/A,#N/A,FALSE,"TOTAL";#N/A,#N/A,FALSE,"98소지이동TOTvs99.1(b) (2)"}</definedName>
    <definedName name="_______www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_______XX1" hidden="1">{#N/A,#N/A,FALSE,"98소지이동TOTvs99.1 (2)";#N/A,#N/A,FALSE,"TOTAL";#N/A,#N/A,FALSE,"98소지이동TOTvs99.1(b) (2)"}</definedName>
    <definedName name="_______XX10" hidden="1">{#N/A,#N/A,FALSE,"Yield";#N/A,#N/A,FALSE,"Loss1";#N/A,#N/A,FALSE,"Loss2";#N/A,#N/A,FALSE,"Hour-Labor(배분)";#N/A,#N/A,FALSE,"Capital Expenditure";#N/A,#N/A,FALSE,"Productivity"}</definedName>
    <definedName name="_______XX2" hidden="1">{#N/A,#N/A,FALSE,"98소지이동TOTvs99.1 (2)";#N/A,#N/A,FALSE,"TOTAL";#N/A,#N/A,FALSE,"98소지이동TOTvs99.1(b) (2)"}</definedName>
    <definedName name="_______XX3" hidden="1">{#N/A,#N/A,FALSE,"98소지이동TOTvs99.1 (2)";#N/A,#N/A,FALSE,"TOTAL";#N/A,#N/A,FALSE,"98소지이동TOTvs99.1(b) (2)"}</definedName>
    <definedName name="_______XX4" hidden="1">{#N/A,#N/A,FALSE,"군산원가";#N/A,#N/A,FALSE,"팀별월별";#N/A,#N/A,FALSE,"타공정대체";#N/A,#N/A,FALSE,"기타경비";#N/A,#N/A,FALSE,"원료";#N/A,#N/A,FALSE,"연료"}</definedName>
    <definedName name="_______XX5" hidden="1">{#N/A,#N/A,FALSE,"군산원가";#N/A,#N/A,FALSE,"팀별월별";#N/A,#N/A,FALSE,"타공정대체";#N/A,#N/A,FALSE,"기타경비";#N/A,#N/A,FALSE,"원료";#N/A,#N/A,FALSE,"연료"}</definedName>
    <definedName name="_______XX6" hidden="1">{#N/A,#N/A,FALSE,"Yield";#N/A,#N/A,FALSE,"Loss1";#N/A,#N/A,FALSE,"Loss2";#N/A,#N/A,FALSE,"Hour-Labor(배분)";#N/A,#N/A,FALSE,"Capital Expenditure";#N/A,#N/A,FALSE,"Productivity"}</definedName>
    <definedName name="_______XX7" hidden="1">{#N/A,#N/A,FALSE,"98소지이동TOTvs99.1 (2)";#N/A,#N/A,FALSE,"TOTAL";#N/A,#N/A,FALSE,"98소지이동TOTvs99.1(b) (2)"}</definedName>
    <definedName name="_______XX8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_XX9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___ZZ1" hidden="1">{#N/A,#N/A,FALSE,"98소지이동TOTvs99.1 (2)";#N/A,#N/A,FALSE,"TOTAL";#N/A,#N/A,FALSE,"98소지이동TOTvs99.1(b) (2)"}</definedName>
    <definedName name="______jh1" hidden="1">{#N/A,#N/A,FALSE,"Yield";#N/A,#N/A,FALSE,"Loss1";#N/A,#N/A,FALSE,"Loss2";#N/A,#N/A,FALSE,"Hour-Labor(배분)";#N/A,#N/A,FALSE,"Capital Expenditure";#N/A,#N/A,FALSE,"Productivity"}</definedName>
    <definedName name="______jh3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jh4" hidden="1">{#N/A,#N/A,FALSE,"Yield";#N/A,#N/A,FALSE,"Loss1";#N/A,#N/A,FALSE,"Loss2";#N/A,#N/A,FALSE,"Hour-Labor(배분)";#N/A,#N/A,FALSE,"Capital Expenditure";#N/A,#N/A,FALSE,"Productivity"}</definedName>
    <definedName name="______jh5" hidden="1">{#N/A,#N/A,FALSE,"98소지이동TOTvs99.1 (2)";#N/A,#N/A,FALSE,"TOTAL";#N/A,#N/A,FALSE,"98소지이동TOTvs99.1(b) (2)"}</definedName>
    <definedName name="______RR1" hidden="1">{#N/A,#N/A,FALSE,"98소지이동TOTvs99.1 (2)";#N/A,#N/A,FALSE,"TOTAL";#N/A,#N/A,FALSE,"98소지이동TOTvs99.1(b) (2)"}</definedName>
    <definedName name="______RR2" hidden="1">{#N/A,#N/A,FALSE,"군산원가";#N/A,#N/A,FALSE,"팀별월별";#N/A,#N/A,FALSE,"타공정대체";#N/A,#N/A,FALSE,"기타경비";#N/A,#N/A,FALSE,"원료";#N/A,#N/A,FALSE,"연료"}</definedName>
    <definedName name="______RR3" hidden="1">{#N/A,#N/A,FALSE,"군산원가";#N/A,#N/A,FALSE,"팀별월별";#N/A,#N/A,FALSE,"타공정대체";#N/A,#N/A,FALSE,"기타경비";#N/A,#N/A,FALSE,"원료";#N/A,#N/A,FALSE,"연료"}</definedName>
    <definedName name="______RR4" hidden="1">{#N/A,#N/A,FALSE,"98소지이동TOTvs99.1 (2)";#N/A,#N/A,FALSE,"TOTAL";#N/A,#N/A,FALSE,"98소지이동TOTvs99.1(b) (2)"}</definedName>
    <definedName name="______RR5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RR6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__RR7" hidden="1">{#N/A,#N/A,FALSE,"Yield";#N/A,#N/A,FALSE,"Loss1";#N/A,#N/A,FALSE,"Loss2";#N/A,#N/A,FALSE,"Hour-Labor(배분)";#N/A,#N/A,FALSE,"Capital Expenditure";#N/A,#N/A,FALSE,"Productivity"}</definedName>
    <definedName name="______RR8" hidden="1">{#N/A,#N/A,FALSE,"98소지이동TOTvs99.1 (2)";#N/A,#N/A,FALSE,"TOTAL";#N/A,#N/A,FALSE,"98소지이동TOTvs99.1(b) (2)"}</definedName>
    <definedName name="______SS1" hidden="1">{#N/A,#N/A,FALSE,"98소지이동TOTvs99.1 (2)";#N/A,#N/A,FALSE,"TOTAL";#N/A,#N/A,FALSE,"98소지이동TOTvs99.1(b) (2)"}</definedName>
    <definedName name="______SS10" hidden="1">{#N/A,#N/A,FALSE,"군산원가";#N/A,#N/A,FALSE,"팀별월별";#N/A,#N/A,FALSE,"타공정대체";#N/A,#N/A,FALSE,"기타경비";#N/A,#N/A,FALSE,"원료";#N/A,#N/A,FALSE,"연료"}</definedName>
    <definedName name="______SS11" hidden="1">{#N/A,#N/A,FALSE,"98소지이동TOTvs99.1 (2)";#N/A,#N/A,FALSE,"TOTAL";#N/A,#N/A,FALSE,"98소지이동TOTvs99.1(b) (2)"}</definedName>
    <definedName name="______SS12" hidden="1">{#N/A,#N/A,FALSE,"98소지이동TOTvs99.1 (2)";#N/A,#N/A,FALSE,"TOTAL";#N/A,#N/A,FALSE,"98소지이동TOTvs99.1(b) (2)"}</definedName>
    <definedName name="______SS13" hidden="1">{#N/A,#N/A,FALSE,"98소지이동TOTvs99.1 (2)";#N/A,#N/A,FALSE,"TOTAL";#N/A,#N/A,FALSE,"98소지이동TOTvs99.1(b) (2)"}</definedName>
    <definedName name="______SS14" hidden="1">{#N/A,#N/A,FALSE,"98소지이동TOTvs99.1 (2)";#N/A,#N/A,FALSE,"TOTAL";#N/A,#N/A,FALSE,"98소지이동TOTvs99.1(b) (2)"}</definedName>
    <definedName name="______SS15" hidden="1">{#N/A,#N/A,FALSE,"군산원가";#N/A,#N/A,FALSE,"팀별월별";#N/A,#N/A,FALSE,"타공정대체";#N/A,#N/A,FALSE,"기타경비";#N/A,#N/A,FALSE,"원료";#N/A,#N/A,FALSE,"연료"}</definedName>
    <definedName name="______SS16" hidden="1">{#N/A,#N/A,FALSE,"군산원가";#N/A,#N/A,FALSE,"팀별월별";#N/A,#N/A,FALSE,"타공정대체";#N/A,#N/A,FALSE,"기타경비";#N/A,#N/A,FALSE,"원료";#N/A,#N/A,FALSE,"연료"}</definedName>
    <definedName name="______SS17" hidden="1">{#N/A,#N/A,FALSE,"군산원가";#N/A,#N/A,FALSE,"팀별월별";#N/A,#N/A,FALSE,"타공정대체";#N/A,#N/A,FALSE,"기타경비";#N/A,#N/A,FALSE,"원료";#N/A,#N/A,FALSE,"연료"}</definedName>
    <definedName name="______SS18" hidden="1">{#N/A,#N/A,FALSE,"군산원가";#N/A,#N/A,FALSE,"팀별월별";#N/A,#N/A,FALSE,"타공정대체";#N/A,#N/A,FALSE,"기타경비";#N/A,#N/A,FALSE,"원료";#N/A,#N/A,FALSE,"연료"}</definedName>
    <definedName name="______SS19" hidden="1">{#N/A,#N/A,FALSE,"Yield";#N/A,#N/A,FALSE,"Loss1";#N/A,#N/A,FALSE,"Loss2";#N/A,#N/A,FALSE,"Hour-Labor(배분)";#N/A,#N/A,FALSE,"Capital Expenditure";#N/A,#N/A,FALSE,"Productivity"}</definedName>
    <definedName name="______SS2" hidden="1">{#N/A,#N/A,FALSE,"98소지이동TOTvs99.1 (2)";#N/A,#N/A,FALSE,"TOTAL";#N/A,#N/A,FALSE,"98소지이동TOTvs99.1(b) (2)"}</definedName>
    <definedName name="______SS20" hidden="1">{#N/A,#N/A,FALSE,"98소지이동TOTvs99.1 (2)";#N/A,#N/A,FALSE,"TOTAL";#N/A,#N/A,FALSE,"98소지이동TOTvs99.1(b) (2)"}</definedName>
    <definedName name="______SS21" hidden="1">{#N/A,#N/A,FALSE,"98소지이동TOTvs99.1 (2)";#N/A,#N/A,FALSE,"TOTAL";#N/A,#N/A,FALSE,"98소지이동TOTvs99.1(b) (2)"}</definedName>
    <definedName name="______SS22" hidden="1">{#N/A,#N/A,FALSE,"Yield";#N/A,#N/A,FALSE,"Loss1";#N/A,#N/A,FALSE,"Loss2";#N/A,#N/A,FALSE,"Hour-Labor(배분)";#N/A,#N/A,FALSE,"Capital Expenditure";#N/A,#N/A,FALSE,"Productivity"}</definedName>
    <definedName name="______SS23" hidden="1">{#N/A,#N/A,FALSE,"Yield";#N/A,#N/A,FALSE,"Loss1";#N/A,#N/A,FALSE,"Loss2";#N/A,#N/A,FALSE,"Hour-Labor(배분)";#N/A,#N/A,FALSE,"Capital Expenditure";#N/A,#N/A,FALSE,"Productivity"}</definedName>
    <definedName name="______SS24" hidden="1">{#N/A,#N/A,FALSE,"Yield";#N/A,#N/A,FALSE,"Loss1";#N/A,#N/A,FALSE,"Loss2";#N/A,#N/A,FALSE,"Hour-Labor(배분)";#N/A,#N/A,FALSE,"Capital Expenditure";#N/A,#N/A,FALSE,"Productivity"}</definedName>
    <definedName name="______SS25" hidden="1">{#N/A,#N/A,FALSE,"98소지이동TOTvs99.1 (2)";#N/A,#N/A,FALSE,"TOTAL";#N/A,#N/A,FALSE,"98소지이동TOTvs99.1(b) (2)"}</definedName>
    <definedName name="______SS2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SS27" hidden="1">{#N/A,#N/A,FALSE,"Yield";#N/A,#N/A,FALSE,"Loss1";#N/A,#N/A,FALSE,"Loss2";#N/A,#N/A,FALSE,"Hour-Labor(배분)";#N/A,#N/A,FALSE,"Capital Expenditure";#N/A,#N/A,FALSE,"Productivity"}</definedName>
    <definedName name="______SS28" hidden="1">{#N/A,#N/A,FALSE,"군산원가";#N/A,#N/A,FALSE,"팀별월별";#N/A,#N/A,FALSE,"타공정대체";#N/A,#N/A,FALSE,"기타경비";#N/A,#N/A,FALSE,"원료";#N/A,#N/A,FALSE,"연료"}</definedName>
    <definedName name="______SS29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SS3" hidden="1">{#N/A,#N/A,FALSE,"군산원가";#N/A,#N/A,FALSE,"팀별월별";#N/A,#N/A,FALSE,"타공정대체";#N/A,#N/A,FALSE,"기타경비";#N/A,#N/A,FALSE,"원료";#N/A,#N/A,FALSE,"연료"}</definedName>
    <definedName name="______SS30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__SS31" hidden="1">{#N/A,#N/A,FALSE,"Yield";#N/A,#N/A,FALSE,"Loss1";#N/A,#N/A,FALSE,"Loss2";#N/A,#N/A,FALSE,"Hour-Labor(배분)";#N/A,#N/A,FALSE,"Capital Expenditure";#N/A,#N/A,FALSE,"Productivity"}</definedName>
    <definedName name="______SS32" hidden="1">{#N/A,#N/A,FALSE,"98소지이동TOTvs99.1 (2)";#N/A,#N/A,FALSE,"TOTAL";#N/A,#N/A,FALSE,"98소지이동TOTvs99.1(b) (2)"}</definedName>
    <definedName name="______SS4" hidden="1">{#N/A,#N/A,FALSE,"군산원가";#N/A,#N/A,FALSE,"팀별월별";#N/A,#N/A,FALSE,"타공정대체";#N/A,#N/A,FALSE,"기타경비";#N/A,#N/A,FALSE,"원료";#N/A,#N/A,FALSE,"연료"}</definedName>
    <definedName name="______SS5" hidden="1">{#N/A,#N/A,FALSE,"98소지이동TOTvs99.1 (2)";#N/A,#N/A,FALSE,"TOTAL";#N/A,#N/A,FALSE,"98소지이동TOTvs99.1(b) (2)"}</definedName>
    <definedName name="______SS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SS7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__SS8" hidden="1">{#N/A,#N/A,FALSE,"98소지이동TOTvs99.1 (2)";#N/A,#N/A,FALSE,"TOTAL";#N/A,#N/A,FALSE,"98소지이동TOTvs99.1(b) (2)"}</definedName>
    <definedName name="______SS9" hidden="1">{#N/A,#N/A,FALSE,"98소지이동TOTvs99.1 (2)";#N/A,#N/A,FALSE,"TOTAL";#N/A,#N/A,FALSE,"98소지이동TOTvs99.1(b) (2)"}</definedName>
    <definedName name="______www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______XX1" hidden="1">{#N/A,#N/A,FALSE,"98소지이동TOTvs99.1 (2)";#N/A,#N/A,FALSE,"TOTAL";#N/A,#N/A,FALSE,"98소지이동TOTvs99.1(b) (2)"}</definedName>
    <definedName name="______XX10" hidden="1">{#N/A,#N/A,FALSE,"Yield";#N/A,#N/A,FALSE,"Loss1";#N/A,#N/A,FALSE,"Loss2";#N/A,#N/A,FALSE,"Hour-Labor(배분)";#N/A,#N/A,FALSE,"Capital Expenditure";#N/A,#N/A,FALSE,"Productivity"}</definedName>
    <definedName name="______XX2" hidden="1">{#N/A,#N/A,FALSE,"98소지이동TOTvs99.1 (2)";#N/A,#N/A,FALSE,"TOTAL";#N/A,#N/A,FALSE,"98소지이동TOTvs99.1(b) (2)"}</definedName>
    <definedName name="______XX3" hidden="1">{#N/A,#N/A,FALSE,"98소지이동TOTvs99.1 (2)";#N/A,#N/A,FALSE,"TOTAL";#N/A,#N/A,FALSE,"98소지이동TOTvs99.1(b) (2)"}</definedName>
    <definedName name="______XX4" hidden="1">{#N/A,#N/A,FALSE,"군산원가";#N/A,#N/A,FALSE,"팀별월별";#N/A,#N/A,FALSE,"타공정대체";#N/A,#N/A,FALSE,"기타경비";#N/A,#N/A,FALSE,"원료";#N/A,#N/A,FALSE,"연료"}</definedName>
    <definedName name="______XX5" hidden="1">{#N/A,#N/A,FALSE,"군산원가";#N/A,#N/A,FALSE,"팀별월별";#N/A,#N/A,FALSE,"타공정대체";#N/A,#N/A,FALSE,"기타경비";#N/A,#N/A,FALSE,"원료";#N/A,#N/A,FALSE,"연료"}</definedName>
    <definedName name="______XX6" hidden="1">{#N/A,#N/A,FALSE,"Yield";#N/A,#N/A,FALSE,"Loss1";#N/A,#N/A,FALSE,"Loss2";#N/A,#N/A,FALSE,"Hour-Labor(배분)";#N/A,#N/A,FALSE,"Capital Expenditure";#N/A,#N/A,FALSE,"Productivity"}</definedName>
    <definedName name="______XX7" hidden="1">{#N/A,#N/A,FALSE,"98소지이동TOTvs99.1 (2)";#N/A,#N/A,FALSE,"TOTAL";#N/A,#N/A,FALSE,"98소지이동TOTvs99.1(b) (2)"}</definedName>
    <definedName name="______XX8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_XX9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__ZZ1" hidden="1">{#N/A,#N/A,FALSE,"98소지이동TOTvs99.1 (2)";#N/A,#N/A,FALSE,"TOTAL";#N/A,#N/A,FALSE,"98소지이동TOTvs99.1(b) (2)"}</definedName>
    <definedName name="_____jh1" hidden="1">{#N/A,#N/A,FALSE,"Yield";#N/A,#N/A,FALSE,"Loss1";#N/A,#N/A,FALSE,"Loss2";#N/A,#N/A,FALSE,"Hour-Labor(배분)";#N/A,#N/A,FALSE,"Capital Expenditure";#N/A,#N/A,FALSE,"Productivity"}</definedName>
    <definedName name="_____jh3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jh4" hidden="1">{#N/A,#N/A,FALSE,"Yield";#N/A,#N/A,FALSE,"Loss1";#N/A,#N/A,FALSE,"Loss2";#N/A,#N/A,FALSE,"Hour-Labor(배분)";#N/A,#N/A,FALSE,"Capital Expenditure";#N/A,#N/A,FALSE,"Productivity"}</definedName>
    <definedName name="_____jh5" hidden="1">{#N/A,#N/A,FALSE,"98소지이동TOTvs99.1 (2)";#N/A,#N/A,FALSE,"TOTAL";#N/A,#N/A,FALSE,"98소지이동TOTvs99.1(b) (2)"}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RR1" hidden="1">{#N/A,#N/A,FALSE,"98소지이동TOTvs99.1 (2)";#N/A,#N/A,FALSE,"TOTAL";#N/A,#N/A,FALSE,"98소지이동TOTvs99.1(b) (2)"}</definedName>
    <definedName name="_____RR2" hidden="1">{#N/A,#N/A,FALSE,"군산원가";#N/A,#N/A,FALSE,"팀별월별";#N/A,#N/A,FALSE,"타공정대체";#N/A,#N/A,FALSE,"기타경비";#N/A,#N/A,FALSE,"원료";#N/A,#N/A,FALSE,"연료"}</definedName>
    <definedName name="_____RR3" hidden="1">{#N/A,#N/A,FALSE,"군산원가";#N/A,#N/A,FALSE,"팀별월별";#N/A,#N/A,FALSE,"타공정대체";#N/A,#N/A,FALSE,"기타경비";#N/A,#N/A,FALSE,"원료";#N/A,#N/A,FALSE,"연료"}</definedName>
    <definedName name="_____RR4" hidden="1">{#N/A,#N/A,FALSE,"98소지이동TOTvs99.1 (2)";#N/A,#N/A,FALSE,"TOTAL";#N/A,#N/A,FALSE,"98소지이동TOTvs99.1(b) (2)"}</definedName>
    <definedName name="_____RR5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RR6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_RR7" hidden="1">{#N/A,#N/A,FALSE,"Yield";#N/A,#N/A,FALSE,"Loss1";#N/A,#N/A,FALSE,"Loss2";#N/A,#N/A,FALSE,"Hour-Labor(배분)";#N/A,#N/A,FALSE,"Capital Expenditure";#N/A,#N/A,FALSE,"Productivity"}</definedName>
    <definedName name="_____RR8" hidden="1">{#N/A,#N/A,FALSE,"98소지이동TOTvs99.1 (2)";#N/A,#N/A,FALSE,"TOTAL";#N/A,#N/A,FALSE,"98소지이동TOTvs99.1(b) (2)"}</definedName>
    <definedName name="_____SS1" hidden="1">{#N/A,#N/A,FALSE,"98소지이동TOTvs99.1 (2)";#N/A,#N/A,FALSE,"TOTAL";#N/A,#N/A,FALSE,"98소지이동TOTvs99.1(b) (2)"}</definedName>
    <definedName name="_____SS10" hidden="1">{#N/A,#N/A,FALSE,"군산원가";#N/A,#N/A,FALSE,"팀별월별";#N/A,#N/A,FALSE,"타공정대체";#N/A,#N/A,FALSE,"기타경비";#N/A,#N/A,FALSE,"원료";#N/A,#N/A,FALSE,"연료"}</definedName>
    <definedName name="_____SS11" hidden="1">{#N/A,#N/A,FALSE,"98소지이동TOTvs99.1 (2)";#N/A,#N/A,FALSE,"TOTAL";#N/A,#N/A,FALSE,"98소지이동TOTvs99.1(b) (2)"}</definedName>
    <definedName name="_____SS12" hidden="1">{#N/A,#N/A,FALSE,"98소지이동TOTvs99.1 (2)";#N/A,#N/A,FALSE,"TOTAL";#N/A,#N/A,FALSE,"98소지이동TOTvs99.1(b) (2)"}</definedName>
    <definedName name="_____SS13" hidden="1">{#N/A,#N/A,FALSE,"98소지이동TOTvs99.1 (2)";#N/A,#N/A,FALSE,"TOTAL";#N/A,#N/A,FALSE,"98소지이동TOTvs99.1(b) (2)"}</definedName>
    <definedName name="_____SS14" hidden="1">{#N/A,#N/A,FALSE,"98소지이동TOTvs99.1 (2)";#N/A,#N/A,FALSE,"TOTAL";#N/A,#N/A,FALSE,"98소지이동TOTvs99.1(b) (2)"}</definedName>
    <definedName name="_____SS15" hidden="1">{#N/A,#N/A,FALSE,"군산원가";#N/A,#N/A,FALSE,"팀별월별";#N/A,#N/A,FALSE,"타공정대체";#N/A,#N/A,FALSE,"기타경비";#N/A,#N/A,FALSE,"원료";#N/A,#N/A,FALSE,"연료"}</definedName>
    <definedName name="_____SS16" hidden="1">{#N/A,#N/A,FALSE,"군산원가";#N/A,#N/A,FALSE,"팀별월별";#N/A,#N/A,FALSE,"타공정대체";#N/A,#N/A,FALSE,"기타경비";#N/A,#N/A,FALSE,"원료";#N/A,#N/A,FALSE,"연료"}</definedName>
    <definedName name="_____SS17" hidden="1">{#N/A,#N/A,FALSE,"군산원가";#N/A,#N/A,FALSE,"팀별월별";#N/A,#N/A,FALSE,"타공정대체";#N/A,#N/A,FALSE,"기타경비";#N/A,#N/A,FALSE,"원료";#N/A,#N/A,FALSE,"연료"}</definedName>
    <definedName name="_____SS18" hidden="1">{#N/A,#N/A,FALSE,"군산원가";#N/A,#N/A,FALSE,"팀별월별";#N/A,#N/A,FALSE,"타공정대체";#N/A,#N/A,FALSE,"기타경비";#N/A,#N/A,FALSE,"원료";#N/A,#N/A,FALSE,"연료"}</definedName>
    <definedName name="_____SS19" hidden="1">{#N/A,#N/A,FALSE,"Yield";#N/A,#N/A,FALSE,"Loss1";#N/A,#N/A,FALSE,"Loss2";#N/A,#N/A,FALSE,"Hour-Labor(배분)";#N/A,#N/A,FALSE,"Capital Expenditure";#N/A,#N/A,FALSE,"Productivity"}</definedName>
    <definedName name="_____SS2" hidden="1">{#N/A,#N/A,FALSE,"98소지이동TOTvs99.1 (2)";#N/A,#N/A,FALSE,"TOTAL";#N/A,#N/A,FALSE,"98소지이동TOTvs99.1(b) (2)"}</definedName>
    <definedName name="_____SS20" hidden="1">{#N/A,#N/A,FALSE,"98소지이동TOTvs99.1 (2)";#N/A,#N/A,FALSE,"TOTAL";#N/A,#N/A,FALSE,"98소지이동TOTvs99.1(b) (2)"}</definedName>
    <definedName name="_____SS21" hidden="1">{#N/A,#N/A,FALSE,"98소지이동TOTvs99.1 (2)";#N/A,#N/A,FALSE,"TOTAL";#N/A,#N/A,FALSE,"98소지이동TOTvs99.1(b) (2)"}</definedName>
    <definedName name="_____SS22" hidden="1">{#N/A,#N/A,FALSE,"Yield";#N/A,#N/A,FALSE,"Loss1";#N/A,#N/A,FALSE,"Loss2";#N/A,#N/A,FALSE,"Hour-Labor(배분)";#N/A,#N/A,FALSE,"Capital Expenditure";#N/A,#N/A,FALSE,"Productivity"}</definedName>
    <definedName name="_____SS23" hidden="1">{#N/A,#N/A,FALSE,"Yield";#N/A,#N/A,FALSE,"Loss1";#N/A,#N/A,FALSE,"Loss2";#N/A,#N/A,FALSE,"Hour-Labor(배분)";#N/A,#N/A,FALSE,"Capital Expenditure";#N/A,#N/A,FALSE,"Productivity"}</definedName>
    <definedName name="_____SS24" hidden="1">{#N/A,#N/A,FALSE,"Yield";#N/A,#N/A,FALSE,"Loss1";#N/A,#N/A,FALSE,"Loss2";#N/A,#N/A,FALSE,"Hour-Labor(배분)";#N/A,#N/A,FALSE,"Capital Expenditure";#N/A,#N/A,FALSE,"Productivity"}</definedName>
    <definedName name="_____SS25" hidden="1">{#N/A,#N/A,FALSE,"98소지이동TOTvs99.1 (2)";#N/A,#N/A,FALSE,"TOTAL";#N/A,#N/A,FALSE,"98소지이동TOTvs99.1(b) (2)"}</definedName>
    <definedName name="_____SS2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SS27" hidden="1">{#N/A,#N/A,FALSE,"Yield";#N/A,#N/A,FALSE,"Loss1";#N/A,#N/A,FALSE,"Loss2";#N/A,#N/A,FALSE,"Hour-Labor(배분)";#N/A,#N/A,FALSE,"Capital Expenditure";#N/A,#N/A,FALSE,"Productivity"}</definedName>
    <definedName name="_____SS28" hidden="1">{#N/A,#N/A,FALSE,"군산원가";#N/A,#N/A,FALSE,"팀별월별";#N/A,#N/A,FALSE,"타공정대체";#N/A,#N/A,FALSE,"기타경비";#N/A,#N/A,FALSE,"원료";#N/A,#N/A,FALSE,"연료"}</definedName>
    <definedName name="_____SS29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SS3" hidden="1">{#N/A,#N/A,FALSE,"군산원가";#N/A,#N/A,FALSE,"팀별월별";#N/A,#N/A,FALSE,"타공정대체";#N/A,#N/A,FALSE,"기타경비";#N/A,#N/A,FALSE,"원료";#N/A,#N/A,FALSE,"연료"}</definedName>
    <definedName name="_____SS30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_SS31" hidden="1">{#N/A,#N/A,FALSE,"Yield";#N/A,#N/A,FALSE,"Loss1";#N/A,#N/A,FALSE,"Loss2";#N/A,#N/A,FALSE,"Hour-Labor(배분)";#N/A,#N/A,FALSE,"Capital Expenditure";#N/A,#N/A,FALSE,"Productivity"}</definedName>
    <definedName name="_____SS32" hidden="1">{#N/A,#N/A,FALSE,"98소지이동TOTvs99.1 (2)";#N/A,#N/A,FALSE,"TOTAL";#N/A,#N/A,FALSE,"98소지이동TOTvs99.1(b) (2)"}</definedName>
    <definedName name="_____SS4" hidden="1">{#N/A,#N/A,FALSE,"군산원가";#N/A,#N/A,FALSE,"팀별월별";#N/A,#N/A,FALSE,"타공정대체";#N/A,#N/A,FALSE,"기타경비";#N/A,#N/A,FALSE,"원료";#N/A,#N/A,FALSE,"연료"}</definedName>
    <definedName name="_____SS5" hidden="1">{#N/A,#N/A,FALSE,"98소지이동TOTvs99.1 (2)";#N/A,#N/A,FALSE,"TOTAL";#N/A,#N/A,FALSE,"98소지이동TOTvs99.1(b) (2)"}</definedName>
    <definedName name="_____SS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SS7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_SS8" hidden="1">{#N/A,#N/A,FALSE,"98소지이동TOTvs99.1 (2)";#N/A,#N/A,FALSE,"TOTAL";#N/A,#N/A,FALSE,"98소지이동TOTvs99.1(b) (2)"}</definedName>
    <definedName name="_____SS9" hidden="1">{#N/A,#N/A,FALSE,"98소지이동TOTvs99.1 (2)";#N/A,#N/A,FALSE,"TOTAL";#N/A,#N/A,FALSE,"98소지이동TOTvs99.1(b) (2)"}</definedName>
    <definedName name="_____www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_____XX1" hidden="1">{#N/A,#N/A,FALSE,"98소지이동TOTvs99.1 (2)";#N/A,#N/A,FALSE,"TOTAL";#N/A,#N/A,FALSE,"98소지이동TOTvs99.1(b) (2)"}</definedName>
    <definedName name="_____XX10" hidden="1">{#N/A,#N/A,FALSE,"Yield";#N/A,#N/A,FALSE,"Loss1";#N/A,#N/A,FALSE,"Loss2";#N/A,#N/A,FALSE,"Hour-Labor(배분)";#N/A,#N/A,FALSE,"Capital Expenditure";#N/A,#N/A,FALSE,"Productivity"}</definedName>
    <definedName name="_____XX2" hidden="1">{#N/A,#N/A,FALSE,"98소지이동TOTvs99.1 (2)";#N/A,#N/A,FALSE,"TOTAL";#N/A,#N/A,FALSE,"98소지이동TOTvs99.1(b) (2)"}</definedName>
    <definedName name="_____XX3" hidden="1">{#N/A,#N/A,FALSE,"98소지이동TOTvs99.1 (2)";#N/A,#N/A,FALSE,"TOTAL";#N/A,#N/A,FALSE,"98소지이동TOTvs99.1(b) (2)"}</definedName>
    <definedName name="_____XX4" hidden="1">{#N/A,#N/A,FALSE,"군산원가";#N/A,#N/A,FALSE,"팀별월별";#N/A,#N/A,FALSE,"타공정대체";#N/A,#N/A,FALSE,"기타경비";#N/A,#N/A,FALSE,"원료";#N/A,#N/A,FALSE,"연료"}</definedName>
    <definedName name="_____XX5" hidden="1">{#N/A,#N/A,FALSE,"군산원가";#N/A,#N/A,FALSE,"팀별월별";#N/A,#N/A,FALSE,"타공정대체";#N/A,#N/A,FALSE,"기타경비";#N/A,#N/A,FALSE,"원료";#N/A,#N/A,FALSE,"연료"}</definedName>
    <definedName name="_____XX6" hidden="1">{#N/A,#N/A,FALSE,"Yield";#N/A,#N/A,FALSE,"Loss1";#N/A,#N/A,FALSE,"Loss2";#N/A,#N/A,FALSE,"Hour-Labor(배분)";#N/A,#N/A,FALSE,"Capital Expenditure";#N/A,#N/A,FALSE,"Productivity"}</definedName>
    <definedName name="_____XX7" hidden="1">{#N/A,#N/A,FALSE,"98소지이동TOTvs99.1 (2)";#N/A,#N/A,FALSE,"TOTAL";#N/A,#N/A,FALSE,"98소지이동TOTvs99.1(b) (2)"}</definedName>
    <definedName name="_____XX8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_XX9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_ZZ1" hidden="1">{#N/A,#N/A,FALSE,"98소지이동TOTvs99.1 (2)";#N/A,#N/A,FALSE,"TOTAL";#N/A,#N/A,FALSE,"98소지이동TOTvs99.1(b) (2)"}</definedName>
    <definedName name="____jh1" hidden="1">{#N/A,#N/A,FALSE,"Yield";#N/A,#N/A,FALSE,"Loss1";#N/A,#N/A,FALSE,"Loss2";#N/A,#N/A,FALSE,"Hour-Labor(배분)";#N/A,#N/A,FALSE,"Capital Expenditure";#N/A,#N/A,FALSE,"Productivity"}</definedName>
    <definedName name="____jh3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jh4" hidden="1">{#N/A,#N/A,FALSE,"Yield";#N/A,#N/A,FALSE,"Loss1";#N/A,#N/A,FALSE,"Loss2";#N/A,#N/A,FALSE,"Hour-Labor(배분)";#N/A,#N/A,FALSE,"Capital Expenditure";#N/A,#N/A,FALSE,"Productivity"}</definedName>
    <definedName name="____jh5" hidden="1">{#N/A,#N/A,FALSE,"98소지이동TOTvs99.1 (2)";#N/A,#N/A,FALSE,"TOTAL";#N/A,#N/A,FALSE,"98소지이동TOTvs99.1(b) (2)"}</definedName>
    <definedName name="____RR1" hidden="1">{#N/A,#N/A,FALSE,"98소지이동TOTvs99.1 (2)";#N/A,#N/A,FALSE,"TOTAL";#N/A,#N/A,FALSE,"98소지이동TOTvs99.1(b) (2)"}</definedName>
    <definedName name="____RR2" hidden="1">{#N/A,#N/A,FALSE,"군산원가";#N/A,#N/A,FALSE,"팀별월별";#N/A,#N/A,FALSE,"타공정대체";#N/A,#N/A,FALSE,"기타경비";#N/A,#N/A,FALSE,"원료";#N/A,#N/A,FALSE,"연료"}</definedName>
    <definedName name="____RR3" hidden="1">{#N/A,#N/A,FALSE,"군산원가";#N/A,#N/A,FALSE,"팀별월별";#N/A,#N/A,FALSE,"타공정대체";#N/A,#N/A,FALSE,"기타경비";#N/A,#N/A,FALSE,"원료";#N/A,#N/A,FALSE,"연료"}</definedName>
    <definedName name="____RR4" hidden="1">{#N/A,#N/A,FALSE,"98소지이동TOTvs99.1 (2)";#N/A,#N/A,FALSE,"TOTAL";#N/A,#N/A,FALSE,"98소지이동TOTvs99.1(b) (2)"}</definedName>
    <definedName name="____RR5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RR6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RR7" hidden="1">{#N/A,#N/A,FALSE,"Yield";#N/A,#N/A,FALSE,"Loss1";#N/A,#N/A,FALSE,"Loss2";#N/A,#N/A,FALSE,"Hour-Labor(배분)";#N/A,#N/A,FALSE,"Capital Expenditure";#N/A,#N/A,FALSE,"Productivity"}</definedName>
    <definedName name="____RR8" hidden="1">{#N/A,#N/A,FALSE,"98소지이동TOTvs99.1 (2)";#N/A,#N/A,FALSE,"TOTAL";#N/A,#N/A,FALSE,"98소지이동TOTvs99.1(b) (2)"}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S1" hidden="1">{#N/A,#N/A,FALSE,"98소지이동TOTvs99.1 (2)";#N/A,#N/A,FALSE,"TOTAL";#N/A,#N/A,FALSE,"98소지이동TOTvs99.1(b) (2)"}</definedName>
    <definedName name="____SS10" hidden="1">{#N/A,#N/A,FALSE,"군산원가";#N/A,#N/A,FALSE,"팀별월별";#N/A,#N/A,FALSE,"타공정대체";#N/A,#N/A,FALSE,"기타경비";#N/A,#N/A,FALSE,"원료";#N/A,#N/A,FALSE,"연료"}</definedName>
    <definedName name="____SS11" hidden="1">{#N/A,#N/A,FALSE,"98소지이동TOTvs99.1 (2)";#N/A,#N/A,FALSE,"TOTAL";#N/A,#N/A,FALSE,"98소지이동TOTvs99.1(b) (2)"}</definedName>
    <definedName name="____SS12" hidden="1">{#N/A,#N/A,FALSE,"98소지이동TOTvs99.1 (2)";#N/A,#N/A,FALSE,"TOTAL";#N/A,#N/A,FALSE,"98소지이동TOTvs99.1(b) (2)"}</definedName>
    <definedName name="____SS13" hidden="1">{#N/A,#N/A,FALSE,"98소지이동TOTvs99.1 (2)";#N/A,#N/A,FALSE,"TOTAL";#N/A,#N/A,FALSE,"98소지이동TOTvs99.1(b) (2)"}</definedName>
    <definedName name="____SS14" hidden="1">{#N/A,#N/A,FALSE,"98소지이동TOTvs99.1 (2)";#N/A,#N/A,FALSE,"TOTAL";#N/A,#N/A,FALSE,"98소지이동TOTvs99.1(b) (2)"}</definedName>
    <definedName name="____SS15" hidden="1">{#N/A,#N/A,FALSE,"군산원가";#N/A,#N/A,FALSE,"팀별월별";#N/A,#N/A,FALSE,"타공정대체";#N/A,#N/A,FALSE,"기타경비";#N/A,#N/A,FALSE,"원료";#N/A,#N/A,FALSE,"연료"}</definedName>
    <definedName name="____SS16" hidden="1">{#N/A,#N/A,FALSE,"군산원가";#N/A,#N/A,FALSE,"팀별월별";#N/A,#N/A,FALSE,"타공정대체";#N/A,#N/A,FALSE,"기타경비";#N/A,#N/A,FALSE,"원료";#N/A,#N/A,FALSE,"연료"}</definedName>
    <definedName name="____SS17" hidden="1">{#N/A,#N/A,FALSE,"군산원가";#N/A,#N/A,FALSE,"팀별월별";#N/A,#N/A,FALSE,"타공정대체";#N/A,#N/A,FALSE,"기타경비";#N/A,#N/A,FALSE,"원료";#N/A,#N/A,FALSE,"연료"}</definedName>
    <definedName name="____SS18" hidden="1">{#N/A,#N/A,FALSE,"군산원가";#N/A,#N/A,FALSE,"팀별월별";#N/A,#N/A,FALSE,"타공정대체";#N/A,#N/A,FALSE,"기타경비";#N/A,#N/A,FALSE,"원료";#N/A,#N/A,FALSE,"연료"}</definedName>
    <definedName name="____SS19" hidden="1">{#N/A,#N/A,FALSE,"Yield";#N/A,#N/A,FALSE,"Loss1";#N/A,#N/A,FALSE,"Loss2";#N/A,#N/A,FALSE,"Hour-Labor(배분)";#N/A,#N/A,FALSE,"Capital Expenditure";#N/A,#N/A,FALSE,"Productivity"}</definedName>
    <definedName name="____SS2" hidden="1">{#N/A,#N/A,FALSE,"98소지이동TOTvs99.1 (2)";#N/A,#N/A,FALSE,"TOTAL";#N/A,#N/A,FALSE,"98소지이동TOTvs99.1(b) (2)"}</definedName>
    <definedName name="____SS20" hidden="1">{#N/A,#N/A,FALSE,"98소지이동TOTvs99.1 (2)";#N/A,#N/A,FALSE,"TOTAL";#N/A,#N/A,FALSE,"98소지이동TOTvs99.1(b) (2)"}</definedName>
    <definedName name="____SS21" hidden="1">{#N/A,#N/A,FALSE,"98소지이동TOTvs99.1 (2)";#N/A,#N/A,FALSE,"TOTAL";#N/A,#N/A,FALSE,"98소지이동TOTvs99.1(b) (2)"}</definedName>
    <definedName name="____SS22" hidden="1">{#N/A,#N/A,FALSE,"Yield";#N/A,#N/A,FALSE,"Loss1";#N/A,#N/A,FALSE,"Loss2";#N/A,#N/A,FALSE,"Hour-Labor(배분)";#N/A,#N/A,FALSE,"Capital Expenditure";#N/A,#N/A,FALSE,"Productivity"}</definedName>
    <definedName name="____SS23" hidden="1">{#N/A,#N/A,FALSE,"Yield";#N/A,#N/A,FALSE,"Loss1";#N/A,#N/A,FALSE,"Loss2";#N/A,#N/A,FALSE,"Hour-Labor(배분)";#N/A,#N/A,FALSE,"Capital Expenditure";#N/A,#N/A,FALSE,"Productivity"}</definedName>
    <definedName name="____SS24" hidden="1">{#N/A,#N/A,FALSE,"Yield";#N/A,#N/A,FALSE,"Loss1";#N/A,#N/A,FALSE,"Loss2";#N/A,#N/A,FALSE,"Hour-Labor(배분)";#N/A,#N/A,FALSE,"Capital Expenditure";#N/A,#N/A,FALSE,"Productivity"}</definedName>
    <definedName name="____SS25" hidden="1">{#N/A,#N/A,FALSE,"98소지이동TOTvs99.1 (2)";#N/A,#N/A,FALSE,"TOTAL";#N/A,#N/A,FALSE,"98소지이동TOTvs99.1(b) (2)"}</definedName>
    <definedName name="____SS2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SS27" hidden="1">{#N/A,#N/A,FALSE,"Yield";#N/A,#N/A,FALSE,"Loss1";#N/A,#N/A,FALSE,"Loss2";#N/A,#N/A,FALSE,"Hour-Labor(배분)";#N/A,#N/A,FALSE,"Capital Expenditure";#N/A,#N/A,FALSE,"Productivity"}</definedName>
    <definedName name="____SS28" hidden="1">{#N/A,#N/A,FALSE,"군산원가";#N/A,#N/A,FALSE,"팀별월별";#N/A,#N/A,FALSE,"타공정대체";#N/A,#N/A,FALSE,"기타경비";#N/A,#N/A,FALSE,"원료";#N/A,#N/A,FALSE,"연료"}</definedName>
    <definedName name="____SS29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SS3" hidden="1">{#N/A,#N/A,FALSE,"군산원가";#N/A,#N/A,FALSE,"팀별월별";#N/A,#N/A,FALSE,"타공정대체";#N/A,#N/A,FALSE,"기타경비";#N/A,#N/A,FALSE,"원료";#N/A,#N/A,FALSE,"연료"}</definedName>
    <definedName name="____SS30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SS31" hidden="1">{#N/A,#N/A,FALSE,"Yield";#N/A,#N/A,FALSE,"Loss1";#N/A,#N/A,FALSE,"Loss2";#N/A,#N/A,FALSE,"Hour-Labor(배분)";#N/A,#N/A,FALSE,"Capital Expenditure";#N/A,#N/A,FALSE,"Productivity"}</definedName>
    <definedName name="____SS32" hidden="1">{#N/A,#N/A,FALSE,"98소지이동TOTvs99.1 (2)";#N/A,#N/A,FALSE,"TOTAL";#N/A,#N/A,FALSE,"98소지이동TOTvs99.1(b) (2)"}</definedName>
    <definedName name="____SS4" hidden="1">{#N/A,#N/A,FALSE,"군산원가";#N/A,#N/A,FALSE,"팀별월별";#N/A,#N/A,FALSE,"타공정대체";#N/A,#N/A,FALSE,"기타경비";#N/A,#N/A,FALSE,"원료";#N/A,#N/A,FALSE,"연료"}</definedName>
    <definedName name="____SS5" hidden="1">{#N/A,#N/A,FALSE,"98소지이동TOTvs99.1 (2)";#N/A,#N/A,FALSE,"TOTAL";#N/A,#N/A,FALSE,"98소지이동TOTvs99.1(b) (2)"}</definedName>
    <definedName name="____SS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SS7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SS8" hidden="1">{#N/A,#N/A,FALSE,"98소지이동TOTvs99.1 (2)";#N/A,#N/A,FALSE,"TOTAL";#N/A,#N/A,FALSE,"98소지이동TOTvs99.1(b) (2)"}</definedName>
    <definedName name="____SS9" hidden="1">{#N/A,#N/A,FALSE,"98소지이동TOTvs99.1 (2)";#N/A,#N/A,FALSE,"TOTAL";#N/A,#N/A,FALSE,"98소지이동TOTvs99.1(b) (2)"}</definedName>
    <definedName name="____www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____XX1" hidden="1">{#N/A,#N/A,FALSE,"98소지이동TOTvs99.1 (2)";#N/A,#N/A,FALSE,"TOTAL";#N/A,#N/A,FALSE,"98소지이동TOTvs99.1(b) (2)"}</definedName>
    <definedName name="____XX10" hidden="1">{#N/A,#N/A,FALSE,"Yield";#N/A,#N/A,FALSE,"Loss1";#N/A,#N/A,FALSE,"Loss2";#N/A,#N/A,FALSE,"Hour-Labor(배분)";#N/A,#N/A,FALSE,"Capital Expenditure";#N/A,#N/A,FALSE,"Productivity"}</definedName>
    <definedName name="____XX2" hidden="1">{#N/A,#N/A,FALSE,"98소지이동TOTvs99.1 (2)";#N/A,#N/A,FALSE,"TOTAL";#N/A,#N/A,FALSE,"98소지이동TOTvs99.1(b) (2)"}</definedName>
    <definedName name="____XX3" hidden="1">{#N/A,#N/A,FALSE,"98소지이동TOTvs99.1 (2)";#N/A,#N/A,FALSE,"TOTAL";#N/A,#N/A,FALSE,"98소지이동TOTvs99.1(b) (2)"}</definedName>
    <definedName name="____XX4" hidden="1">{#N/A,#N/A,FALSE,"군산원가";#N/A,#N/A,FALSE,"팀별월별";#N/A,#N/A,FALSE,"타공정대체";#N/A,#N/A,FALSE,"기타경비";#N/A,#N/A,FALSE,"원료";#N/A,#N/A,FALSE,"연료"}</definedName>
    <definedName name="____XX5" hidden="1">{#N/A,#N/A,FALSE,"군산원가";#N/A,#N/A,FALSE,"팀별월별";#N/A,#N/A,FALSE,"타공정대체";#N/A,#N/A,FALSE,"기타경비";#N/A,#N/A,FALSE,"원료";#N/A,#N/A,FALSE,"연료"}</definedName>
    <definedName name="____XX6" hidden="1">{#N/A,#N/A,FALSE,"Yield";#N/A,#N/A,FALSE,"Loss1";#N/A,#N/A,FALSE,"Loss2";#N/A,#N/A,FALSE,"Hour-Labor(배분)";#N/A,#N/A,FALSE,"Capital Expenditure";#N/A,#N/A,FALSE,"Productivity"}</definedName>
    <definedName name="____XX7" hidden="1">{#N/A,#N/A,FALSE,"98소지이동TOTvs99.1 (2)";#N/A,#N/A,FALSE,"TOTAL";#N/A,#N/A,FALSE,"98소지이동TOTvs99.1(b) (2)"}</definedName>
    <definedName name="____XX8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_XX9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_ZZ1" hidden="1">{#N/A,#N/A,FALSE,"98소지이동TOTvs99.1 (2)";#N/A,#N/A,FALSE,"TOTAL";#N/A,#N/A,FALSE,"98소지이동TOTvs99.1(b) (2)"}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DB777" hidden="1">{#N/A,#N/A,TRUE,"Y생산";#N/A,#N/A,TRUE,"Y판매";#N/A,#N/A,TRUE,"Y총물량";#N/A,#N/A,TRUE,"Y능력";#N/A,#N/A,TRUE,"YKD"}</definedName>
    <definedName name="___G1" hidden="1">{#N/A,#N/A,FALSE,"단축1";#N/A,#N/A,FALSE,"단축2";#N/A,#N/A,FALSE,"단축3";#N/A,#N/A,FALSE,"장축";#N/A,#N/A,FALSE,"4WD"}</definedName>
    <definedName name="___jh1" hidden="1">{#N/A,#N/A,FALSE,"Yield";#N/A,#N/A,FALSE,"Loss1";#N/A,#N/A,FALSE,"Loss2";#N/A,#N/A,FALSE,"Hour-Labor(배분)";#N/A,#N/A,FALSE,"Capital Expenditure";#N/A,#N/A,FALSE,"Productivity"}</definedName>
    <definedName name="___jh3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jh4" hidden="1">{#N/A,#N/A,FALSE,"Yield";#N/A,#N/A,FALSE,"Loss1";#N/A,#N/A,FALSE,"Loss2";#N/A,#N/A,FALSE,"Hour-Labor(배분)";#N/A,#N/A,FALSE,"Capital Expenditure";#N/A,#N/A,FALSE,"Productivity"}</definedName>
    <definedName name="___jh5" hidden="1">{#N/A,#N/A,FALSE,"98소지이동TOTvs99.1 (2)";#N/A,#N/A,FALSE,"TOTAL";#N/A,#N/A,FALSE,"98소지이동TOTvs99.1(b) (2)"}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nbj75" hidden="1">{#N/A,#N/A,FALSE,"단축1";#N/A,#N/A,FALSE,"단축2";#N/A,#N/A,FALSE,"단축3";#N/A,#N/A,FALSE,"장축";#N/A,#N/A,FALSE,"4WD"}</definedName>
    <definedName name="___Q5" hidden="1">{#N/A,#N/A,FALSE,"KMC최종회의(7월) 자료"}</definedName>
    <definedName name="___Q7" hidden="1">{#N/A,#N/A,FALSE,"KMC최종회의(7월) 자료"}</definedName>
    <definedName name="___Q8" hidden="1">{#N/A,#N/A,FALSE,"KMC최종회의(7월) 자료"}</definedName>
    <definedName name="___Q9" hidden="1">{#N/A,#N/A,FALSE,"KMC최종회의(7월) 자료"}</definedName>
    <definedName name="___RR1" hidden="1">{#N/A,#N/A,FALSE,"98소지이동TOTvs99.1 (2)";#N/A,#N/A,FALSE,"TOTAL";#N/A,#N/A,FALSE,"98소지이동TOTvs99.1(b) (2)"}</definedName>
    <definedName name="___RR2" hidden="1">{#N/A,#N/A,FALSE,"군산원가";#N/A,#N/A,FALSE,"팀별월별";#N/A,#N/A,FALSE,"타공정대체";#N/A,#N/A,FALSE,"기타경비";#N/A,#N/A,FALSE,"원료";#N/A,#N/A,FALSE,"연료"}</definedName>
    <definedName name="___RR3" hidden="1">{#N/A,#N/A,FALSE,"군산원가";#N/A,#N/A,FALSE,"팀별월별";#N/A,#N/A,FALSE,"타공정대체";#N/A,#N/A,FALSE,"기타경비";#N/A,#N/A,FALSE,"원료";#N/A,#N/A,FALSE,"연료"}</definedName>
    <definedName name="___RR4" hidden="1">{#N/A,#N/A,FALSE,"98소지이동TOTvs99.1 (2)";#N/A,#N/A,FALSE,"TOTAL";#N/A,#N/A,FALSE,"98소지이동TOTvs99.1(b) (2)"}</definedName>
    <definedName name="___RR5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RR6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RR7" hidden="1">{#N/A,#N/A,FALSE,"Yield";#N/A,#N/A,FALSE,"Loss1";#N/A,#N/A,FALSE,"Loss2";#N/A,#N/A,FALSE,"Hour-Labor(배분)";#N/A,#N/A,FALSE,"Capital Expenditure";#N/A,#N/A,FALSE,"Productivity"}</definedName>
    <definedName name="___RR8" hidden="1">{#N/A,#N/A,FALSE,"98소지이동TOTvs99.1 (2)";#N/A,#N/A,FALSE,"TOTAL";#N/A,#N/A,FALSE,"98소지이동TOTvs99.1(b) (2)"}</definedName>
    <definedName name="___S1" hidden="1">{#N/A,#N/A,FALSE,"KMC최종회의(7월) 자료"}</definedName>
    <definedName name="___S2" hidden="1">{#N/A,#N/A,FALSE,"KMC최종회의(7월) 자료"}</definedName>
    <definedName name="___S3" hidden="1">{#N/A,#N/A,FALSE,"KMC최종회의(7월) 자료"}</definedName>
    <definedName name="___S4" hidden="1">{#N/A,#N/A,FALSE,"KMC최종회의(7월) 자료"}</definedName>
    <definedName name="___S5" hidden="1">{#N/A,#N/A,FALSE,"KMC최종회의(7월) 자료"}</definedName>
    <definedName name="___S6" hidden="1">{#N/A,#N/A,FALSE,"KMC최종회의(7월) 자료"}</definedName>
    <definedName name="___S7" hidden="1">{#N/A,#N/A,FALSE,"KMC최종회의(7월) 자료"}</definedName>
    <definedName name="___S8" hidden="1">{#N/A,#N/A,FALSE,"KMC최종회의(7월) 자료"}</definedName>
    <definedName name="___SS1" hidden="1">{#N/A,#N/A,FALSE,"98소지이동TOTvs99.1 (2)";#N/A,#N/A,FALSE,"TOTAL";#N/A,#N/A,FALSE,"98소지이동TOTvs99.1(b) (2)"}</definedName>
    <definedName name="___SS10" hidden="1">{#N/A,#N/A,FALSE,"군산원가";#N/A,#N/A,FALSE,"팀별월별";#N/A,#N/A,FALSE,"타공정대체";#N/A,#N/A,FALSE,"기타경비";#N/A,#N/A,FALSE,"원료";#N/A,#N/A,FALSE,"연료"}</definedName>
    <definedName name="___SS11" hidden="1">{#N/A,#N/A,FALSE,"98소지이동TOTvs99.1 (2)";#N/A,#N/A,FALSE,"TOTAL";#N/A,#N/A,FALSE,"98소지이동TOTvs99.1(b) (2)"}</definedName>
    <definedName name="___SS12" hidden="1">{#N/A,#N/A,FALSE,"98소지이동TOTvs99.1 (2)";#N/A,#N/A,FALSE,"TOTAL";#N/A,#N/A,FALSE,"98소지이동TOTvs99.1(b) (2)"}</definedName>
    <definedName name="___SS13" hidden="1">{#N/A,#N/A,FALSE,"98소지이동TOTvs99.1 (2)";#N/A,#N/A,FALSE,"TOTAL";#N/A,#N/A,FALSE,"98소지이동TOTvs99.1(b) (2)"}</definedName>
    <definedName name="___SS14" hidden="1">{#N/A,#N/A,FALSE,"98소지이동TOTvs99.1 (2)";#N/A,#N/A,FALSE,"TOTAL";#N/A,#N/A,FALSE,"98소지이동TOTvs99.1(b) (2)"}</definedName>
    <definedName name="___SS15" hidden="1">{#N/A,#N/A,FALSE,"군산원가";#N/A,#N/A,FALSE,"팀별월별";#N/A,#N/A,FALSE,"타공정대체";#N/A,#N/A,FALSE,"기타경비";#N/A,#N/A,FALSE,"원료";#N/A,#N/A,FALSE,"연료"}</definedName>
    <definedName name="___SS16" hidden="1">{#N/A,#N/A,FALSE,"군산원가";#N/A,#N/A,FALSE,"팀별월별";#N/A,#N/A,FALSE,"타공정대체";#N/A,#N/A,FALSE,"기타경비";#N/A,#N/A,FALSE,"원료";#N/A,#N/A,FALSE,"연료"}</definedName>
    <definedName name="___SS17" hidden="1">{#N/A,#N/A,FALSE,"군산원가";#N/A,#N/A,FALSE,"팀별월별";#N/A,#N/A,FALSE,"타공정대체";#N/A,#N/A,FALSE,"기타경비";#N/A,#N/A,FALSE,"원료";#N/A,#N/A,FALSE,"연료"}</definedName>
    <definedName name="___SS18" hidden="1">{#N/A,#N/A,FALSE,"군산원가";#N/A,#N/A,FALSE,"팀별월별";#N/A,#N/A,FALSE,"타공정대체";#N/A,#N/A,FALSE,"기타경비";#N/A,#N/A,FALSE,"원료";#N/A,#N/A,FALSE,"연료"}</definedName>
    <definedName name="___SS19" hidden="1">{#N/A,#N/A,FALSE,"Yield";#N/A,#N/A,FALSE,"Loss1";#N/A,#N/A,FALSE,"Loss2";#N/A,#N/A,FALSE,"Hour-Labor(배분)";#N/A,#N/A,FALSE,"Capital Expenditure";#N/A,#N/A,FALSE,"Productivity"}</definedName>
    <definedName name="___SS2" hidden="1">{#N/A,#N/A,FALSE,"98소지이동TOTvs99.1 (2)";#N/A,#N/A,FALSE,"TOTAL";#N/A,#N/A,FALSE,"98소지이동TOTvs99.1(b) (2)"}</definedName>
    <definedName name="___SS20" hidden="1">{#N/A,#N/A,FALSE,"98소지이동TOTvs99.1 (2)";#N/A,#N/A,FALSE,"TOTAL";#N/A,#N/A,FALSE,"98소지이동TOTvs99.1(b) (2)"}</definedName>
    <definedName name="___SS21" hidden="1">{#N/A,#N/A,FALSE,"98소지이동TOTvs99.1 (2)";#N/A,#N/A,FALSE,"TOTAL";#N/A,#N/A,FALSE,"98소지이동TOTvs99.1(b) (2)"}</definedName>
    <definedName name="___SS22" hidden="1">{#N/A,#N/A,FALSE,"Yield";#N/A,#N/A,FALSE,"Loss1";#N/A,#N/A,FALSE,"Loss2";#N/A,#N/A,FALSE,"Hour-Labor(배분)";#N/A,#N/A,FALSE,"Capital Expenditure";#N/A,#N/A,FALSE,"Productivity"}</definedName>
    <definedName name="___SS23" hidden="1">{#N/A,#N/A,FALSE,"Yield";#N/A,#N/A,FALSE,"Loss1";#N/A,#N/A,FALSE,"Loss2";#N/A,#N/A,FALSE,"Hour-Labor(배분)";#N/A,#N/A,FALSE,"Capital Expenditure";#N/A,#N/A,FALSE,"Productivity"}</definedName>
    <definedName name="___SS24" hidden="1">{#N/A,#N/A,FALSE,"Yield";#N/A,#N/A,FALSE,"Loss1";#N/A,#N/A,FALSE,"Loss2";#N/A,#N/A,FALSE,"Hour-Labor(배분)";#N/A,#N/A,FALSE,"Capital Expenditure";#N/A,#N/A,FALSE,"Productivity"}</definedName>
    <definedName name="___SS25" hidden="1">{#N/A,#N/A,FALSE,"98소지이동TOTvs99.1 (2)";#N/A,#N/A,FALSE,"TOTAL";#N/A,#N/A,FALSE,"98소지이동TOTvs99.1(b) (2)"}</definedName>
    <definedName name="___SS2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SS27" hidden="1">{#N/A,#N/A,FALSE,"Yield";#N/A,#N/A,FALSE,"Loss1";#N/A,#N/A,FALSE,"Loss2";#N/A,#N/A,FALSE,"Hour-Labor(배분)";#N/A,#N/A,FALSE,"Capital Expenditure";#N/A,#N/A,FALSE,"Productivity"}</definedName>
    <definedName name="___SS28" hidden="1">{#N/A,#N/A,FALSE,"군산원가";#N/A,#N/A,FALSE,"팀별월별";#N/A,#N/A,FALSE,"타공정대체";#N/A,#N/A,FALSE,"기타경비";#N/A,#N/A,FALSE,"원료";#N/A,#N/A,FALSE,"연료"}</definedName>
    <definedName name="___SS29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SS3" hidden="1">{#N/A,#N/A,FALSE,"군산원가";#N/A,#N/A,FALSE,"팀별월별";#N/A,#N/A,FALSE,"타공정대체";#N/A,#N/A,FALSE,"기타경비";#N/A,#N/A,FALSE,"원료";#N/A,#N/A,FALSE,"연료"}</definedName>
    <definedName name="___SS30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SS31" hidden="1">{#N/A,#N/A,FALSE,"Yield";#N/A,#N/A,FALSE,"Loss1";#N/A,#N/A,FALSE,"Loss2";#N/A,#N/A,FALSE,"Hour-Labor(배분)";#N/A,#N/A,FALSE,"Capital Expenditure";#N/A,#N/A,FALSE,"Productivity"}</definedName>
    <definedName name="___SS32" hidden="1">{#N/A,#N/A,FALSE,"98소지이동TOTvs99.1 (2)";#N/A,#N/A,FALSE,"TOTAL";#N/A,#N/A,FALSE,"98소지이동TOTvs99.1(b) (2)"}</definedName>
    <definedName name="___SS4" hidden="1">{#N/A,#N/A,FALSE,"군산원가";#N/A,#N/A,FALSE,"팀별월별";#N/A,#N/A,FALSE,"타공정대체";#N/A,#N/A,FALSE,"기타경비";#N/A,#N/A,FALSE,"원료";#N/A,#N/A,FALSE,"연료"}</definedName>
    <definedName name="___SS5" hidden="1">{#N/A,#N/A,FALSE,"98소지이동TOTvs99.1 (2)";#N/A,#N/A,FALSE,"TOTAL";#N/A,#N/A,FALSE,"98소지이동TOTvs99.1(b) (2)"}</definedName>
    <definedName name="___SS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SS7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SS8" hidden="1">{#N/A,#N/A,FALSE,"98소지이동TOTvs99.1 (2)";#N/A,#N/A,FALSE,"TOTAL";#N/A,#N/A,FALSE,"98소지이동TOTvs99.1(b) (2)"}</definedName>
    <definedName name="___SS9" hidden="1">{#N/A,#N/A,FALSE,"98소지이동TOTvs99.1 (2)";#N/A,#N/A,FALSE,"TOTAL";#N/A,#N/A,FALSE,"98소지이동TOTvs99.1(b) (2)"}</definedName>
    <definedName name="___T2" hidden="1">{#N/A,#N/A,FALSE,"단축1";#N/A,#N/A,FALSE,"단축2";#N/A,#N/A,FALSE,"단축3";#N/A,#N/A,FALSE,"장축";#N/A,#N/A,FALSE,"4WD"}</definedName>
    <definedName name="___W1" hidden="1">{#N/A,#N/A,FALSE,"KMC최종회의(7월) 자료"}</definedName>
    <definedName name="___W3" hidden="1">{#N/A,#N/A,FALSE,"KMC최종회의(7월) 자료"}</definedName>
    <definedName name="___W4" hidden="1">{#N/A,#N/A,FALSE,"KMC최종회의(7월) 자료"}</definedName>
    <definedName name="___W5" hidden="1">{#N/A,#N/A,FALSE,"KMC최종회의(7월) 자료"}</definedName>
    <definedName name="___W6" hidden="1">{#N/A,#N/A,FALSE,"KMC최종회의(7월) 자료"}</definedName>
    <definedName name="___W7" hidden="1">{#N/A,#N/A,FALSE,"KMC최종회의(7월) 자료"}</definedName>
    <definedName name="___W8" hidden="1">{#N/A,#N/A,FALSE,"KMC최종회의(7월) 자료"}</definedName>
    <definedName name="___W9" hidden="1">{#N/A,#N/A,FALSE,"KMC최종회의(7월) 자료"}</definedName>
    <definedName name="___www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___X3" hidden="1">{#N/A,#N/A,FALSE,"KMC최종회의(7월) 자료"}</definedName>
    <definedName name="___X4" hidden="1">{#N/A,#N/A,FALSE,"KMC최종회의(7월) 자료"}</definedName>
    <definedName name="___X5" hidden="1">{#N/A,#N/A,FALSE,"KMC최종회의(7월) 자료"}</definedName>
    <definedName name="___X6" hidden="1">{#N/A,#N/A,FALSE,"KMC최종회의(7월) 자료"}</definedName>
    <definedName name="___X7" hidden="1">{#N/A,#N/A,FALSE,"KMC최종회의(7월) 자료"}</definedName>
    <definedName name="___X8" hidden="1">{#N/A,#N/A,FALSE,"KMC최종회의(7월) 자료"}</definedName>
    <definedName name="___XX1" hidden="1">{#N/A,#N/A,FALSE,"98소지이동TOTvs99.1 (2)";#N/A,#N/A,FALSE,"TOTAL";#N/A,#N/A,FALSE,"98소지이동TOTvs99.1(b) (2)"}</definedName>
    <definedName name="___XX10" hidden="1">{#N/A,#N/A,FALSE,"Yield";#N/A,#N/A,FALSE,"Loss1";#N/A,#N/A,FALSE,"Loss2";#N/A,#N/A,FALSE,"Hour-Labor(배분)";#N/A,#N/A,FALSE,"Capital Expenditure";#N/A,#N/A,FALSE,"Productivity"}</definedName>
    <definedName name="___XX2" hidden="1">{#N/A,#N/A,FALSE,"98소지이동TOTvs99.1 (2)";#N/A,#N/A,FALSE,"TOTAL";#N/A,#N/A,FALSE,"98소지이동TOTvs99.1(b) (2)"}</definedName>
    <definedName name="___XX3" hidden="1">{#N/A,#N/A,FALSE,"98소지이동TOTvs99.1 (2)";#N/A,#N/A,FALSE,"TOTAL";#N/A,#N/A,FALSE,"98소지이동TOTvs99.1(b) (2)"}</definedName>
    <definedName name="___XX4" hidden="1">{#N/A,#N/A,FALSE,"군산원가";#N/A,#N/A,FALSE,"팀별월별";#N/A,#N/A,FALSE,"타공정대체";#N/A,#N/A,FALSE,"기타경비";#N/A,#N/A,FALSE,"원료";#N/A,#N/A,FALSE,"연료"}</definedName>
    <definedName name="___XX5" hidden="1">{#N/A,#N/A,FALSE,"군산원가";#N/A,#N/A,FALSE,"팀별월별";#N/A,#N/A,FALSE,"타공정대체";#N/A,#N/A,FALSE,"기타경비";#N/A,#N/A,FALSE,"원료";#N/A,#N/A,FALSE,"연료"}</definedName>
    <definedName name="___XX6" hidden="1">{#N/A,#N/A,FALSE,"Yield";#N/A,#N/A,FALSE,"Loss1";#N/A,#N/A,FALSE,"Loss2";#N/A,#N/A,FALSE,"Hour-Labor(배분)";#N/A,#N/A,FALSE,"Capital Expenditure";#N/A,#N/A,FALSE,"Productivity"}</definedName>
    <definedName name="___XX7" hidden="1">{#N/A,#N/A,FALSE,"98소지이동TOTvs99.1 (2)";#N/A,#N/A,FALSE,"TOTAL";#N/A,#N/A,FALSE,"98소지이동TOTvs99.1(b) (2)"}</definedName>
    <definedName name="___XX8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_XX9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_YA002">'[1]1经营'!$E$8</definedName>
    <definedName name="___YA008">[2]T02!$E$23</definedName>
    <definedName name="___YA009">'[1]1经营'!$E$23</definedName>
    <definedName name="___YA015">'[1]1经营'!$E$32</definedName>
    <definedName name="___YA020">'[1]1经营'!$E$39</definedName>
    <definedName name="___YA024">'[1]1经营'!$E$43</definedName>
    <definedName name="___YA028">[2]T02!$E$49</definedName>
    <definedName name="___YA035">'[1]1经营'!$E$55</definedName>
    <definedName name="___YA045">'[1]1经营'!$E$61</definedName>
    <definedName name="___YC001">[2]T02!$E$45</definedName>
    <definedName name="___YC101">'[1]1经营'!$E$47</definedName>
    <definedName name="___YE208">'[1]1经营'!$E$62</definedName>
    <definedName name="___YE210">'[1]1经营'!$E$63</definedName>
    <definedName name="___YE215">'[1]1经营'!$E$64</definedName>
    <definedName name="___Z1" hidden="1">{#N/A,#N/A,FALSE,"KMC최종회의(7월) 자료"}</definedName>
    <definedName name="___Z2" hidden="1">{#N/A,#N/A,FALSE,"KMC최종회의(7월) 자료"}</definedName>
    <definedName name="___Z3" hidden="1">{#N/A,#N/A,FALSE,"KMC최종회의(7월) 자료"}</definedName>
    <definedName name="___Z4" hidden="1">{#N/A,#N/A,FALSE,"KMC최종회의(7월) 자료"}</definedName>
    <definedName name="___Z5" hidden="1">{#N/A,#N/A,FALSE,"KMC최종회의(7월) 자료"}</definedName>
    <definedName name="___Z6" hidden="1">{#N/A,#N/A,FALSE,"KMC최종회의(7월) 자료"}</definedName>
    <definedName name="___Z7" hidden="1">{#N/A,#N/A,FALSE,"KMC최종회의(7월) 자료"}</definedName>
    <definedName name="___Z8" hidden="1">{#N/A,#N/A,FALSE,"KMC최종회의(7월) 자료"}</definedName>
    <definedName name="___Z9" hidden="1">{#N/A,#N/A,FALSE,"KMC최종회의(7월) 자료"}</definedName>
    <definedName name="___ZZ1" hidden="1">{#N/A,#N/A,FALSE,"98소지이동TOTvs99.1 (2)";#N/A,#N/A,FALSE,"TOTAL";#N/A,#N/A,FALSE,"98소지이동TOTvs99.1(b) (2)"}</definedName>
    <definedName name="__123Graph_A" localSheetId="7" hidden="1">[3]시산표!#REF!</definedName>
    <definedName name="__123Graph_A" localSheetId="8" hidden="1">[3]시산표!#REF!</definedName>
    <definedName name="__123Graph_A" localSheetId="10" hidden="1">[3]시산표!#REF!</definedName>
    <definedName name="__123Graph_A" localSheetId="9" hidden="1">[3]시산표!#REF!</definedName>
    <definedName name="__123Graph_A" hidden="1">'[4]2 카드채권(대출포함)'!#REF!</definedName>
    <definedName name="__123Graph_B" localSheetId="7" hidden="1">[3]시산표!#REF!</definedName>
    <definedName name="__123Graph_B" localSheetId="8" hidden="1">[3]시산표!#REF!</definedName>
    <definedName name="__123Graph_B" localSheetId="10" hidden="1">[3]시산표!#REF!</definedName>
    <definedName name="__123Graph_B" localSheetId="9" hidden="1">[3]시산표!#REF!</definedName>
    <definedName name="__123Graph_B" hidden="1">#REF!</definedName>
    <definedName name="__123Graph_C" hidden="1">#REF!</definedName>
    <definedName name="__123Graph_D" hidden="1">'[5]99선급비용'!#REF!</definedName>
    <definedName name="__123Graph_LBL_A" localSheetId="7" hidden="1">[3]시산표!#REF!</definedName>
    <definedName name="__123Graph_LBL_A" localSheetId="8" hidden="1">[3]시산표!#REF!</definedName>
    <definedName name="__123Graph_LBL_A" localSheetId="10" hidden="1">[3]시산표!#REF!</definedName>
    <definedName name="__123Graph_LBL_A" localSheetId="9" hidden="1">[3]시산표!#REF!</definedName>
    <definedName name="__123Graph_LBL_A" hidden="1">'[4]2 카드채권(대출포함)'!#REF!</definedName>
    <definedName name="__123Graph_LBL_B" localSheetId="7" hidden="1">[3]시산표!#REF!</definedName>
    <definedName name="__123Graph_LBL_B" localSheetId="8" hidden="1">[3]시산표!#REF!</definedName>
    <definedName name="__123Graph_LBL_B" localSheetId="10" hidden="1">[3]시산표!#REF!</definedName>
    <definedName name="__123Graph_LBL_B" localSheetId="9" hidden="1">[3]시산표!#REF!</definedName>
    <definedName name="__123Graph_LBL_B" hidden="1">[6]시산표!#REF!</definedName>
    <definedName name="__123Graph_LBL_E" hidden="1">[7]지역개발!#REF!</definedName>
    <definedName name="__123Graph_X" localSheetId="7" hidden="1">[3]시산표!#REF!</definedName>
    <definedName name="__123Graph_X" localSheetId="8" hidden="1">[3]시산표!#REF!</definedName>
    <definedName name="__123Graph_X" localSheetId="10" hidden="1">[3]시산표!#REF!</definedName>
    <definedName name="__123Graph_X" localSheetId="9" hidden="1">[3]시산표!#REF!</definedName>
    <definedName name="__123Graph_X" hidden="1">[6]시산표!#REF!</definedName>
    <definedName name="_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DB777" hidden="1">{#N/A,#N/A,TRUE,"Y생산";#N/A,#N/A,TRUE,"Y판매";#N/A,#N/A,TRUE,"Y총물량";#N/A,#N/A,TRUE,"Y능력";#N/A,#N/A,TRUE,"YKD"}</definedName>
    <definedName name="__G1" hidden="1">{#N/A,#N/A,FALSE,"단축1";#N/A,#N/A,FALSE,"단축2";#N/A,#N/A,FALSE,"단축3";#N/A,#N/A,FALSE,"장축";#N/A,#N/A,FALSE,"4WD"}</definedName>
    <definedName name="__IntlFixup">TRUE</definedName>
    <definedName name="__IVO1">#REF!</definedName>
    <definedName name="__j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_jh1" hidden="1">{#N/A,#N/A,FALSE,"Yield";#N/A,#N/A,FALSE,"Loss1";#N/A,#N/A,FALSE,"Loss2";#N/A,#N/A,FALSE,"Hour-Labor(배분)";#N/A,#N/A,FALSE,"Capital Expenditure";#N/A,#N/A,FALSE,"Productivity"}</definedName>
    <definedName name="__jh3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jh4" hidden="1">{#N/A,#N/A,FALSE,"Yield";#N/A,#N/A,FALSE,"Loss1";#N/A,#N/A,FALSE,"Loss2";#N/A,#N/A,FALSE,"Hour-Labor(배분)";#N/A,#N/A,FALSE,"Capital Expenditure";#N/A,#N/A,FALSE,"Productivity"}</definedName>
    <definedName name="__jh5" hidden="1">{#N/A,#N/A,FALSE,"98소지이동TOTvs99.1 (2)";#N/A,#N/A,FALSE,"TOTAL";#N/A,#N/A,FALSE,"98소지이동TOTvs99.1(b) (2)"}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nbj75" hidden="1">{#N/A,#N/A,FALSE,"단축1";#N/A,#N/A,FALSE,"단축2";#N/A,#N/A,FALSE,"단축3";#N/A,#N/A,FALSE,"장축";#N/A,#N/A,FALSE,"4WD"}</definedName>
    <definedName name="__q45">{"'용역비'!$A$4:$C$8"}</definedName>
    <definedName name="__Q5" hidden="1">{#N/A,#N/A,FALSE,"KMC최종회의(7월) 자료"}</definedName>
    <definedName name="__Q7" hidden="1">{#N/A,#N/A,FALSE,"KMC최종회의(7월) 자료"}</definedName>
    <definedName name="__Q8" hidden="1">{#N/A,#N/A,FALSE,"KMC최종회의(7월) 자료"}</definedName>
    <definedName name="__Q9" hidden="1">{#N/A,#N/A,FALSE,"KMC최종회의(7월) 자료"}</definedName>
    <definedName name="__RR1" hidden="1">{#N/A,#N/A,FALSE,"98소지이동TOTvs99.1 (2)";#N/A,#N/A,FALSE,"TOTAL";#N/A,#N/A,FALSE,"98소지이동TOTvs99.1(b) (2)"}</definedName>
    <definedName name="__RR2" hidden="1">{#N/A,#N/A,FALSE,"군산원가";#N/A,#N/A,FALSE,"팀별월별";#N/A,#N/A,FALSE,"타공정대체";#N/A,#N/A,FALSE,"기타경비";#N/A,#N/A,FALSE,"원료";#N/A,#N/A,FALSE,"연료"}</definedName>
    <definedName name="__RR3" hidden="1">{#N/A,#N/A,FALSE,"군산원가";#N/A,#N/A,FALSE,"팀별월별";#N/A,#N/A,FALSE,"타공정대체";#N/A,#N/A,FALSE,"기타경비";#N/A,#N/A,FALSE,"원료";#N/A,#N/A,FALSE,"연료"}</definedName>
    <definedName name="__RR4" hidden="1">{#N/A,#N/A,FALSE,"98소지이동TOTvs99.1 (2)";#N/A,#N/A,FALSE,"TOTAL";#N/A,#N/A,FALSE,"98소지이동TOTvs99.1(b) (2)"}</definedName>
    <definedName name="__RR5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RR6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RR7" hidden="1">{#N/A,#N/A,FALSE,"Yield";#N/A,#N/A,FALSE,"Loss1";#N/A,#N/A,FALSE,"Loss2";#N/A,#N/A,FALSE,"Hour-Labor(배분)";#N/A,#N/A,FALSE,"Capital Expenditure";#N/A,#N/A,FALSE,"Productivity"}</definedName>
    <definedName name="__RR8" hidden="1">{#N/A,#N/A,FALSE,"98소지이동TOTvs99.1 (2)";#N/A,#N/A,FALSE,"TOTAL";#N/A,#N/A,FALSE,"98소지이동TOTvs99.1(b) (2)"}</definedName>
    <definedName name="__S1" hidden="1">{#N/A,#N/A,FALSE,"KMC최종회의(7월) 자료"}</definedName>
    <definedName name="__S2" hidden="1">{#N/A,#N/A,FALSE,"KMC최종회의(7월) 자료"}</definedName>
    <definedName name="__S3" hidden="1">{#N/A,#N/A,FALSE,"KMC최종회의(7월) 자료"}</definedName>
    <definedName name="__S4" hidden="1">{#N/A,#N/A,FALSE,"KMC최종회의(7월) 자료"}</definedName>
    <definedName name="__S5" hidden="1">{#N/A,#N/A,FALSE,"KMC최종회의(7월) 자료"}</definedName>
    <definedName name="__S6" hidden="1">{#N/A,#N/A,FALSE,"KMC최종회의(7월) 자료"}</definedName>
    <definedName name="__S7" hidden="1">{#N/A,#N/A,FALSE,"KMC최종회의(7월) 자료"}</definedName>
    <definedName name="__S8" hidden="1">{#N/A,#N/A,FALSE,"KMC최종회의(7월) 자료"}</definedName>
    <definedName name="__SS1" hidden="1">{#N/A,#N/A,FALSE,"98소지이동TOTvs99.1 (2)";#N/A,#N/A,FALSE,"TOTAL";#N/A,#N/A,FALSE,"98소지이동TOTvs99.1(b) (2)"}</definedName>
    <definedName name="__SS10" hidden="1">{#N/A,#N/A,FALSE,"군산원가";#N/A,#N/A,FALSE,"팀별월별";#N/A,#N/A,FALSE,"타공정대체";#N/A,#N/A,FALSE,"기타경비";#N/A,#N/A,FALSE,"원료";#N/A,#N/A,FALSE,"연료"}</definedName>
    <definedName name="__SS11" hidden="1">{#N/A,#N/A,FALSE,"98소지이동TOTvs99.1 (2)";#N/A,#N/A,FALSE,"TOTAL";#N/A,#N/A,FALSE,"98소지이동TOTvs99.1(b) (2)"}</definedName>
    <definedName name="__SS12" hidden="1">{#N/A,#N/A,FALSE,"98소지이동TOTvs99.1 (2)";#N/A,#N/A,FALSE,"TOTAL";#N/A,#N/A,FALSE,"98소지이동TOTvs99.1(b) (2)"}</definedName>
    <definedName name="__SS13" hidden="1">{#N/A,#N/A,FALSE,"98소지이동TOTvs99.1 (2)";#N/A,#N/A,FALSE,"TOTAL";#N/A,#N/A,FALSE,"98소지이동TOTvs99.1(b) (2)"}</definedName>
    <definedName name="__SS14" hidden="1">{#N/A,#N/A,FALSE,"98소지이동TOTvs99.1 (2)";#N/A,#N/A,FALSE,"TOTAL";#N/A,#N/A,FALSE,"98소지이동TOTvs99.1(b) (2)"}</definedName>
    <definedName name="__SS15" hidden="1">{#N/A,#N/A,FALSE,"군산원가";#N/A,#N/A,FALSE,"팀별월별";#N/A,#N/A,FALSE,"타공정대체";#N/A,#N/A,FALSE,"기타경비";#N/A,#N/A,FALSE,"원료";#N/A,#N/A,FALSE,"연료"}</definedName>
    <definedName name="__SS16" hidden="1">{#N/A,#N/A,FALSE,"군산원가";#N/A,#N/A,FALSE,"팀별월별";#N/A,#N/A,FALSE,"타공정대체";#N/A,#N/A,FALSE,"기타경비";#N/A,#N/A,FALSE,"원료";#N/A,#N/A,FALSE,"연료"}</definedName>
    <definedName name="__SS17" hidden="1">{#N/A,#N/A,FALSE,"군산원가";#N/A,#N/A,FALSE,"팀별월별";#N/A,#N/A,FALSE,"타공정대체";#N/A,#N/A,FALSE,"기타경비";#N/A,#N/A,FALSE,"원료";#N/A,#N/A,FALSE,"연료"}</definedName>
    <definedName name="__SS18" hidden="1">{#N/A,#N/A,FALSE,"군산원가";#N/A,#N/A,FALSE,"팀별월별";#N/A,#N/A,FALSE,"타공정대체";#N/A,#N/A,FALSE,"기타경비";#N/A,#N/A,FALSE,"원료";#N/A,#N/A,FALSE,"연료"}</definedName>
    <definedName name="__SS19" hidden="1">{#N/A,#N/A,FALSE,"Yield";#N/A,#N/A,FALSE,"Loss1";#N/A,#N/A,FALSE,"Loss2";#N/A,#N/A,FALSE,"Hour-Labor(배분)";#N/A,#N/A,FALSE,"Capital Expenditure";#N/A,#N/A,FALSE,"Productivity"}</definedName>
    <definedName name="__SS2" hidden="1">{#N/A,#N/A,FALSE,"98소지이동TOTvs99.1 (2)";#N/A,#N/A,FALSE,"TOTAL";#N/A,#N/A,FALSE,"98소지이동TOTvs99.1(b) (2)"}</definedName>
    <definedName name="__SS20" hidden="1">{#N/A,#N/A,FALSE,"98소지이동TOTvs99.1 (2)";#N/A,#N/A,FALSE,"TOTAL";#N/A,#N/A,FALSE,"98소지이동TOTvs99.1(b) (2)"}</definedName>
    <definedName name="__SS21" hidden="1">{#N/A,#N/A,FALSE,"98소지이동TOTvs99.1 (2)";#N/A,#N/A,FALSE,"TOTAL";#N/A,#N/A,FALSE,"98소지이동TOTvs99.1(b) (2)"}</definedName>
    <definedName name="__SS22" hidden="1">{#N/A,#N/A,FALSE,"Yield";#N/A,#N/A,FALSE,"Loss1";#N/A,#N/A,FALSE,"Loss2";#N/A,#N/A,FALSE,"Hour-Labor(배분)";#N/A,#N/A,FALSE,"Capital Expenditure";#N/A,#N/A,FALSE,"Productivity"}</definedName>
    <definedName name="__SS23" hidden="1">{#N/A,#N/A,FALSE,"Yield";#N/A,#N/A,FALSE,"Loss1";#N/A,#N/A,FALSE,"Loss2";#N/A,#N/A,FALSE,"Hour-Labor(배분)";#N/A,#N/A,FALSE,"Capital Expenditure";#N/A,#N/A,FALSE,"Productivity"}</definedName>
    <definedName name="__SS24" hidden="1">{#N/A,#N/A,FALSE,"Yield";#N/A,#N/A,FALSE,"Loss1";#N/A,#N/A,FALSE,"Loss2";#N/A,#N/A,FALSE,"Hour-Labor(배분)";#N/A,#N/A,FALSE,"Capital Expenditure";#N/A,#N/A,FALSE,"Productivity"}</definedName>
    <definedName name="__SS25" hidden="1">{#N/A,#N/A,FALSE,"98소지이동TOTvs99.1 (2)";#N/A,#N/A,FALSE,"TOTAL";#N/A,#N/A,FALSE,"98소지이동TOTvs99.1(b) (2)"}</definedName>
    <definedName name="__SS2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SS27" hidden="1">{#N/A,#N/A,FALSE,"Yield";#N/A,#N/A,FALSE,"Loss1";#N/A,#N/A,FALSE,"Loss2";#N/A,#N/A,FALSE,"Hour-Labor(배분)";#N/A,#N/A,FALSE,"Capital Expenditure";#N/A,#N/A,FALSE,"Productivity"}</definedName>
    <definedName name="__SS28" hidden="1">{#N/A,#N/A,FALSE,"군산원가";#N/A,#N/A,FALSE,"팀별월별";#N/A,#N/A,FALSE,"타공정대체";#N/A,#N/A,FALSE,"기타경비";#N/A,#N/A,FALSE,"원료";#N/A,#N/A,FALSE,"연료"}</definedName>
    <definedName name="__SS29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SS3" hidden="1">{#N/A,#N/A,FALSE,"군산원가";#N/A,#N/A,FALSE,"팀별월별";#N/A,#N/A,FALSE,"타공정대체";#N/A,#N/A,FALSE,"기타경비";#N/A,#N/A,FALSE,"원료";#N/A,#N/A,FALSE,"연료"}</definedName>
    <definedName name="__SS30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SS31" hidden="1">{#N/A,#N/A,FALSE,"Yield";#N/A,#N/A,FALSE,"Loss1";#N/A,#N/A,FALSE,"Loss2";#N/A,#N/A,FALSE,"Hour-Labor(배분)";#N/A,#N/A,FALSE,"Capital Expenditure";#N/A,#N/A,FALSE,"Productivity"}</definedName>
    <definedName name="__SS32" hidden="1">{#N/A,#N/A,FALSE,"98소지이동TOTvs99.1 (2)";#N/A,#N/A,FALSE,"TOTAL";#N/A,#N/A,FALSE,"98소지이동TOTvs99.1(b) (2)"}</definedName>
    <definedName name="__SS4" hidden="1">{#N/A,#N/A,FALSE,"군산원가";#N/A,#N/A,FALSE,"팀별월별";#N/A,#N/A,FALSE,"타공정대체";#N/A,#N/A,FALSE,"기타경비";#N/A,#N/A,FALSE,"원료";#N/A,#N/A,FALSE,"연료"}</definedName>
    <definedName name="__SS5" hidden="1">{#N/A,#N/A,FALSE,"98소지이동TOTvs99.1 (2)";#N/A,#N/A,FALSE,"TOTAL";#N/A,#N/A,FALSE,"98소지이동TOTvs99.1(b) (2)"}</definedName>
    <definedName name="__SS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SS7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SS8" hidden="1">{#N/A,#N/A,FALSE,"98소지이동TOTvs99.1 (2)";#N/A,#N/A,FALSE,"TOTAL";#N/A,#N/A,FALSE,"98소지이동TOTvs99.1(b) (2)"}</definedName>
    <definedName name="__SS9" hidden="1">{#N/A,#N/A,FALSE,"98소지이동TOTvs99.1 (2)";#N/A,#N/A,FALSE,"TOTAL";#N/A,#N/A,FALSE,"98소지이동TOTvs99.1(b) (2)"}</definedName>
    <definedName name="__SUB1">#REF!</definedName>
    <definedName name="__SUB2">#REF!</definedName>
    <definedName name="__T2" hidden="1">{#N/A,#N/A,FALSE,"단축1";#N/A,#N/A,FALSE,"단축2";#N/A,#N/A,FALSE,"단축3";#N/A,#N/A,FALSE,"장축";#N/A,#N/A,FALSE,"4WD"}</definedName>
    <definedName name="__W1" hidden="1">{#N/A,#N/A,FALSE,"KMC최종회의(7월) 자료"}</definedName>
    <definedName name="__W3" hidden="1">{#N/A,#N/A,FALSE,"KMC최종회의(7월) 자료"}</definedName>
    <definedName name="__W4" hidden="1">{#N/A,#N/A,FALSE,"KMC최종회의(7월) 자료"}</definedName>
    <definedName name="__W5" hidden="1">{#N/A,#N/A,FALSE,"KMC최종회의(7월) 자료"}</definedName>
    <definedName name="__W6" hidden="1">{#N/A,#N/A,FALSE,"KMC최종회의(7월) 자료"}</definedName>
    <definedName name="__W7" hidden="1">{#N/A,#N/A,FALSE,"KMC최종회의(7월) 자료"}</definedName>
    <definedName name="__W8" hidden="1">{#N/A,#N/A,FALSE,"KMC최종회의(7월) 자료"}</definedName>
    <definedName name="__W9" hidden="1">{#N/A,#N/A,FALSE,"KMC최종회의(7월) 자료"}</definedName>
    <definedName name="__www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__X3" hidden="1">{#N/A,#N/A,FALSE,"KMC최종회의(7월) 자료"}</definedName>
    <definedName name="__X4" hidden="1">{#N/A,#N/A,FALSE,"KMC최종회의(7월) 자료"}</definedName>
    <definedName name="__X5" hidden="1">{#N/A,#N/A,FALSE,"KMC최종회의(7월) 자료"}</definedName>
    <definedName name="__X6" hidden="1">{#N/A,#N/A,FALSE,"KMC최종회의(7월) 자료"}</definedName>
    <definedName name="__X7" hidden="1">{#N/A,#N/A,FALSE,"KMC최종회의(7월) 자료"}</definedName>
    <definedName name="__X8" hidden="1">{#N/A,#N/A,FALSE,"KMC최종회의(7월) 자료"}</definedName>
    <definedName name="__xlfn.BAHTTEXT" hidden="1">#NAME?</definedName>
    <definedName name="__XX1" hidden="1">{#N/A,#N/A,FALSE,"98소지이동TOTvs99.1 (2)";#N/A,#N/A,FALSE,"TOTAL";#N/A,#N/A,FALSE,"98소지이동TOTvs99.1(b) (2)"}</definedName>
    <definedName name="__XX10" hidden="1">{#N/A,#N/A,FALSE,"Yield";#N/A,#N/A,FALSE,"Loss1";#N/A,#N/A,FALSE,"Loss2";#N/A,#N/A,FALSE,"Hour-Labor(배분)";#N/A,#N/A,FALSE,"Capital Expenditure";#N/A,#N/A,FALSE,"Productivity"}</definedName>
    <definedName name="__XX2" hidden="1">{#N/A,#N/A,FALSE,"98소지이동TOTvs99.1 (2)";#N/A,#N/A,FALSE,"TOTAL";#N/A,#N/A,FALSE,"98소지이동TOTvs99.1(b) (2)"}</definedName>
    <definedName name="__XX3" hidden="1">{#N/A,#N/A,FALSE,"98소지이동TOTvs99.1 (2)";#N/A,#N/A,FALSE,"TOTAL";#N/A,#N/A,FALSE,"98소지이동TOTvs99.1(b) (2)"}</definedName>
    <definedName name="__XX4" hidden="1">{#N/A,#N/A,FALSE,"군산원가";#N/A,#N/A,FALSE,"팀별월별";#N/A,#N/A,FALSE,"타공정대체";#N/A,#N/A,FALSE,"기타경비";#N/A,#N/A,FALSE,"원료";#N/A,#N/A,FALSE,"연료"}</definedName>
    <definedName name="__XX5" hidden="1">{#N/A,#N/A,FALSE,"군산원가";#N/A,#N/A,FALSE,"팀별월별";#N/A,#N/A,FALSE,"타공정대체";#N/A,#N/A,FALSE,"기타경비";#N/A,#N/A,FALSE,"원료";#N/A,#N/A,FALSE,"연료"}</definedName>
    <definedName name="__XX6" hidden="1">{#N/A,#N/A,FALSE,"Yield";#N/A,#N/A,FALSE,"Loss1";#N/A,#N/A,FALSE,"Loss2";#N/A,#N/A,FALSE,"Hour-Labor(배분)";#N/A,#N/A,FALSE,"Capital Expenditure";#N/A,#N/A,FALSE,"Productivity"}</definedName>
    <definedName name="__XX7" hidden="1">{#N/A,#N/A,FALSE,"98소지이동TOTvs99.1 (2)";#N/A,#N/A,FALSE,"TOTAL";#N/A,#N/A,FALSE,"98소지이동TOTvs99.1(b) (2)"}</definedName>
    <definedName name="__XX8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_XX9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_YA002">'[1]1经营'!$E$8</definedName>
    <definedName name="__YA008">[2]T02!$E$23</definedName>
    <definedName name="__YA009">'[1]1经营'!$E$23</definedName>
    <definedName name="__YA015">'[1]1经营'!$E$32</definedName>
    <definedName name="__YA020">'[1]1经营'!$E$39</definedName>
    <definedName name="__YA024">'[1]1经营'!$E$43</definedName>
    <definedName name="__YA028">[2]T02!$E$49</definedName>
    <definedName name="__YA035">'[1]1经营'!$E$55</definedName>
    <definedName name="__YA045">'[1]1经营'!$E$61</definedName>
    <definedName name="__YC001">[2]T02!$E$45</definedName>
    <definedName name="__YC101">'[1]1经营'!$E$47</definedName>
    <definedName name="__YE208">'[1]1经营'!$E$62</definedName>
    <definedName name="__YE210">'[1]1经营'!$E$63</definedName>
    <definedName name="__YE215">'[1]1经营'!$E$64</definedName>
    <definedName name="__Z1" hidden="1">{#N/A,#N/A,FALSE,"KMC최종회의(7월) 자료"}</definedName>
    <definedName name="__Z2" hidden="1">{#N/A,#N/A,FALSE,"KMC최종회의(7월) 자료"}</definedName>
    <definedName name="__Z3" hidden="1">{#N/A,#N/A,FALSE,"KMC최종회의(7월) 자료"}</definedName>
    <definedName name="__Z4" hidden="1">{#N/A,#N/A,FALSE,"KMC최종회의(7월) 자료"}</definedName>
    <definedName name="__Z5" hidden="1">{#N/A,#N/A,FALSE,"KMC최종회의(7월) 자료"}</definedName>
    <definedName name="__Z6" hidden="1">{#N/A,#N/A,FALSE,"KMC최종회의(7월) 자료"}</definedName>
    <definedName name="__Z7" hidden="1">{#N/A,#N/A,FALSE,"KMC최종회의(7월) 자료"}</definedName>
    <definedName name="__Z8" hidden="1">{#N/A,#N/A,FALSE,"KMC최종회의(7월) 자료"}</definedName>
    <definedName name="__Z9" hidden="1">{#N/A,#N/A,FALSE,"KMC최종회의(7월) 자료"}</definedName>
    <definedName name="__ZZ1" hidden="1">{#N/A,#N/A,FALSE,"98소지이동TOTvs99.1 (2)";#N/A,#N/A,FALSE,"TOTAL";#N/A,#N/A,FALSE,"98소지이동TOTvs99.1(b) (2)"}</definedName>
    <definedName name="_1">#REF!</definedName>
    <definedName name="_1_1._제품별_판매목표_내수">[8]전체!#REF!</definedName>
    <definedName name="_1_1¤?á?_Cl">#REF!</definedName>
    <definedName name="_1_5____123Grap" hidden="1">[9]시산표!#REF!</definedName>
    <definedName name="_1_5_0__123Grap" hidden="1">[10]시산표!#REF!</definedName>
    <definedName name="_1_CASH_FLOW">#REF!</definedName>
    <definedName name="_10_9_0__123Graph_LB" localSheetId="7" hidden="1">[11]시산표!#REF!</definedName>
    <definedName name="_10_9_0__123Graph_LB" localSheetId="8" hidden="1">[11]시산표!#REF!</definedName>
    <definedName name="_10_9_0__123Graph_LB" localSheetId="10" hidden="1">[11]시산표!#REF!</definedName>
    <definedName name="_10_9_0__123Graph_LB" localSheetId="9" hidden="1">[11]시산표!#REF!</definedName>
    <definedName name="_10_9_0__123Graph_LB" hidden="1">[9]시산표!#REF!</definedName>
    <definedName name="_1001">#REF!</definedName>
    <definedName name="_101600">#REF!</definedName>
    <definedName name="_1027">'[12]0001'!#REF!</definedName>
    <definedName name="_107s1_" hidden="1">{#N/A,#N/A,FALSE,"UNIT";#N/A,#N/A,FALSE,"UNIT";#N/A,#N/A,FALSE,"계정"}</definedName>
    <definedName name="_108s10_" hidden="1">{#N/A,#N/A,FALSE,"UNIT";#N/A,#N/A,FALSE,"UNIT";#N/A,#N/A,FALSE,"계정"}</definedName>
    <definedName name="_109s11_" hidden="1">{#N/A,#N/A,FALSE,"UNIT";#N/A,#N/A,FALSE,"UNIT";#N/A,#N/A,FALSE,"계정"}</definedName>
    <definedName name="_10cc1_" hidden="1">{#N/A,#N/A,FALSE,"군산원가";#N/A,#N/A,FALSE,"팀별월별";#N/A,#N/A,FALSE,"타공정대체";#N/A,#N/A,FALSE,"기타경비";#N/A,#N/A,FALSE,"원료";#N/A,#N/A,FALSE,"연료"}</definedName>
    <definedName name="_10월">#REF!</definedName>
    <definedName name="_110s12_" hidden="1">{#N/A,#N/A,FALSE,"UNIT";#N/A,#N/A,FALSE,"UNIT";#N/A,#N/A,FALSE,"계정"}</definedName>
    <definedName name="_111s13_" hidden="1">{#N/A,#N/A,FALSE,"UNIT";#N/A,#N/A,FALSE,"UNIT";#N/A,#N/A,FALSE,"계정"}</definedName>
    <definedName name="_112s14_" hidden="1">{#N/A,#N/A,FALSE,"UNIT";#N/A,#N/A,FALSE,"UNIT";#N/A,#N/A,FALSE,"계정"}</definedName>
    <definedName name="_113s16_" hidden="1">{#N/A,#N/A,FALSE,"UNIT";#N/A,#N/A,FALSE,"UNIT";#N/A,#N/A,FALSE,"계정"}</definedName>
    <definedName name="_114s17_" hidden="1">{#N/A,#N/A,FALSE,"UNIT";#N/A,#N/A,FALSE,"UNIT";#N/A,#N/A,FALSE,"계정"}</definedName>
    <definedName name="_115s2_" hidden="1">{#N/A,#N/A,FALSE,"UNIT";#N/A,#N/A,FALSE,"UNIT";#N/A,#N/A,FALSE,"계정"}</definedName>
    <definedName name="_116s3_" hidden="1">{#N/A,#N/A,FALSE,"UNIT";#N/A,#N/A,FALSE,"UNIT";#N/A,#N/A,FALSE,"계정"}</definedName>
    <definedName name="_117s4_" hidden="1">{#N/A,#N/A,FALSE,"UNIT";#N/A,#N/A,FALSE,"UNIT";#N/A,#N/A,FALSE,"계정"}</definedName>
    <definedName name="_118s5_" hidden="1">{#N/A,#N/A,FALSE,"UNIT";#N/A,#N/A,FALSE,"UNIT";#N/A,#N/A,FALSE,"계정"}</definedName>
    <definedName name="_119s6_" hidden="1">{#N/A,#N/A,FALSE,"UNIT";#N/A,#N/A,FALSE,"UNIT";#N/A,#N/A,FALSE,"계정"}</definedName>
    <definedName name="_11B31_" hidden="1">{"adj95mult",#N/A,FALSE,"COMPCO";"adj95est",#N/A,FALSE,"COMPCO"}</definedName>
    <definedName name="_11cc2_" hidden="1">{#N/A,#N/A,FALSE,"군산원가";#N/A,#N/A,FALSE,"팀별월별";#N/A,#N/A,FALSE,"타공정대체";#N/A,#N/A,FALSE,"기타경비";#N/A,#N/A,FALSE,"원료";#N/A,#N/A,FALSE,"연료"}</definedName>
    <definedName name="_11월">#REF!</definedName>
    <definedName name="_120s9_" hidden="1">{#N/A,#N/A,FALSE,"UNIT";#N/A,#N/A,FALSE,"UNIT";#N/A,#N/A,FALSE,"계정"}</definedName>
    <definedName name="_12cc3_" hidden="1">{#N/A,#N/A,FALSE,"Yield";#N/A,#N/A,FALSE,"Loss1";#N/A,#N/A,FALSE,"Loss2";#N/A,#N/A,FALSE,"Hour-Labor(배분)";#N/A,#N/A,FALSE,"Capital Expenditure";#N/A,#N/A,FALSE,"Productivity"}</definedName>
    <definedName name="_12월">#REF!</definedName>
    <definedName name="_13cc4_" hidden="1">{#N/A,#N/A,FALSE,"98소지이동TOTvs99.1 (2)";#N/A,#N/A,FALSE,"TOTAL";#N/A,#N/A,FALSE,"98소지이동TOTvs99.1(b) (2)"}</definedName>
    <definedName name="_13e1_" hidden="1">{#N/A,#N/A,FALSE,"Aging Summary";#N/A,#N/A,FALSE,"Ratio Analysis";#N/A,#N/A,FALSE,"Test 120 Day Accts";#N/A,#N/A,FALSE,"Tickmarks"}</definedName>
    <definedName name="_14cc5_" hidden="1">{#N/A,#N/A,FALSE,"98소지이동TOTvs99.1 (2)";#N/A,#N/A,FALSE,"TOTAL";#N/A,#N/A,FALSE,"98소지이동TOTvs99.1(b) (2)"}</definedName>
    <definedName name="_156">'[12]0001'!#REF!</definedName>
    <definedName name="_15A">[13]금액내역서!$D$3:$D$10</definedName>
    <definedName name="_15cc6_" hidden="1">{#N/A,#N/A,FALSE,"Yield";#N/A,#N/A,FALSE,"Loss1";#N/A,#N/A,FALSE,"Loss2";#N/A,#N/A,FALSE,"Hour-Labor(배분)";#N/A,#N/A,FALSE,"Capital Expenditure";#N/A,#N/A,FALSE,"Productivity"}</definedName>
    <definedName name="_16cc7_" hidden="1">{#N/A,#N/A,FALSE,"Yield";#N/A,#N/A,FALSE,"Loss1";#N/A,#N/A,FALSE,"Loss2";#N/A,#N/A,FALSE,"Hour-Labor(배분)";#N/A,#N/A,FALSE,"Capital Expenditure";#N/A,#N/A,FALSE,"Productivity"}</definedName>
    <definedName name="_177s1_" hidden="1">{#N/A,#N/A,FALSE,"UNIT";#N/A,#N/A,FALSE,"UNIT";#N/A,#N/A,FALSE,"계정"}</definedName>
    <definedName name="_17cc8_" hidden="1">{#N/A,#N/A,FALSE,"Yield";#N/A,#N/A,FALSE,"Loss1";#N/A,#N/A,FALSE,"Loss2";#N/A,#N/A,FALSE,"Hour-Labor(배분)";#N/A,#N/A,FALSE,"Capital Expenditure";#N/A,#N/A,FALSE,"Productivity"}</definedName>
    <definedName name="_181" hidden="1">{#N/A,#N/A,FALSE,"UNIT";#N/A,#N/A,FALSE,"UNIT";#N/A,#N/A,FALSE,"계정"}</definedName>
    <definedName name="_181s10_" hidden="1">{#N/A,#N/A,FALSE,"UNIT";#N/A,#N/A,FALSE,"UNIT";#N/A,#N/A,FALSE,"계정"}</definedName>
    <definedName name="_185s11_" hidden="1">{#N/A,#N/A,FALSE,"UNIT";#N/A,#N/A,FALSE,"UNIT";#N/A,#N/A,FALSE,"계정"}</definedName>
    <definedName name="_189s12_" hidden="1">{#N/A,#N/A,FALSE,"UNIT";#N/A,#N/A,FALSE,"UNIT";#N/A,#N/A,FALSE,"계정"}</definedName>
    <definedName name="_18cc9_" hidden="1">{#N/A,#N/A,FALSE,"98소지이동TOTvs99.1 (2)";#N/A,#N/A,FALSE,"TOTAL";#N/A,#N/A,FALSE,"98소지이동TOTvs99.1(b) (2)"}</definedName>
    <definedName name="_18s1_" hidden="1">{#N/A,#N/A,FALSE,"UNIT";#N/A,#N/A,FALSE,"UNIT";#N/A,#N/A,FALSE,"계정"}</definedName>
    <definedName name="_193s13_" hidden="1">{#N/A,#N/A,FALSE,"UNIT";#N/A,#N/A,FALSE,"UNIT";#N/A,#N/A,FALSE,"계정"}</definedName>
    <definedName name="_197s14_" hidden="1">{#N/A,#N/A,FALSE,"UNIT";#N/A,#N/A,FALSE,"UNIT";#N/A,#N/A,FALSE,"계정"}</definedName>
    <definedName name="_1999_01_29">#REF!</definedName>
    <definedName name="_19손익보_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bb1_" hidden="1">{#N/A,#N/A,FALSE,"98소지이동TOTvs99.1 (2)";#N/A,#N/A,FALSE,"TOTAL";#N/A,#N/A,FALSE,"98소지이동TOTvs99.1(b) (2)"}</definedName>
    <definedName name="_1SFT">#REF!</definedName>
    <definedName name="_1월">#REF!</definedName>
    <definedName name="_1월계획단가">#REF!</definedName>
    <definedName name="_2">#REF!</definedName>
    <definedName name="_2_5_0__123Grap" localSheetId="7" hidden="1">[11]시산표!#REF!</definedName>
    <definedName name="_2_5_0__123Grap" localSheetId="8" hidden="1">[11]시산표!#REF!</definedName>
    <definedName name="_2_5_0__123Grap" localSheetId="10" hidden="1">[11]시산표!#REF!</definedName>
    <definedName name="_2_5_0__123Grap" localSheetId="9" hidden="1">[11]시산표!#REF!</definedName>
    <definedName name="_2_5_0__123Grap" hidden="1">[9]시산표!#REF!</definedName>
    <definedName name="_2±è¸íÈ_SW">#REF!</definedName>
    <definedName name="_2013" hidden="1">[14]출입자명단!$A$1:$D$1</definedName>
    <definedName name="_201s16_" hidden="1">{#N/A,#N/A,FALSE,"UNIT";#N/A,#N/A,FALSE,"UNIT";#N/A,#N/A,FALSE,"계정"}</definedName>
    <definedName name="_205s17_" hidden="1">{#N/A,#N/A,FALSE,"UNIT";#N/A,#N/A,FALSE,"UNIT";#N/A,#N/A,FALSE,"계정"}</definedName>
    <definedName name="_209s2_" hidden="1">{#N/A,#N/A,FALSE,"UNIT";#N/A,#N/A,FALSE,"UNIT";#N/A,#N/A,FALSE,"계정"}</definedName>
    <definedName name="_213s3_" hidden="1">{#N/A,#N/A,FALSE,"UNIT";#N/A,#N/A,FALSE,"UNIT";#N/A,#N/A,FALSE,"계정"}</definedName>
    <definedName name="_2171">#N/A</definedName>
    <definedName name="_217s4_" hidden="1">{#N/A,#N/A,FALSE,"UNIT";#N/A,#N/A,FALSE,"UNIT";#N/A,#N/A,FALSE,"계정"}</definedName>
    <definedName name="_2183">#N/A</definedName>
    <definedName name="_2187">#N/A</definedName>
    <definedName name="_21bb1_" hidden="1">{#N/A,#N/A,FALSE,"98소지이동TOTvs99.1 (2)";#N/A,#N/A,FALSE,"TOTAL";#N/A,#N/A,FALSE,"98소지이동TOTvs99.1(b) (2)"}</definedName>
    <definedName name="_21s10_" hidden="1">{#N/A,#N/A,FALSE,"UNIT";#N/A,#N/A,FALSE,"UNIT";#N/A,#N/A,FALSE,"계정"}</definedName>
    <definedName name="_221s5_" hidden="1">{#N/A,#N/A,FALSE,"UNIT";#N/A,#N/A,FALSE,"UNIT";#N/A,#N/A,FALSE,"계정"}</definedName>
    <definedName name="_225s6_" hidden="1">{#N/A,#N/A,FALSE,"UNIT";#N/A,#N/A,FALSE,"UNIT";#N/A,#N/A,FALSE,"계정"}</definedName>
    <definedName name="_229s9_" hidden="1">{#N/A,#N/A,FALSE,"UNIT";#N/A,#N/A,FALSE,"UNIT";#N/A,#N/A,FALSE,"계정"}</definedName>
    <definedName name="_22bb2_" hidden="1">{#N/A,#N/A,FALSE,"98소지이동TOTvs99.1 (2)";#N/A,#N/A,FALSE,"TOTAL";#N/A,#N/A,FALSE,"98소지이동TOTvs99.1(b) (2)"}</definedName>
    <definedName name="_23bb3_" hidden="1">{#N/A,#N/A,FALSE,"군산원가";#N/A,#N/A,FALSE,"팀별월별";#N/A,#N/A,FALSE,"타공정대체";#N/A,#N/A,FALSE,"기타경비";#N/A,#N/A,FALSE,"원료";#N/A,#N/A,FALSE,"연료"}</definedName>
    <definedName name="_24bb4_" hidden="1">{#N/A,#N/A,FALSE,"98소지이동TOTvs99.1 (2)";#N/A,#N/A,FALSE,"TOTAL";#N/A,#N/A,FALSE,"98소지이동TOTvs99.1(b) (2)"}</definedName>
    <definedName name="_24s11_" hidden="1">{#N/A,#N/A,FALSE,"UNIT";#N/A,#N/A,FALSE,"UNIT";#N/A,#N/A,FALSE,"계정"}</definedName>
    <definedName name="_25bb5_" hidden="1">{#N/A,#N/A,FALSE,"98소지이동TOTvs99.1 (2)";#N/A,#N/A,FALSE,"TOTAL";#N/A,#N/A,FALSE,"98소지이동TOTvs99.1(b) (2)"}</definedName>
    <definedName name="_26bb6_" hidden="1">{#N/A,#N/A,FALSE,"98소지이동TOTvs99.1 (2)";#N/A,#N/A,FALSE,"TOTAL";#N/A,#N/A,FALSE,"98소지이동TOTvs99.1(b) (2)"}</definedName>
    <definedName name="_27bb7_" hidden="1">{#N/A,#N/A,FALSE,"98소지이동TOTvs99.1 (2)";#N/A,#N/A,FALSE,"TOTAL";#N/A,#N/A,FALSE,"98소지이동TOTvs99.1(b) (2)"}</definedName>
    <definedName name="_27s12_" hidden="1">{#N/A,#N/A,FALSE,"UNIT";#N/A,#N/A,FALSE,"UNIT";#N/A,#N/A,FALSE,"계정"}</definedName>
    <definedName name="_28bb8_" hidden="1">{#N/A,#N/A,FALSE,"군산원가";#N/A,#N/A,FALSE,"팀별월별";#N/A,#N/A,FALSE,"타공정대체";#N/A,#N/A,FALSE,"기타경비";#N/A,#N/A,FALSE,"원료";#N/A,#N/A,FALSE,"연료"}</definedName>
    <definedName name="_29bb9_" hidden="1">{#N/A,#N/A,FALSE,"군산원가";#N/A,#N/A,FALSE,"팀별월별";#N/A,#N/A,FALSE,"타공정대체";#N/A,#N/A,FALSE,"기타경비";#N/A,#N/A,FALSE,"원료";#N/A,#N/A,FALSE,"연료"}</definedName>
    <definedName name="_2bb2_" hidden="1">{#N/A,#N/A,FALSE,"98소지이동TOTvs99.1 (2)";#N/A,#N/A,FALSE,"TOTAL";#N/A,#N/A,FALSE,"98소지이동TOTvs99.1(b) (2)"}</definedName>
    <definedName name="_2SFT">#REF!</definedName>
    <definedName name="_2월">#REF!</definedName>
    <definedName name="_3">#N/A</definedName>
    <definedName name="_3_1.제품별_수입계획">[8]전체!#REF!</definedName>
    <definedName name="_3_7____123Grap" hidden="1">[9]시산표!#REF!</definedName>
    <definedName name="_3_7_0__123Grap" hidden="1">[10]시산표!#REF!</definedName>
    <definedName name="_3_추정_손익계산서">#REF!</definedName>
    <definedName name="_30cc1_" hidden="1">{#N/A,#N/A,FALSE,"군산원가";#N/A,#N/A,FALSE,"팀별월별";#N/A,#N/A,FALSE,"타공정대체";#N/A,#N/A,FALSE,"기타경비";#N/A,#N/A,FALSE,"원료";#N/A,#N/A,FALSE,"연료"}</definedName>
    <definedName name="_30s13_" hidden="1">{#N/A,#N/A,FALSE,"UNIT";#N/A,#N/A,FALSE,"UNIT";#N/A,#N/A,FALSE,"계정"}</definedName>
    <definedName name="_32cc2_" hidden="1">{#N/A,#N/A,FALSE,"군산원가";#N/A,#N/A,FALSE,"팀별월별";#N/A,#N/A,FALSE,"타공정대체";#N/A,#N/A,FALSE,"기타경비";#N/A,#N/A,FALSE,"원료";#N/A,#N/A,FALSE,"연료"}</definedName>
    <definedName name="_33cc3_" hidden="1">{#N/A,#N/A,FALSE,"Yield";#N/A,#N/A,FALSE,"Loss1";#N/A,#N/A,FALSE,"Loss2";#N/A,#N/A,FALSE,"Hour-Labor(배분)";#N/A,#N/A,FALSE,"Capital Expenditure";#N/A,#N/A,FALSE,"Productivity"}</definedName>
    <definedName name="_33s14_" hidden="1">{#N/A,#N/A,FALSE,"UNIT";#N/A,#N/A,FALSE,"UNIT";#N/A,#N/A,FALSE,"계정"}</definedName>
    <definedName name="_34cc4_" hidden="1">{#N/A,#N/A,FALSE,"98소지이동TOTvs99.1 (2)";#N/A,#N/A,FALSE,"TOTAL";#N/A,#N/A,FALSE,"98소지이동TOTvs99.1(b) (2)"}</definedName>
    <definedName name="_35cc5_" hidden="1">{#N/A,#N/A,FALSE,"98소지이동TOTvs99.1 (2)";#N/A,#N/A,FALSE,"TOTAL";#N/A,#N/A,FALSE,"98소지이동TOTvs99.1(b) (2)"}</definedName>
    <definedName name="_36cc6_" hidden="1">{#N/A,#N/A,FALSE,"Yield";#N/A,#N/A,FALSE,"Loss1";#N/A,#N/A,FALSE,"Loss2";#N/A,#N/A,FALSE,"Hour-Labor(배분)";#N/A,#N/A,FALSE,"Capital Expenditure";#N/A,#N/A,FALSE,"Productivity"}</definedName>
    <definedName name="_36s16_" hidden="1">{#N/A,#N/A,FALSE,"UNIT";#N/A,#N/A,FALSE,"UNIT";#N/A,#N/A,FALSE,"계정"}</definedName>
    <definedName name="_37cc7_" hidden="1">{#N/A,#N/A,FALSE,"Yield";#N/A,#N/A,FALSE,"Loss1";#N/A,#N/A,FALSE,"Loss2";#N/A,#N/A,FALSE,"Hour-Labor(배분)";#N/A,#N/A,FALSE,"Capital Expenditure";#N/A,#N/A,FALSE,"Productivity"}</definedName>
    <definedName name="_38cc8_" hidden="1">{#N/A,#N/A,FALSE,"Yield";#N/A,#N/A,FALSE,"Loss1";#N/A,#N/A,FALSE,"Loss2";#N/A,#N/A,FALSE,"Hour-Labor(배분)";#N/A,#N/A,FALSE,"Capital Expenditure";#N/A,#N/A,FALSE,"Productivity"}</definedName>
    <definedName name="_39cc9_" hidden="1">{#N/A,#N/A,FALSE,"98소지이동TOTvs99.1 (2)";#N/A,#N/A,FALSE,"TOTAL";#N/A,#N/A,FALSE,"98소지이동TOTvs99.1(b) (2)"}</definedName>
    <definedName name="_39s17_" hidden="1">{#N/A,#N/A,FALSE,"UNIT";#N/A,#N/A,FALSE,"UNIT";#N/A,#N/A,FALSE,"계정"}</definedName>
    <definedName name="_3bb3_" hidden="1">{#N/A,#N/A,FALSE,"군산원가";#N/A,#N/A,FALSE,"팀별월별";#N/A,#N/A,FALSE,"타공정대체";#N/A,#N/A,FALSE,"기타경비";#N/A,#N/A,FALSE,"원료";#N/A,#N/A,FALSE,"연료"}</definedName>
    <definedName name="_3월">#REF!</definedName>
    <definedName name="_４._설___비____공___사">#REF!</definedName>
    <definedName name="_4_7____123Graph_LB" hidden="1">[9]시산표!#REF!</definedName>
    <definedName name="_4_7_0__123Grap" hidden="1">[11]시산표!#REF!</definedName>
    <definedName name="_42s2_" hidden="1">{#N/A,#N/A,FALSE,"UNIT";#N/A,#N/A,FALSE,"UNIT";#N/A,#N/A,FALSE,"계정"}</definedName>
    <definedName name="_435A">#N/A</definedName>
    <definedName name="_435B">#N/A</definedName>
    <definedName name="_439A">#N/A</definedName>
    <definedName name="_45s3_" hidden="1">{#N/A,#N/A,FALSE,"UNIT";#N/A,#N/A,FALSE,"UNIT";#N/A,#N/A,FALSE,"계정"}</definedName>
    <definedName name="_48s4_" hidden="1">{#N/A,#N/A,FALSE,"UNIT";#N/A,#N/A,FALSE,"UNIT";#N/A,#N/A,FALSE,"계정"}</definedName>
    <definedName name="_4bb4_" hidden="1">{#N/A,#N/A,FALSE,"98소지이동TOTvs99.1 (2)";#N/A,#N/A,FALSE,"TOTAL";#N/A,#N/A,FALSE,"98소지이동TOTvs99.1(b) (2)"}</definedName>
    <definedName name="_4월">#REF!</definedName>
    <definedName name="_5_7_0__123Grap" hidden="1">[9]시산표!#REF!</definedName>
    <definedName name="_5_7_0__123Graph_LB" hidden="1">[10]시산표!#REF!</definedName>
    <definedName name="_51s5_" hidden="1">{#N/A,#N/A,FALSE,"UNIT";#N/A,#N/A,FALSE,"UNIT";#N/A,#N/A,FALSE,"계정"}</definedName>
    <definedName name="_541">'[12]0001'!#REF!</definedName>
    <definedName name="_54s6_" hidden="1">{#N/A,#N/A,FALSE,"UNIT";#N/A,#N/A,FALSE,"UNIT";#N/A,#N/A,FALSE,"계정"}</definedName>
    <definedName name="_556">'[12]0001'!#REF!</definedName>
    <definedName name="_57s9_" hidden="1">{#N/A,#N/A,FALSE,"UNIT";#N/A,#N/A,FALSE,"UNIT";#N/A,#N/A,FALSE,"계정"}</definedName>
    <definedName name="_5bb5_" hidden="1">{#N/A,#N/A,FALSE,"98소지이동TOTvs99.1 (2)";#N/A,#N/A,FALSE,"TOTAL";#N/A,#N/A,FALSE,"98소지이동TOTvs99.1(b) (2)"}</definedName>
    <definedName name="_5bs1_" hidden="1">#REF!</definedName>
    <definedName name="_6_7_0__123Graph_LB" localSheetId="7" hidden="1">[11]시산표!#REF!</definedName>
    <definedName name="_6_7_0__123Graph_LB" localSheetId="8" hidden="1">[11]시산표!#REF!</definedName>
    <definedName name="_6_7_0__123Graph_LB" localSheetId="10" hidden="1">[11]시산표!#REF!</definedName>
    <definedName name="_6_7_0__123Graph_LB" localSheetId="9" hidden="1">[11]시산표!#REF!</definedName>
    <definedName name="_6_7_0__123Graph_LB" hidden="1">[9]시산표!#REF!</definedName>
    <definedName name="_6bb6_" hidden="1">{#N/A,#N/A,FALSE,"98소지이동TOTvs99.1 (2)";#N/A,#N/A,FALSE,"TOTAL";#N/A,#N/A,FALSE,"98소지이동TOTvs99.1(b) (2)"}</definedName>
    <definedName name="_7">[8]전체!#REF!</definedName>
    <definedName name="_7_9____123Grap" hidden="1">[9]시산표!#REF!</definedName>
    <definedName name="_7_9_0__123Grap" hidden="1">[10]시산표!#REF!</definedName>
    <definedName name="_7bb7_" hidden="1">{#N/A,#N/A,FALSE,"98소지이동TOTvs99.1 (2)";#N/A,#N/A,FALSE,"TOTAL";#N/A,#N/A,FALSE,"98소지이동TOTvs99.1(b) (2)"}</definedName>
    <definedName name="_7월">#REF!</definedName>
    <definedName name="_8_9____123Graph_LB" hidden="1">[9]시산표!#REF!</definedName>
    <definedName name="_8_9_0__123Grap" hidden="1">[11]시산표!#REF!</definedName>
    <definedName name="_8bb8_" hidden="1">{#N/A,#N/A,FALSE,"군산원가";#N/A,#N/A,FALSE,"팀별월별";#N/A,#N/A,FALSE,"타공정대체";#N/A,#N/A,FALSE,"기타경비";#N/A,#N/A,FALSE,"원료";#N/A,#N/A,FALSE,"연료"}</definedName>
    <definedName name="_8월">#REF!</definedName>
    <definedName name="_9_9_0__123Grap" hidden="1">[9]시산표!#REF!</definedName>
    <definedName name="_9_9_0__123Graph_LB" hidden="1">[10]시산표!#REF!</definedName>
    <definedName name="_93">#N/A</definedName>
    <definedName name="_94">#N/A</definedName>
    <definedName name="_94_0_0_K" hidden="1">#REF!</definedName>
    <definedName name="_95">#N/A</definedName>
    <definedName name="_9510">#N/A</definedName>
    <definedName name="_9bb9_" hidden="1">{#N/A,#N/A,FALSE,"군산원가";#N/A,#N/A,FALSE,"팀별월별";#N/A,#N/A,FALSE,"타공정대체";#N/A,#N/A,FALSE,"기타경비";#N/A,#N/A,FALSE,"원료";#N/A,#N/A,FALSE,"연료"}</definedName>
    <definedName name="_9FY01_" hidden="1">{"'Sheet1'!$A$1:$D$15"}</definedName>
    <definedName name="_9월">#REF!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bus128">#REF!</definedName>
    <definedName name="_bus12801">#REF!</definedName>
    <definedName name="_bus256">#REF!</definedName>
    <definedName name="_bus25601">#REF!</definedName>
    <definedName name="_bus64">#REF!</definedName>
    <definedName name="_Bus6401">#REF!</definedName>
    <definedName name="_D6">{"'표지'!$B$5"}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'[15]SAP 01-12-31'!#REF!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B777" hidden="1">{#N/A,#N/A,TRUE,"Y생산";#N/A,#N/A,TRUE,"Y판매";#N/A,#N/A,TRUE,"Y총물량";#N/A,#N/A,TRUE,"Y능력";#N/A,#N/A,TRUE,"YKD"}</definedName>
    <definedName name="_Dist_Bin" hidden="1">'[16]97년'!#REF!</definedName>
    <definedName name="_Dist_Values" hidden="1">#REF!</definedName>
    <definedName name="_fa2">{"'Sheet1'!$A$1:$H$36"}</definedName>
    <definedName name="_Fill" localSheetId="7" hidden="1">#REF!</definedName>
    <definedName name="_Fill" localSheetId="8" hidden="1">#REF!</definedName>
    <definedName name="_Fill" localSheetId="10" hidden="1">#REF!</definedName>
    <definedName name="_Fill" localSheetId="9" hidden="1">#REF!</definedName>
    <definedName name="_Fill" hidden="1">#REF!</definedName>
    <definedName name="_xlnm._FilterDatabase" localSheetId="7" hidden="1">#REF!</definedName>
    <definedName name="_xlnm._FilterDatabase" localSheetId="8" hidden="1">#REF!</definedName>
    <definedName name="_xlnm._FilterDatabase" localSheetId="10" hidden="1">#REF!</definedName>
    <definedName name="_xlnm._FilterDatabase" localSheetId="9" hidden="1">#REF!</definedName>
    <definedName name="_xlnm._FilterDatabase" hidden="1">#REF!</definedName>
    <definedName name="_G1" hidden="1">{#N/A,#N/A,FALSE,"단축1";#N/A,#N/A,FALSE,"단축2";#N/A,#N/A,FALSE,"단축3";#N/A,#N/A,FALSE,"장축";#N/A,#N/A,FALSE,"4WD"}</definedName>
    <definedName name="_h1">{"'표지'!$B$5"}</definedName>
    <definedName name="_h2">{"'표지'!$B$5"}</definedName>
    <definedName name="_h3">{"'표지'!$B$5"}</definedName>
    <definedName name="_h4">{"'표지'!$B$5"}</definedName>
    <definedName name="_h5">{"'표지'!$B$5"}</definedName>
    <definedName name="_IVO1">#REF!</definedName>
    <definedName name="_jh1" hidden="1">{#N/A,#N/A,FALSE,"Yield";#N/A,#N/A,FALSE,"Loss1";#N/A,#N/A,FALSE,"Loss2";#N/A,#N/A,FALSE,"Hour-Labor(배분)";#N/A,#N/A,FALSE,"Capital Expenditure";#N/A,#N/A,FALSE,"Productivity"}</definedName>
    <definedName name="_jh3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jh4" hidden="1">{#N/A,#N/A,FALSE,"Yield";#N/A,#N/A,FALSE,"Loss1";#N/A,#N/A,FALSE,"Loss2";#N/A,#N/A,FALSE,"Hour-Labor(배분)";#N/A,#N/A,FALSE,"Capital Expenditure";#N/A,#N/A,FALSE,"Productivity"}</definedName>
    <definedName name="_jh5" hidden="1">{#N/A,#N/A,FALSE,"98소지이동TOTvs99.1 (2)";#N/A,#N/A,FALSE,"TOTAL";#N/A,#N/A,FALSE,"98소지이동TOTvs99.1(b) (2)"}</definedName>
    <definedName name="_jj1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jj2" hidden="1">{#N/A,#N/A,FALSE,"Yield";#N/A,#N/A,FALSE,"Loss1";#N/A,#N/A,FALSE,"Loss2";#N/A,#N/A,FALSE,"Hour-Labor(배분)";#N/A,#N/A,FALSE,"Capital Expenditure";#N/A,#N/A,FALSE,"Productivity"}</definedName>
    <definedName name="_jj3" hidden="1">{#N/A,#N/A,FALSE,"군산원가";#N/A,#N/A,FALSE,"팀별월별";#N/A,#N/A,FALSE,"타공정대체";#N/A,#N/A,FALSE,"기타경비";#N/A,#N/A,FALSE,"원료";#N/A,#N/A,FALSE,"연료"}</definedName>
    <definedName name="_jj4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jj5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jj6" hidden="1">{#N/A,#N/A,FALSE,"Yield";#N/A,#N/A,FALSE,"Loss1";#N/A,#N/A,FALSE,"Loss2";#N/A,#N/A,FALSE,"Hour-Labor(배분)";#N/A,#N/A,FALSE,"Capital Expenditure";#N/A,#N/A,FALSE,"Productivity"}</definedName>
    <definedName name="_jj7" hidden="1">{#N/A,#N/A,FALSE,"98소지이동TOTvs99.1 (2)";#N/A,#N/A,FALSE,"TOTAL";#N/A,#N/A,FALSE,"98소지이동TOTvs99.1(b) (2)"}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ey1" localSheetId="7" hidden="1">[17]저장품!#REF!</definedName>
    <definedName name="_Key1" localSheetId="8" hidden="1">[17]저장품!#REF!</definedName>
    <definedName name="_Key1" localSheetId="10" hidden="1">[17]저장품!#REF!</definedName>
    <definedName name="_Key1" localSheetId="9" hidden="1">[17]저장품!#REF!</definedName>
    <definedName name="_Key1" hidden="1">#REF!</definedName>
    <definedName name="_Key2" localSheetId="7" hidden="1">#REF!</definedName>
    <definedName name="_Key2" localSheetId="8" hidden="1">#REF!</definedName>
    <definedName name="_Key2" localSheetId="10" hidden="1">#REF!</definedName>
    <definedName name="_Key2" localSheetId="9" hidden="1">#REF!</definedName>
    <definedName name="_Key2" hidden="1">#REF!</definedName>
    <definedName name="_kl505" hidden="1">{#N/A,#N/A,FALSE,"군산원가";#N/A,#N/A,FALSE,"팀별월별";#N/A,#N/A,FALSE,"타공정대체";#N/A,#N/A,FALSE,"기타경비";#N/A,#N/A,FALSE,"원료";#N/A,#N/A,FALSE,"연료"}</definedName>
    <definedName name="_KTM10" hidden="1">{#N/A,#N/A,FALSE,"현장 NCR 분석";#N/A,#N/A,FALSE,"현장품질감사";#N/A,#N/A,FALSE,"현장품질감사"}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l1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ll2" hidden="1">{#N/A,#N/A,FALSE,"98소지이동TOTvs99.1 (2)";#N/A,#N/A,FALSE,"TOTAL";#N/A,#N/A,FALSE,"98소지이동TOTvs99.1(b) (2)"}</definedName>
    <definedName name="_ll3" hidden="1">{#N/A,#N/A,FALSE,"98소지이동TOTvs99.1 (2)";#N/A,#N/A,FALSE,"TOTAL";#N/A,#N/A,FALSE,"98소지이동TOTvs99.1(b) (2)"}</definedName>
    <definedName name="_ll4" hidden="1">{#N/A,#N/A,FALSE,"군산원가";#N/A,#N/A,FALSE,"팀별월별";#N/A,#N/A,FALSE,"타공정대체";#N/A,#N/A,FALSE,"기타경비";#N/A,#N/A,FALSE,"원료";#N/A,#N/A,FALSE,"연료"}</definedName>
    <definedName name="_ll5" hidden="1">{#N/A,#N/A,FALSE,"군산원가";#N/A,#N/A,FALSE,"팀별월별";#N/A,#N/A,FALSE,"타공정대체";#N/A,#N/A,FALSE,"기타경비";#N/A,#N/A,FALSE,"원료";#N/A,#N/A,FALSE,"연료"}</definedName>
    <definedName name="_ll6" hidden="1">{#N/A,#N/A,FALSE,"98소지이동TOTvs99.1 (2)";#N/A,#N/A,FALSE,"TOTAL";#N/A,#N/A,FALSE,"98소지이동TOTvs99.1(b) (2)"}</definedName>
    <definedName name="_ll7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ll8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ll9" hidden="1">{#N/A,#N/A,FALSE,"Yield";#N/A,#N/A,FALSE,"Loss1";#N/A,#N/A,FALSE,"Loss2";#N/A,#N/A,FALSE,"Hour-Labor(배분)";#N/A,#N/A,FALSE,"Capital Expenditure";#N/A,#N/A,FALSE,"Productivity"}</definedName>
    <definedName name="_LPS2" hidden="1">{#N/A,#N/A,FALSE,"단축1";#N/A,#N/A,FALSE,"단축2";#N/A,#N/A,FALSE,"단축3";#N/A,#N/A,FALSE,"장축";#N/A,#N/A,FALSE,"4WD"}</definedName>
    <definedName name="_MAP1">#REF!</definedName>
    <definedName name="_MatInverse_In" hidden="1">#REF!</definedName>
    <definedName name="_MatInverse_Out" hidden="1">#REF!</definedName>
    <definedName name="_MatMult_A" hidden="1">#REF!</definedName>
    <definedName name="_MatMult_B" hidden="1">#REF!</definedName>
    <definedName name="_mbs1">#REF!</definedName>
    <definedName name="_ML6" hidden="1">{#N/A,#N/A,FALSE,"98소지이동TOTvs99.1 (2)";#N/A,#N/A,FALSE,"TOTAL";#N/A,#N/A,FALSE,"98소지이동TOTvs99.1(b) (2)"}</definedName>
    <definedName name="_mm1" hidden="1">{#N/A,#N/A,FALSE,"98소지이동TOTvs99.1 (2)";#N/A,#N/A,FALSE,"TOTAL";#N/A,#N/A,FALSE,"98소지이동TOTvs99.1(b) (2)"}</definedName>
    <definedName name="_mm2" hidden="1">{#N/A,#N/A,FALSE,"98소지이동TOTvs99.1 (2)";#N/A,#N/A,FALSE,"TOTAL";#N/A,#N/A,FALSE,"98소지이동TOTvs99.1(b) (2)"}</definedName>
    <definedName name="_mm3" hidden="1">{#N/A,#N/A,FALSE,"군산원가";#N/A,#N/A,FALSE,"팀별월별";#N/A,#N/A,FALSE,"타공정대체";#N/A,#N/A,FALSE,"기타경비";#N/A,#N/A,FALSE,"원료";#N/A,#N/A,FALSE,"연료"}</definedName>
    <definedName name="_mm4" hidden="1">{#N/A,#N/A,FALSE,"군산원가";#N/A,#N/A,FALSE,"팀별월별";#N/A,#N/A,FALSE,"타공정대체";#N/A,#N/A,FALSE,"기타경비";#N/A,#N/A,FALSE,"원료";#N/A,#N/A,FALSE,"연료"}</definedName>
    <definedName name="_mm5" hidden="1">{#N/A,#N/A,FALSE,"98소지이동TOTvs99.1 (2)";#N/A,#N/A,FALSE,"TOTAL";#N/A,#N/A,FALSE,"98소지이동TOTvs99.1(b) (2)"}</definedName>
    <definedName name="_mm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mm7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mm8" hidden="1">{#N/A,#N/A,FALSE,"Yield";#N/A,#N/A,FALSE,"Loss1";#N/A,#N/A,FALSE,"Loss2";#N/A,#N/A,FALSE,"Hour-Labor(배분)";#N/A,#N/A,FALSE,"Capital Expenditure";#N/A,#N/A,FALSE,"Productivity"}</definedName>
    <definedName name="_mm9" hidden="1">{#N/A,#N/A,FALSE,"98소지이동TOTvs99.1 (2)";#N/A,#N/A,FALSE,"TOTAL";#N/A,#N/A,FALSE,"98소지이동TOTvs99.1(b) (2)"}</definedName>
    <definedName name="_N2">#REF!</definedName>
    <definedName name="_nbj75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1">#REF!</definedName>
    <definedName name="_p11">#REF!</definedName>
    <definedName name="_p2">#REF!</definedName>
    <definedName name="_Parse_In" hidden="1">#REF!</definedName>
    <definedName name="_Parse_Out" localSheetId="7" hidden="1">'[18]건설중인자산(기타)'!#REF!</definedName>
    <definedName name="_Parse_Out" localSheetId="8" hidden="1">'[18]건설중인자산(기타)'!#REF!</definedName>
    <definedName name="_Parse_Out" localSheetId="10" hidden="1">'[18]건설중인자산(기타)'!#REF!</definedName>
    <definedName name="_Parse_Out" localSheetId="9" hidden="1">'[18]건설중인자산(기타)'!#REF!</definedName>
    <definedName name="_Parse_Out" hidden="1">#REF!</definedName>
    <definedName name="_PF1" hidden="1">{#N/A,#N/A,FALSE,"군산원가";#N/A,#N/A,FALSE,"팀별월별";#N/A,#N/A,FALSE,"타공정대체";#N/A,#N/A,FALSE,"기타경비";#N/A,#N/A,FALSE,"원료";#N/A,#N/A,FALSE,"연료"}</definedName>
    <definedName name="_PGR003">{"'status'!$B$2:$H$15"}</definedName>
    <definedName name="_Pill" hidden="1">#REF!</definedName>
    <definedName name="_PP1">#REF!</definedName>
    <definedName name="_PR1">[19]npv!#REF!</definedName>
    <definedName name="_PR2">[19]npv!#REF!</definedName>
    <definedName name="_PR3">[19]npv!#REF!</definedName>
    <definedName name="_PR4">#N/A</definedName>
    <definedName name="_PRR001">{"'status'!$B$2:$H$15"}</definedName>
    <definedName name="_PRR002">{"'status'!$B$2:$H$15"}</definedName>
    <definedName name="_PRR18">{"'status'!$B$2:$H$15"}</definedName>
    <definedName name="_PRR5">{"'status'!$B$2:$H$15"}</definedName>
    <definedName name="_PRR6">{"'status'!$B$2:$H$15"}</definedName>
    <definedName name="_Q5" hidden="1">{#N/A,#N/A,FALSE,"KMC최종회의(7월) 자료"}</definedName>
    <definedName name="_Q7" hidden="1">{#N/A,#N/A,FALSE,"KMC최종회의(7월) 자료"}</definedName>
    <definedName name="_Q8" hidden="1">{#N/A,#N/A,FALSE,"KMC최종회의(7월) 자료"}</definedName>
    <definedName name="_Q9" hidden="1">{#N/A,#N/A,FALSE,"KMC최종회의(7월) 자료"}</definedName>
    <definedName name="_qbs1">#REF!</definedName>
    <definedName name="_qcf1">#REF!</definedName>
    <definedName name="_qpl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R1" hidden="1">{#N/A,#N/A,FALSE,"98소지이동TOTvs99.1 (2)";#N/A,#N/A,FALSE,"TOTAL";#N/A,#N/A,FALSE,"98소지이동TOTvs99.1(b) (2)"}</definedName>
    <definedName name="_RR2" hidden="1">{#N/A,#N/A,FALSE,"군산원가";#N/A,#N/A,FALSE,"팀별월별";#N/A,#N/A,FALSE,"타공정대체";#N/A,#N/A,FALSE,"기타경비";#N/A,#N/A,FALSE,"원료";#N/A,#N/A,FALSE,"연료"}</definedName>
    <definedName name="_RR3" hidden="1">{#N/A,#N/A,FALSE,"군산원가";#N/A,#N/A,FALSE,"팀별월별";#N/A,#N/A,FALSE,"타공정대체";#N/A,#N/A,FALSE,"기타경비";#N/A,#N/A,FALSE,"원료";#N/A,#N/A,FALSE,"연료"}</definedName>
    <definedName name="_RR4" hidden="1">{#N/A,#N/A,FALSE,"98소지이동TOTvs99.1 (2)";#N/A,#N/A,FALSE,"TOTAL";#N/A,#N/A,FALSE,"98소지이동TOTvs99.1(b) (2)"}</definedName>
    <definedName name="_RR5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RR6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RR7" hidden="1">{#N/A,#N/A,FALSE,"Yield";#N/A,#N/A,FALSE,"Loss1";#N/A,#N/A,FALSE,"Loss2";#N/A,#N/A,FALSE,"Hour-Labor(배분)";#N/A,#N/A,FALSE,"Capital Expenditure";#N/A,#N/A,FALSE,"Productivity"}</definedName>
    <definedName name="_RR8" hidden="1">{#N/A,#N/A,FALSE,"98소지이동TOTvs99.1 (2)";#N/A,#N/A,FALSE,"TOTAL";#N/A,#N/A,FALSE,"98소지이동TOTvs99.1(b) (2)"}</definedName>
    <definedName name="_s1" hidden="1">{#N/A,#N/A,FALSE,"UNIT";#N/A,#N/A,FALSE,"UNIT";#N/A,#N/A,FALSE,"계정"}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2" hidden="1">{#N/A,#N/A,FALSE,"UNIT";#N/A,#N/A,FALSE,"UNIT";#N/A,#N/A,FALSE,"계정"}</definedName>
    <definedName name="_s3" hidden="1">{#N/A,#N/A,FALSE,"UNIT";#N/A,#N/A,FALSE,"UNIT";#N/A,#N/A,FALSE,"계정"}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7" hidden="1">{#N/A,#N/A,FALSE,"KMC최종회의(7월) 자료"}</definedName>
    <definedName name="_S8" hidden="1">{#N/A,#N/A,FALSE,"KMC최종회의(7월) 자료"}</definedName>
    <definedName name="_s9" hidden="1">{#N/A,#N/A,FALSE,"UNIT";#N/A,#N/A,FALSE,"UNIT";#N/A,#N/A,FALSE,"계정"}</definedName>
    <definedName name="_Sort" localSheetId="7" hidden="1">[17]저장품!#REF!</definedName>
    <definedName name="_Sort" localSheetId="8" hidden="1">[17]저장품!#REF!</definedName>
    <definedName name="_Sort" localSheetId="10" hidden="1">[17]저장품!#REF!</definedName>
    <definedName name="_Sort" localSheetId="9" hidden="1">[17]저장품!#REF!</definedName>
    <definedName name="_Sort" hidden="1">#REF!</definedName>
    <definedName name="_Sort2" hidden="1">#REF!</definedName>
    <definedName name="_SS1" hidden="1">{#N/A,#N/A,FALSE,"98소지이동TOTvs99.1 (2)";#N/A,#N/A,FALSE,"TOTAL";#N/A,#N/A,FALSE,"98소지이동TOTvs99.1(b) (2)"}</definedName>
    <definedName name="_SS10" hidden="1">{#N/A,#N/A,FALSE,"군산원가";#N/A,#N/A,FALSE,"팀별월별";#N/A,#N/A,FALSE,"타공정대체";#N/A,#N/A,FALSE,"기타경비";#N/A,#N/A,FALSE,"원료";#N/A,#N/A,FALSE,"연료"}</definedName>
    <definedName name="_SS11" hidden="1">{#N/A,#N/A,FALSE,"98소지이동TOTvs99.1 (2)";#N/A,#N/A,FALSE,"TOTAL";#N/A,#N/A,FALSE,"98소지이동TOTvs99.1(b) (2)"}</definedName>
    <definedName name="_SS12" hidden="1">{#N/A,#N/A,FALSE,"98소지이동TOTvs99.1 (2)";#N/A,#N/A,FALSE,"TOTAL";#N/A,#N/A,FALSE,"98소지이동TOTvs99.1(b) (2)"}</definedName>
    <definedName name="_SS13" hidden="1">{#N/A,#N/A,FALSE,"98소지이동TOTvs99.1 (2)";#N/A,#N/A,FALSE,"TOTAL";#N/A,#N/A,FALSE,"98소지이동TOTvs99.1(b) (2)"}</definedName>
    <definedName name="_SS14" hidden="1">{#N/A,#N/A,FALSE,"98소지이동TOTvs99.1 (2)";#N/A,#N/A,FALSE,"TOTAL";#N/A,#N/A,FALSE,"98소지이동TOTvs99.1(b) (2)"}</definedName>
    <definedName name="_SS15" hidden="1">{#N/A,#N/A,FALSE,"군산원가";#N/A,#N/A,FALSE,"팀별월별";#N/A,#N/A,FALSE,"타공정대체";#N/A,#N/A,FALSE,"기타경비";#N/A,#N/A,FALSE,"원료";#N/A,#N/A,FALSE,"연료"}</definedName>
    <definedName name="_SS16" hidden="1">{#N/A,#N/A,FALSE,"군산원가";#N/A,#N/A,FALSE,"팀별월별";#N/A,#N/A,FALSE,"타공정대체";#N/A,#N/A,FALSE,"기타경비";#N/A,#N/A,FALSE,"원료";#N/A,#N/A,FALSE,"연료"}</definedName>
    <definedName name="_SS17" hidden="1">{#N/A,#N/A,FALSE,"군산원가";#N/A,#N/A,FALSE,"팀별월별";#N/A,#N/A,FALSE,"타공정대체";#N/A,#N/A,FALSE,"기타경비";#N/A,#N/A,FALSE,"원료";#N/A,#N/A,FALSE,"연료"}</definedName>
    <definedName name="_SS18" hidden="1">{#N/A,#N/A,FALSE,"군산원가";#N/A,#N/A,FALSE,"팀별월별";#N/A,#N/A,FALSE,"타공정대체";#N/A,#N/A,FALSE,"기타경비";#N/A,#N/A,FALSE,"원료";#N/A,#N/A,FALSE,"연료"}</definedName>
    <definedName name="_SS19" hidden="1">{#N/A,#N/A,FALSE,"Yield";#N/A,#N/A,FALSE,"Loss1";#N/A,#N/A,FALSE,"Loss2";#N/A,#N/A,FALSE,"Hour-Labor(배분)";#N/A,#N/A,FALSE,"Capital Expenditure";#N/A,#N/A,FALSE,"Productivity"}</definedName>
    <definedName name="_SS2" hidden="1">{#N/A,#N/A,FALSE,"98소지이동TOTvs99.1 (2)";#N/A,#N/A,FALSE,"TOTAL";#N/A,#N/A,FALSE,"98소지이동TOTvs99.1(b) (2)"}</definedName>
    <definedName name="_SS20" hidden="1">{#N/A,#N/A,FALSE,"98소지이동TOTvs99.1 (2)";#N/A,#N/A,FALSE,"TOTAL";#N/A,#N/A,FALSE,"98소지이동TOTvs99.1(b) (2)"}</definedName>
    <definedName name="_SS21" hidden="1">{#N/A,#N/A,FALSE,"98소지이동TOTvs99.1 (2)";#N/A,#N/A,FALSE,"TOTAL";#N/A,#N/A,FALSE,"98소지이동TOTvs99.1(b) (2)"}</definedName>
    <definedName name="_SS22" hidden="1">{#N/A,#N/A,FALSE,"Yield";#N/A,#N/A,FALSE,"Loss1";#N/A,#N/A,FALSE,"Loss2";#N/A,#N/A,FALSE,"Hour-Labor(배분)";#N/A,#N/A,FALSE,"Capital Expenditure";#N/A,#N/A,FALSE,"Productivity"}</definedName>
    <definedName name="_SS23" hidden="1">{#N/A,#N/A,FALSE,"Yield";#N/A,#N/A,FALSE,"Loss1";#N/A,#N/A,FALSE,"Loss2";#N/A,#N/A,FALSE,"Hour-Labor(배분)";#N/A,#N/A,FALSE,"Capital Expenditure";#N/A,#N/A,FALSE,"Productivity"}</definedName>
    <definedName name="_SS24" hidden="1">{#N/A,#N/A,FALSE,"Yield";#N/A,#N/A,FALSE,"Loss1";#N/A,#N/A,FALSE,"Loss2";#N/A,#N/A,FALSE,"Hour-Labor(배분)";#N/A,#N/A,FALSE,"Capital Expenditure";#N/A,#N/A,FALSE,"Productivity"}</definedName>
    <definedName name="_SS25" hidden="1">{#N/A,#N/A,FALSE,"98소지이동TOTvs99.1 (2)";#N/A,#N/A,FALSE,"TOTAL";#N/A,#N/A,FALSE,"98소지이동TOTvs99.1(b) (2)"}</definedName>
    <definedName name="_SS2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SS27" hidden="1">{#N/A,#N/A,FALSE,"Yield";#N/A,#N/A,FALSE,"Loss1";#N/A,#N/A,FALSE,"Loss2";#N/A,#N/A,FALSE,"Hour-Labor(배분)";#N/A,#N/A,FALSE,"Capital Expenditure";#N/A,#N/A,FALSE,"Productivity"}</definedName>
    <definedName name="_SS28" hidden="1">{#N/A,#N/A,FALSE,"군산원가";#N/A,#N/A,FALSE,"팀별월별";#N/A,#N/A,FALSE,"타공정대체";#N/A,#N/A,FALSE,"기타경비";#N/A,#N/A,FALSE,"원료";#N/A,#N/A,FALSE,"연료"}</definedName>
    <definedName name="_SS29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SS3" hidden="1">{#N/A,#N/A,FALSE,"군산원가";#N/A,#N/A,FALSE,"팀별월별";#N/A,#N/A,FALSE,"타공정대체";#N/A,#N/A,FALSE,"기타경비";#N/A,#N/A,FALSE,"원료";#N/A,#N/A,FALSE,"연료"}</definedName>
    <definedName name="_SS30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SS31" hidden="1">{#N/A,#N/A,FALSE,"Yield";#N/A,#N/A,FALSE,"Loss1";#N/A,#N/A,FALSE,"Loss2";#N/A,#N/A,FALSE,"Hour-Labor(배분)";#N/A,#N/A,FALSE,"Capital Expenditure";#N/A,#N/A,FALSE,"Productivity"}</definedName>
    <definedName name="_SS32" hidden="1">{#N/A,#N/A,FALSE,"98소지이동TOTvs99.1 (2)";#N/A,#N/A,FALSE,"TOTAL";#N/A,#N/A,FALSE,"98소지이동TOTvs99.1(b) (2)"}</definedName>
    <definedName name="_SS4" hidden="1">{#N/A,#N/A,FALSE,"군산원가";#N/A,#N/A,FALSE,"팀별월별";#N/A,#N/A,FALSE,"타공정대체";#N/A,#N/A,FALSE,"기타경비";#N/A,#N/A,FALSE,"원료";#N/A,#N/A,FALSE,"연료"}</definedName>
    <definedName name="_SS5" hidden="1">{#N/A,#N/A,FALSE,"98소지이동TOTvs99.1 (2)";#N/A,#N/A,FALSE,"TOTAL";#N/A,#N/A,FALSE,"98소지이동TOTvs99.1(b) (2)"}</definedName>
    <definedName name="_SS6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SS7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SS8" hidden="1">{#N/A,#N/A,FALSE,"98소지이동TOTvs99.1 (2)";#N/A,#N/A,FALSE,"TOTAL";#N/A,#N/A,FALSE,"98소지이동TOTvs99.1(b) (2)"}</definedName>
    <definedName name="_SS9" hidden="1">{#N/A,#N/A,FALSE,"98소지이동TOTvs99.1 (2)";#N/A,#N/A,FALSE,"TOTAL";#N/A,#N/A,FALSE,"98소지이동TOTvs99.1(b) (2)"}</definedName>
    <definedName name="_SUB1">#REF!</definedName>
    <definedName name="_SUB2">#REF!</definedName>
    <definedName name="_T2" hidden="1">{#N/A,#N/A,FALSE,"단축1";#N/A,#N/A,FALSE,"단축2";#N/A,#N/A,FALSE,"단축3";#N/A,#N/A,FALSE,"장축";#N/A,#N/A,FALSE,"4WD"}</definedName>
    <definedName name="_Table1_In1" hidden="1">[20]노동부!#REF!</definedName>
    <definedName name="_Table1_Out" hidden="1">[20]노동부!#REF!</definedName>
    <definedName name="_Table2_In1" hidden="1">#REF!</definedName>
    <definedName name="_Table2_In2" hidden="1">#REF!</definedName>
    <definedName name="_Table2_Out" hidden="1">#REF!</definedName>
    <definedName name="_W1" hidden="1">{#N/A,#N/A,FALSE,"KMC최종회의(7월) 자료"}</definedName>
    <definedName name="_W3" hidden="1">{#N/A,#N/A,FALSE,"KMC최종회의(7월) 자료"}</definedName>
    <definedName name="_W4" hidden="1">{#N/A,#N/A,FALSE,"KMC최종회의(7월) 자료"}</definedName>
    <definedName name="_W5" hidden="1">{#N/A,#N/A,FALSE,"KMC최종회의(7월) 자료"}</definedName>
    <definedName name="_W6" hidden="1">{#N/A,#N/A,FALSE,"KMC최종회의(7월) 자료"}</definedName>
    <definedName name="_W7" hidden="1">{#N/A,#N/A,FALSE,"KMC최종회의(7월) 자료"}</definedName>
    <definedName name="_W8" hidden="1">{#N/A,#N/A,FALSE,"KMC최종회의(7월) 자료"}</definedName>
    <definedName name="_W9" hidden="1">{#N/A,#N/A,FALSE,"KMC최종회의(7월) 자료"}</definedName>
    <definedName name="_www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_X3" hidden="1">{#N/A,#N/A,FALSE,"KMC최종회의(7월) 자료"}</definedName>
    <definedName name="_X4" hidden="1">{#N/A,#N/A,FALSE,"KMC최종회의(7월) 자료"}</definedName>
    <definedName name="_X5" hidden="1">{#N/A,#N/A,FALSE,"KMC최종회의(7월) 자료"}</definedName>
    <definedName name="_X6" hidden="1">{#N/A,#N/A,FALSE,"KMC최종회의(7월) 자료"}</definedName>
    <definedName name="_X7" hidden="1">{#N/A,#N/A,FALSE,"KMC최종회의(7월) 자료"}</definedName>
    <definedName name="_X8" hidden="1">{#N/A,#N/A,FALSE,"KMC최종회의(7월) 자료"}</definedName>
    <definedName name="_XX1" hidden="1">{#N/A,#N/A,FALSE,"98소지이동TOTvs99.1 (2)";#N/A,#N/A,FALSE,"TOTAL";#N/A,#N/A,FALSE,"98소지이동TOTvs99.1(b) (2)"}</definedName>
    <definedName name="_XX10" hidden="1">{#N/A,#N/A,FALSE,"Yield";#N/A,#N/A,FALSE,"Loss1";#N/A,#N/A,FALSE,"Loss2";#N/A,#N/A,FALSE,"Hour-Labor(배분)";#N/A,#N/A,FALSE,"Capital Expenditure";#N/A,#N/A,FALSE,"Productivity"}</definedName>
    <definedName name="_XX2" hidden="1">{#N/A,#N/A,FALSE,"98소지이동TOTvs99.1 (2)";#N/A,#N/A,FALSE,"TOTAL";#N/A,#N/A,FALSE,"98소지이동TOTvs99.1(b) (2)"}</definedName>
    <definedName name="_XX3" hidden="1">{#N/A,#N/A,FALSE,"98소지이동TOTvs99.1 (2)";#N/A,#N/A,FALSE,"TOTAL";#N/A,#N/A,FALSE,"98소지이동TOTvs99.1(b) (2)"}</definedName>
    <definedName name="_XX4" hidden="1">{#N/A,#N/A,FALSE,"군산원가";#N/A,#N/A,FALSE,"팀별월별";#N/A,#N/A,FALSE,"타공정대체";#N/A,#N/A,FALSE,"기타경비";#N/A,#N/A,FALSE,"원료";#N/A,#N/A,FALSE,"연료"}</definedName>
    <definedName name="_XX5" hidden="1">{#N/A,#N/A,FALSE,"군산원가";#N/A,#N/A,FALSE,"팀별월별";#N/A,#N/A,FALSE,"타공정대체";#N/A,#N/A,FALSE,"기타경비";#N/A,#N/A,FALSE,"원료";#N/A,#N/A,FALSE,"연료"}</definedName>
    <definedName name="_XX6" hidden="1">{#N/A,#N/A,FALSE,"Yield";#N/A,#N/A,FALSE,"Loss1";#N/A,#N/A,FALSE,"Loss2";#N/A,#N/A,FALSE,"Hour-Labor(배분)";#N/A,#N/A,FALSE,"Capital Expenditure";#N/A,#N/A,FALSE,"Productivity"}</definedName>
    <definedName name="_XX7" hidden="1">{#N/A,#N/A,FALSE,"98소지이동TOTvs99.1 (2)";#N/A,#N/A,FALSE,"TOTAL";#N/A,#N/A,FALSE,"98소지이동TOTvs99.1(b) (2)"}</definedName>
    <definedName name="_XX8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_XX9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_YA002">'[1]1经营'!$E$8</definedName>
    <definedName name="_YA008">[2]T02!$E$23</definedName>
    <definedName name="_YA009">'[1]1经营'!$E$23</definedName>
    <definedName name="_YA015">'[1]1经营'!$E$32</definedName>
    <definedName name="_YA020">'[1]1经营'!$E$39</definedName>
    <definedName name="_YA024">'[1]1经营'!$E$43</definedName>
    <definedName name="_YA028">[2]T02!$E$49</definedName>
    <definedName name="_YA035">'[1]1经营'!$E$55</definedName>
    <definedName name="_YA045">'[1]1经营'!$E$61</definedName>
    <definedName name="_YC001">[2]T02!$E$45</definedName>
    <definedName name="_YC101">'[1]1经营'!$E$47</definedName>
    <definedName name="_YE208">'[1]1经营'!$E$62</definedName>
    <definedName name="_YE210">'[1]1经营'!$E$63</definedName>
    <definedName name="_YE215">'[1]1经营'!$E$64</definedName>
    <definedName name="_YP1">#REF!</definedName>
    <definedName name="_YP2">#REF!</definedName>
    <definedName name="_Z1" hidden="1">{#N/A,#N/A,FALSE,"KMC최종회의(7월) 자료"}</definedName>
    <definedName name="_Z2" hidden="1">{#N/A,#N/A,FALSE,"KMC최종회의(7월) 자료"}</definedName>
    <definedName name="_Z3" hidden="1">{#N/A,#N/A,FALSE,"KMC최종회의(7월) 자료"}</definedName>
    <definedName name="_Z4" hidden="1">{#N/A,#N/A,FALSE,"KMC최종회의(7월) 자료"}</definedName>
    <definedName name="_Z5" hidden="1">{#N/A,#N/A,FALSE,"KMC최종회의(7월) 자료"}</definedName>
    <definedName name="_Z6" hidden="1">{#N/A,#N/A,FALSE,"KMC최종회의(7월) 자료"}</definedName>
    <definedName name="_Z7" hidden="1">{#N/A,#N/A,FALSE,"KMC최종회의(7월) 자료"}</definedName>
    <definedName name="_Z8" hidden="1">{#N/A,#N/A,FALSE,"KMC최종회의(7월) 자료"}</definedName>
    <definedName name="_Z9" hidden="1">{#N/A,#N/A,FALSE,"KMC최종회의(7월) 자료"}</definedName>
    <definedName name="_ZZ1" hidden="1">{#N/A,#N/A,FALSE,"98소지이동TOTvs99.1 (2)";#N/A,#N/A,FALSE,"TOTAL";#N/A,#N/A,FALSE,"98소지이동TOTvs99.1(b) (2)"}</definedName>
    <definedName name="¤A¤A">#REF!</definedName>
    <definedName name="¤μ¤μ">#REF!</definedName>
    <definedName name="\0">#REF!</definedName>
    <definedName name="\a" localSheetId="7">#REF!</definedName>
    <definedName name="\a" localSheetId="8">#REF!</definedName>
    <definedName name="\a" localSheetId="10">#REF!</definedName>
    <definedName name="\a" localSheetId="9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h">[21]시산표!#REF!</definedName>
    <definedName name="\i">[22]신한은행1!#REF!</definedName>
    <definedName name="\m">#N/A</definedName>
    <definedName name="\o">[22]신한은행1!#REF!</definedName>
    <definedName name="\P">#REF!</definedName>
    <definedName name="\q">#N/A</definedName>
    <definedName name="\r">#N/A</definedName>
    <definedName name="\s">[23]표지!#REF!</definedName>
    <definedName name="\w">#N/A</definedName>
    <definedName name="\x">#REF!</definedName>
    <definedName name="\y">#REF!</definedName>
    <definedName name="\z">#N/A</definedName>
    <definedName name="±a¾E°ⓒ">#REF!</definedName>
    <definedName name="±a¾EA≫">#REF!</definedName>
    <definedName name="Ⅰ.처음">[8]전체!#REF!</definedName>
    <definedName name="a" localSheetId="7" hidden="1">{#N/A,#N/A,FALSE,"Aging Summary";#N/A,#N/A,FALSE,"Ratio Analysis";#N/A,#N/A,FALSE,"Test 120 Day Accts";#N/A,#N/A,FALSE,"Tickmarks"}</definedName>
    <definedName name="a" localSheetId="8" hidden="1">{#N/A,#N/A,FALSE,"Aging Summary";#N/A,#N/A,FALSE,"Ratio Analysis";#N/A,#N/A,FALSE,"Test 120 Day Accts";#N/A,#N/A,FALSE,"Tickmarks"}</definedName>
    <definedName name="a" localSheetId="10" hidden="1">{#N/A,#N/A,FALSE,"Aging Summary";#N/A,#N/A,FALSE,"Ratio Analysis";#N/A,#N/A,FALSE,"Test 120 Day Accts";#N/A,#N/A,FALSE,"Tickmarks"}</definedName>
    <definedName name="a" localSheetId="9" hidden="1">{#N/A,#N/A,FALSE,"Aging Summary";#N/A,#N/A,FALSE,"Ratio Analysis";#N/A,#N/A,FALSE,"Test 120 Day Accts";#N/A,#N/A,FALSE,"Tickmarks"}</definedName>
    <definedName name="A">{#N/A,#N/A,FALSE,"Aging Summary";#N/A,#N/A,FALSE,"Ratio Analysis";#N/A,#N/A,FALSE,"Test 120 Day Accts";#N/A,#N/A,FALSE,"Tickmarks"}</definedName>
    <definedName name="A10.1">'[24]control sheet'!$B$10:$K$10</definedName>
    <definedName name="aa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aa">#REF!</definedName>
    <definedName name="aaa1123312345" hidden="1">{#N/A,#N/A,FALSE,"UNIT";#N/A,#N/A,FALSE,"UNIT";#N/A,#N/A,FALSE,"계정"}</definedName>
    <definedName name="aaaa">#REF!</definedName>
    <definedName name="aaaaa" hidden="1">{#N/A,#N/A,FALSE,"UNIT";#N/A,#N/A,FALSE,"UNIT";#N/A,#N/A,FALSE,"계정"}</definedName>
    <definedName name="AAAAAAA" hidden="1">{#N/A,#N/A,TRUE,"Y생산";#N/A,#N/A,TRUE,"Y판매";#N/A,#N/A,TRUE,"Y총물량";#N/A,#N/A,TRUE,"Y능력";#N/A,#N/A,TRUE,"YKD"}</definedName>
    <definedName name="AAAAAAAAAA">#REF!</definedName>
    <definedName name="AABCC" hidden="1">[6]시산표!#REF!</definedName>
    <definedName name="AAKDJFPAUUAIPD" hidden="1">{"'Sheet1'!$A$1:$J$73"}</definedName>
    <definedName name="aasaadada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aASASD" hidden="1">{#N/A,#N/A,TRUE,"Summary";#N/A,#N/A,TRUE,"IS";#N/A,#N/A,TRUE,"Adj";#N/A,#N/A,TRUE,"BS";#N/A,#N/A,TRUE,"CF";#N/A,#N/A,TRUE,"Debt";#N/A,#N/A,TRUE,"IRR"}</definedName>
    <definedName name="AB">[0]!PRT6BN5BT41</definedName>
    <definedName name="abc" hidden="1">[25]목표세부명세!#REF!</definedName>
    <definedName name="abcd" hidden="1">[26]노임이!#REF!</definedName>
    <definedName name="ABD" hidden="1">{#N/A,#N/A,FALSE,"지침";#N/A,#N/A,FALSE,"환경분석";#N/A,#N/A,FALSE,"Sheet16"}</definedName>
    <definedName name="ABX" hidden="1">{#N/A,#N/A,FALSE,"지침";#N/A,#N/A,FALSE,"환경분석";#N/A,#N/A,FALSE,"Sheet16"}</definedName>
    <definedName name="AC">#REF!</definedName>
    <definedName name="AC105bj35">#REF!</definedName>
    <definedName name="Acc">[27]Acc20040528!$A$12:$F$65536</definedName>
    <definedName name="Access_Button" localSheetId="7" hidden="1">"X9805인원_인사기록__2__List"</definedName>
    <definedName name="Access_Button" localSheetId="8" hidden="1">"X9805인원_인사기록__2__List"</definedName>
    <definedName name="Access_Button" localSheetId="10" hidden="1">"X9805인원_인사기록__2__List"</definedName>
    <definedName name="Access_Button" localSheetId="9" hidden="1">"X9805인원_인사기록__2__List"</definedName>
    <definedName name="Access_Button" hidden="1">"외상매출_Sheet2_List"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localSheetId="7" hidden="1">"C:\SINS\인원현황\9805인원.mdb"</definedName>
    <definedName name="AccessDatabase" localSheetId="8" hidden="1">"C:\SINS\인원현황\9805인원.mdb"</definedName>
    <definedName name="AccessDatabase" localSheetId="10" hidden="1">"C:\SINS\인원현황\9805인원.mdb"</definedName>
    <definedName name="AccessDatabase" localSheetId="9" hidden="1">"C:\SINS\인원현황\9805인원.mdb"</definedName>
    <definedName name="AccessDatabase" hidden="1">"C:\dosa\data\결산\제작품수불부.mdb"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n1">[28]calendar!$F$72</definedName>
    <definedName name="Account_Balance">#REF!</definedName>
    <definedName name="ACCOUNTEDPERIODTYPE1">#REF!</definedName>
    <definedName name="acete">'[29]++++'!#REF!</definedName>
    <definedName name="actuel">#REF!</definedName>
    <definedName name="ACwvu.시간대별예약." hidden="1">#REF!</definedName>
    <definedName name="ad" hidden="1">{#N/A,#N/A,FALSE,"Aging Summary";#N/A,#N/A,FALSE,"Ratio Analysis";#N/A,#N/A,FALSE,"Test 120 Day Accts";#N/A,#N/A,FALSE,"Tickmarks"}</definedName>
    <definedName name="ADF">#REF!</definedName>
    <definedName name="ADS" hidden="1">{#N/A,#N/A,FALSE,"지침";#N/A,#N/A,FALSE,"환경분석";#N/A,#N/A,FALSE,"Sheet16"}</definedName>
    <definedName name="ADSDF" hidden="1">{#N/A,#N/A,TRUE,"Y생산";#N/A,#N/A,TRUE,"Y판매";#N/A,#N/A,TRUE,"Y총물량";#N/A,#N/A,TRUE,"Y능력";#N/A,#N/A,TRUE,"YKD"}</definedName>
    <definedName name="adw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AE">#N/A</definedName>
    <definedName name="aew">{"Tusk"}</definedName>
    <definedName name="af">{"'Sheet1'!$A$1:$H$36"}</definedName>
    <definedName name="Afalon_WP_200g">'[29]++++'!#REF!</definedName>
    <definedName name="afd">{"Tusk"}</definedName>
    <definedName name="AFDS">#REF!</definedName>
    <definedName name="AFE">'[30]96월별PL'!$S$190:$AI$216</definedName>
    <definedName name="Afugan_EC_500ml">'[29]++++'!#REF!</definedName>
    <definedName name="AH">#N/A</definedName>
    <definedName name="ahffk">"AS2DocumentBrowse"</definedName>
    <definedName name="aino">{1}</definedName>
    <definedName name="AJE">#REF!</definedName>
    <definedName name="akjne">{"Tusk"}</definedName>
    <definedName name="all">#REF!</definedName>
    <definedName name="AllTables">{1}</definedName>
    <definedName name="ALSTN" hidden="1">{#N/A,#N/A,FALSE,"UNIT";#N/A,#N/A,FALSE,"UNIT";#N/A,#N/A,FALSE,"계정"}</definedName>
    <definedName name="ALTSS">#REF!</definedName>
    <definedName name="an">#REF!</definedName>
    <definedName name="anaw">{"Tusk"}</definedName>
    <definedName name="année">[31]Comments!#REF!</definedName>
    <definedName name="annex1">#REF!</definedName>
    <definedName name="annex2b">#REF!</definedName>
    <definedName name="annex3a">#REF!</definedName>
    <definedName name="annex4d">#REF!</definedName>
    <definedName name="annex6">#REF!</definedName>
    <definedName name="anscount" localSheetId="7" hidden="1">1</definedName>
    <definedName name="anscount" localSheetId="8" hidden="1">1</definedName>
    <definedName name="anscount" localSheetId="10" hidden="1">1</definedName>
    <definedName name="anscount" localSheetId="9" hidden="1">1</definedName>
    <definedName name="anscount" hidden="1">3</definedName>
    <definedName name="Antenna_Pointer">#REF!</definedName>
    <definedName name="Antenna_Price_a">#REF!</definedName>
    <definedName name="aocnf" hidden="1">{#N/A,#N/A,FALSE,"채권채무";#N/A,#N/A,FALSE,"control sheet"}</definedName>
    <definedName name="APPLI">#REF!</definedName>
    <definedName name="APPSUSERNAME1">#REF!</definedName>
    <definedName name="aqqqq">{"'Sheet1'!$A$1:$H$36"}</definedName>
    <definedName name="ARBS" hidden="1">{#N/A,#N/A,FALSE,"BS";#N/A,#N/A,FALSE,"PL";#N/A,#N/A,FALSE,"처분";#N/A,#N/A,FALSE,"현금";#N/A,#N/A,FALSE,"매출";#N/A,#N/A,FALSE,"원가";#N/A,#N/A,FALSE,"경영"}</definedName>
    <definedName name="area">#REF!</definedName>
    <definedName name="Arial">#REF!</definedName>
    <definedName name="article">#REF!</definedName>
    <definedName name="AS">#REF!</definedName>
    <definedName name="AS2DocOpenMode" hidden="1">"AS2DocumentEdit"</definedName>
    <definedName name="AS2HasNoAutoHeaderFooter" hidden="1">" "</definedName>
    <definedName name="AS2NamedRange" hidden="1">5</definedName>
    <definedName name="AS2ReportLS" hidden="1">1</definedName>
    <definedName name="AS2StaticLS" localSheetId="7" hidden="1">#REF!</definedName>
    <definedName name="AS2StaticLS" localSheetId="8" hidden="1">#REF!</definedName>
    <definedName name="AS2StaticLS" localSheetId="10" hidden="1">#REF!</definedName>
    <definedName name="AS2StaticLS" localSheetId="9" hidden="1">#REF!</definedName>
    <definedName name="AS2StaticLS" hidden="1">#REF!</definedName>
    <definedName name="AS2SyncStepLS" hidden="1">0</definedName>
    <definedName name="AS2TickmarkLS" localSheetId="7" hidden="1">#REF!</definedName>
    <definedName name="AS2TickmarkLS" localSheetId="8" hidden="1">#REF!</definedName>
    <definedName name="AS2TickmarkLS" localSheetId="10" hidden="1">#REF!</definedName>
    <definedName name="AS2TickmarkLS" localSheetId="9" hidden="1">#REF!</definedName>
    <definedName name="AS2TickmarkLS" hidden="1">#REF!</definedName>
    <definedName name="AS2VersionLS" hidden="1">300</definedName>
    <definedName name="ascv">'[32]IMCI-Assumptions (Mgt.)'!#REF!</definedName>
    <definedName name="asd" hidden="1">'[4]2 카드채권(대출포함)'!#REF!</definedName>
    <definedName name="ASDD">#REF!</definedName>
    <definedName name="asdf">{"'Sheet1'!$A$1:$H$36"}</definedName>
    <definedName name="asdfas">{1}</definedName>
    <definedName name="asdfasdf">{"Tusk"}</definedName>
    <definedName name="asdfv">'[32]IMCI-Assumptions (Mgt.)'!#REF!</definedName>
    <definedName name="asdfw">[33]수율생산!#REF!</definedName>
    <definedName name="ASDR">#REF!</definedName>
    <definedName name="asdwdwdqw" hidden="1">{#N/A,#N/A,FALSE,"Yield";#N/A,#N/A,FALSE,"Loss1";#N/A,#N/A,FALSE,"Loss2";#N/A,#N/A,FALSE,"Hour-Labor(배분)";#N/A,#N/A,FALSE,"Capital Expenditure";#N/A,#N/A,FALSE,"Productivity"}</definedName>
    <definedName name="ASER">#REF!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jldfa">{"Tusk"}</definedName>
    <definedName name="asldkfj">{1}</definedName>
    <definedName name="ASQ" localSheetId="7" hidden="1">{#N/A,#N/A,FALSE,"총괄수정"}</definedName>
    <definedName name="ASQ" localSheetId="8" hidden="1">{#N/A,#N/A,FALSE,"총괄수정"}</definedName>
    <definedName name="ASQ" localSheetId="10" hidden="1">{#N/A,#N/A,FALSE,"총괄수정"}</definedName>
    <definedName name="ASQ" localSheetId="9" hidden="1">{#N/A,#N/A,FALSE,"총괄수정"}</definedName>
    <definedName name="ASQ" hidden="1">{#N/A,#N/A,FALSE,"총괄수정"}</definedName>
    <definedName name="AssetList">[34]Dec!$A$1:$X$4783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T">#N/A</definedName>
    <definedName name="atables">{1}</definedName>
    <definedName name="atoSL">'[29]++++'!#REF!</definedName>
    <definedName name="AUD_BUDGET">OFFSET([35]RATE!$F$3,0,0,COUNTA([35]RATE!$F$1:$F$65536))</definedName>
    <definedName name="AUD_FX_RATE">OFFSET([35]RATE!$E$3,0,0,COUNTA([35]RATE!$E$1:$E$65536))</definedName>
    <definedName name="AUSM_Pr">#REF!</definedName>
    <definedName name="AUSN_pra">#REF!</definedName>
    <definedName name="aut">#REF!</definedName>
    <definedName name="AUTOEXEC">#REF!</definedName>
    <definedName name="avsw">[33]수율생산!#REF!</definedName>
    <definedName name="awew2">{"Tusk"}</definedName>
    <definedName name="awjlnh\">{1}</definedName>
    <definedName name="awvw">{"Tusk"}</definedName>
    <definedName name="AXE">#REF!</definedName>
    <definedName name="AXE_HW_Aux_Price_a">#REF!</definedName>
    <definedName name="AXE_Spares_Price_a">#REF!</definedName>
    <definedName name="AXE_SW_Basic_Price_a">#REF!</definedName>
    <definedName name="AXE_SW_Optional_Price_a">#REF!</definedName>
    <definedName name="AXSM_Pr">#REF!</definedName>
    <definedName name="AXSm_pra">#REF!</definedName>
    <definedName name="AZ">#REF!</definedName>
    <definedName name="Aㅠ219">[36]Sheet1!#REF!</definedName>
    <definedName name="B">#REF!</definedName>
    <definedName name="B_1">#REF!</definedName>
    <definedName name="B_9_WP_100g">'[29]++++'!#REF!</definedName>
    <definedName name="B_SHEET">#REF!</definedName>
    <definedName name="B_shell">#REF!</definedName>
    <definedName name="b23RTDKDK">#REF!</definedName>
    <definedName name="B2BS" hidden="1">{"mult96",#N/A,FALSE,"PETCOMP";"est96",#N/A,FALSE,"PETCOMP";"mult95",#N/A,FALSE,"PETCOMP";"est95",#N/A,FALSE,"PETCOMP";"multltm",#N/A,FALSE,"PETCOMP";"resultltm",#N/A,FALSE,"PETCOMP"}</definedName>
    <definedName name="B2IS" hidden="1">{"DCF","UPSIDE CASE",FALSE,"Sheet1";"DCF","BASE CASE",FALSE,"Sheet1";"DCF","DOWNSIDE CASE",FALSE,"Sheet1"}</definedName>
    <definedName name="B3PL" hidden="1">{"DCF","UPSIDE CASE",FALSE,"Sheet1";"DCF","BASE CASE",FALSE,"Sheet1";"DCF","DOWNSIDE CASE",FALSE,"Sheet1"}</definedName>
    <definedName name="B4BS" hidden="1">{"adj95mult",#N/A,FALSE,"COMPCO";"adj95est",#N/A,FALSE,"COMPCO"}</definedName>
    <definedName name="B4IS" hidden="1">{"adj95mult",#N/A,FALSE,"COMPCO";"adj95est",#N/A,FALSE,"COMPCO"}</definedName>
    <definedName name="B5BS" hidden="1">{"EVA",#N/A,FALSE,"EVA";"WACC",#N/A,FALSE,"WACC"}</definedName>
    <definedName name="ba">{1}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L_SHT">#REF!</definedName>
    <definedName name="balance_sheet">#REF!</definedName>
    <definedName name="bane">{"Tusk"}</definedName>
    <definedName name="Basic_SCF_AM1">#REF!</definedName>
    <definedName name="Basta_SL_300ml">'[29]++++'!#REF!</definedName>
    <definedName name="Basta_SL_500ml">'[29]++++'!#REF!</definedName>
    <definedName name="BatchName">[28]HEADER!$D$2</definedName>
    <definedName name="BB" localSheetId="7">[37]!BB</definedName>
    <definedName name="BB" localSheetId="10">[37]!BB</definedName>
    <definedName name="BB" localSheetId="9">[37]!BB</definedName>
    <definedName name="BB">[37]!BB</definedName>
    <definedName name="BBB" hidden="1">[38]송전기본!#REF!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crclcl100rt">'[39]9-1차이내역'!#REF!</definedName>
    <definedName name="bcrclcl100rtrkrk">'[39]9-1차이내역'!#REF!</definedName>
    <definedName name="bd">"1/1/2005"</definedName>
    <definedName name="bdb">[33]수율생산!#REF!</definedName>
    <definedName name="bdc">"2005年1月1日"</definedName>
    <definedName name="bdfbe" hidden="1">{#N/A,#N/A,FALSE,"Sheet1"}</definedName>
    <definedName name="Befran_P_800g">'[29]++++'!#REF!</definedName>
    <definedName name="Befran_SL_500ml">'[29]++++'!#REF!</definedName>
    <definedName name="Bellkute_WP_250g">'[29]++++'!#REF!</definedName>
    <definedName name="BG_Del" hidden="1">15</definedName>
    <definedName name="BG_Ins" hidden="1">4</definedName>
    <definedName name="BG_Mod" hidden="1">6</definedName>
    <definedName name="BGW_Bundling">#REF!</definedName>
    <definedName name="BGW_HW_Price_a">#REF!</definedName>
    <definedName name="BGW_SW_Discount_a">#REF!</definedName>
    <definedName name="BGW_SW_Price_a">#REF!</definedName>
    <definedName name="BGWQty">#REF!</definedName>
    <definedName name="bhbcd" hidden="1">{#N/A,#N/A,FALSE,"98소지이동TOTvs99.1 (2)";#N/A,#N/A,FALSE,"TOTAL";#N/A,#N/A,FALSE,"98소지이동TOTvs99.1(b) (2)"}</definedName>
    <definedName name="bhkbhkl">{"Tusk"}</definedName>
    <definedName name="bi">#REF!</definedName>
    <definedName name="BIRD" hidden="1">[40]선급비용!#REF!</definedName>
    <definedName name="BJ">{"'Sheet1'!$A$1:$H$36"}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n" hidden="1">{#N/A,#N/A,FALSE,"Aging Summary";#N/A,#N/A,FALSE,"Ratio Analysis";#N/A,#N/A,FALSE,"Test 120 Day Accts";#N/A,#N/A,FALSE,"Tickmarks"}</definedName>
    <definedName name="bnabn">{1}</definedName>
    <definedName name="book1" hidden="1">{#N/A,#N/A,FALSE,"UNIT";#N/A,#N/A,FALSE,"UNIT";#N/A,#N/A,FALSE,"계정"}</definedName>
    <definedName name="botb">#REF!</definedName>
    <definedName name="BP_EC_500ml">'[29]++++'!#REF!</definedName>
    <definedName name="BP_EC_5L">'[29]++++'!#REF!</definedName>
    <definedName name="breakdown2009">#REF!</definedName>
    <definedName name="BS" localSheetId="7" hidden="1">{#N/A,#N/A,FALSE,"BS";#N/A,#N/A,FALSE,"PL";#N/A,#N/A,FALSE,"처분";#N/A,#N/A,FALSE,"현금";#N/A,#N/A,FALSE,"매출";#N/A,#N/A,FALSE,"원가";#N/A,#N/A,FALSE,"경영"}</definedName>
    <definedName name="BS" localSheetId="8" hidden="1">{#N/A,#N/A,FALSE,"BS";#N/A,#N/A,FALSE,"PL";#N/A,#N/A,FALSE,"처분";#N/A,#N/A,FALSE,"현금";#N/A,#N/A,FALSE,"매출";#N/A,#N/A,FALSE,"원가";#N/A,#N/A,FALSE,"경영"}</definedName>
    <definedName name="BS" localSheetId="10" hidden="1">{#N/A,#N/A,FALSE,"BS";#N/A,#N/A,FALSE,"PL";#N/A,#N/A,FALSE,"처분";#N/A,#N/A,FALSE,"현금";#N/A,#N/A,FALSE,"매출";#N/A,#N/A,FALSE,"원가";#N/A,#N/A,FALSE,"경영"}</definedName>
    <definedName name="BS" localSheetId="9" hidden="1">{#N/A,#N/A,FALSE,"BS";#N/A,#N/A,FALSE,"PL";#N/A,#N/A,FALSE,"처분";#N/A,#N/A,FALSE,"현금";#N/A,#N/A,FALSE,"매출";#N/A,#N/A,FALSE,"원가";#N/A,#N/A,FALSE,"경영"}</definedName>
    <definedName name="BS" hidden="1">#REF!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C_TRCR7_Price_a">#REF!</definedName>
    <definedName name="BSCQty">#REF!</definedName>
    <definedName name="BSCR7_Price_a">#REF!</definedName>
    <definedName name="bsef">{1}</definedName>
    <definedName name="bsNote" localSheetId="7">[37]!bsNote</definedName>
    <definedName name="bsNote" localSheetId="10">[37]!bsNote</definedName>
    <definedName name="bsNote" localSheetId="9">[37]!bsNote</definedName>
    <definedName name="bsNote">[37]!bsNote</definedName>
    <definedName name="BS지사" hidden="1">{#N/A,#N/A,TRUE,"Summary";#N/A,#N/A,TRUE,"IS";#N/A,#N/A,TRUE,"Adj";#N/A,#N/A,TRUE,"BS";#N/A,#N/A,TRUE,"CF";#N/A,#N/A,TRUE,"Debt";#N/A,#N/A,TRUE,"IRR"}</definedName>
    <definedName name="btnClose" localSheetId="7">[37]!btnClose</definedName>
    <definedName name="btnClose" localSheetId="10">[37]!btnClose</definedName>
    <definedName name="btnClose" localSheetId="9">[37]!btnClose</definedName>
    <definedName name="btnClose">[37]!btnClose</definedName>
    <definedName name="btnFootNoting" localSheetId="7">[37]!btnFootNoting</definedName>
    <definedName name="btnFootNoting" localSheetId="10">[37]!btnFootNoting</definedName>
    <definedName name="btnFootNoting" localSheetId="9">[37]!btnFootNoting</definedName>
    <definedName name="btnFootNoting">[37]!btnFootNoting</definedName>
    <definedName name="btnNext" localSheetId="7">[37]!btnNext</definedName>
    <definedName name="btnNext" localSheetId="10">[37]!btnNext</definedName>
    <definedName name="btnNext" localSheetId="9">[37]!btnNext</definedName>
    <definedName name="btnNext">[37]!btnNext</definedName>
    <definedName name="btnOK" localSheetId="7">[37]!btnOK</definedName>
    <definedName name="btnOK" localSheetId="10">[37]!btnOK</definedName>
    <definedName name="btnOK" localSheetId="9">[37]!btnOK</definedName>
    <definedName name="btnOK">[37]!btnOK</definedName>
    <definedName name="btnPrevious" localSheetId="7">[37]!btnPrevious</definedName>
    <definedName name="btnPrevious" localSheetId="10">[37]!btnPrevious</definedName>
    <definedName name="btnPrevious" localSheetId="9">[37]!btnPrevious</definedName>
    <definedName name="btnPrevious">[37]!btnPrevious</definedName>
    <definedName name="btnReturn" localSheetId="7">[37]!btnReturn</definedName>
    <definedName name="btnReturn" localSheetId="10">[37]!btnReturn</definedName>
    <definedName name="btnReturn" localSheetId="9">[37]!btnReturn</definedName>
    <definedName name="btnReturn">[37]!btnReturn</definedName>
    <definedName name="BTS_Backup_Price_a">#REF!</definedName>
    <definedName name="BTS_HW_Price_a">#REF!</definedName>
    <definedName name="BTS_HW_TRU_Price_a">#REF!</definedName>
    <definedName name="BTS_Lightning_Price_a">#REF!</definedName>
    <definedName name="BTS_Micro_Price_a">#REF!</definedName>
    <definedName name="BTS_Spares_Price_a">#REF!</definedName>
    <definedName name="BTSQty">#REF!</definedName>
    <definedName name="Budget_N">[31]Comments!$D$1:$D$65536</definedName>
    <definedName name="buta">'[29]++++'!#REF!</definedName>
    <definedName name="Button_238">"ALIFE_BOM_y21124_Sheet1_List"</definedName>
    <definedName name="Button_42">"영업_업무_flow_우량업체관리_List"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밸브">#REF!</definedName>
    <definedName name="C_">#N/A</definedName>
    <definedName name="C_BASE">#REF!</definedName>
    <definedName name="c_duty_repair">#REF!</definedName>
    <definedName name="c_duty_swap">#REF!</definedName>
    <definedName name="c_vivek">#REF!</definedName>
    <definedName name="ca_mois">[31]Comments!#REF!</definedName>
    <definedName name="cage_pc">#REF!</definedName>
    <definedName name="cage_price">#REF!</definedName>
    <definedName name="CALC_DATA">#REF!</definedName>
    <definedName name="calculations">[41]Leasing!#REF!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변동">{"'Sheet1'!$A$1:$H$36"}</definedName>
    <definedName name="capex_sched">#REF!</definedName>
    <definedName name="capital">[41]Leasing!#REF!</definedName>
    <definedName name="Carpinda_GR_2kg">'[29]++++'!#REF!</definedName>
    <definedName name="Case">[42]Cases!$D$9</definedName>
    <definedName name="case2" hidden="1">{#N/A,#N/A,FALSE,"UNIT";#N/A,#N/A,FALSE,"UNIT";#N/A,#N/A,FALSE,"계정"}</definedName>
    <definedName name="cash" localSheetId="7">[37]!cash</definedName>
    <definedName name="cash" localSheetId="10">[37]!cash</definedName>
    <definedName name="cash" localSheetId="9">[37]!cash</definedName>
    <definedName name="cash">[37]!cash</definedName>
    <definedName name="cash_flow">#REF!</definedName>
    <definedName name="CashFlow_Button1_Click" localSheetId="7">[37]!CashFlow_Button1_Click</definedName>
    <definedName name="CashFlow_Button1_Click" localSheetId="10">[37]!CashFlow_Button1_Click</definedName>
    <definedName name="CashFlow_Button1_Click" localSheetId="9">[37]!CashFlow_Button1_Click</definedName>
    <definedName name="CashFlow_Button1_Click">[37]!CashFlow_Button1_Click</definedName>
    <definedName name="cashIndex" localSheetId="7">[37]!cashIndex</definedName>
    <definedName name="cashIndex" localSheetId="10">[37]!cashIndex</definedName>
    <definedName name="cashIndex" localSheetId="9">[37]!cashIndex</definedName>
    <definedName name="cashIndex">[37]!cashIndex</definedName>
    <definedName name="CASHOUT">{"'Sheet1'!$A$1:$H$36"}</definedName>
    <definedName name="CAT">#REF!</definedName>
    <definedName name="CC" hidden="1">{"'5국공정'!$A$1:$E$128"}</definedName>
    <definedName name="cc0" hidden="1">{"'5국공정'!$A$1:$E$128"}</definedName>
    <definedName name="CCASH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CCC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CD">OFFSET([35]RATE!$K$3,0,0,COUNTA([35]RATE!$K$1:$K$65536))</definedName>
    <definedName name="CDMA_1.9_large">#REF!</definedName>
    <definedName name="CDMA_1.9_medium">#REF!</definedName>
    <definedName name="CDMA_1.9_small">#REF!</definedName>
    <definedName name="CDMA_800_Dom_large">#REF!</definedName>
    <definedName name="CDMA_800_Dom_medium">#REF!</definedName>
    <definedName name="CDMA_800_Dom_small">#REF!</definedName>
    <definedName name="CDMA_800_Int_large">#REF!</definedName>
    <definedName name="CDMA_800_Int_medium">#REF!</definedName>
    <definedName name="CDMA_800_Int_small">#REF!</definedName>
    <definedName name="CDMA_900_large">#REF!</definedName>
    <definedName name="CDMA_900_medium">#REF!</definedName>
    <definedName name="CDMA_900_small">#REF!</definedName>
    <definedName name="CDMA_Japan_large">#REF!</definedName>
    <definedName name="CDMA_Japan_medium">#REF!</definedName>
    <definedName name="CDMA_Japan_small">#REF!</definedName>
    <definedName name="CellQty">#REF!</definedName>
    <definedName name="CF" hidden="1">{#N/A,#N/A,TRUE,"Summary";#N/A,#N/A,TRUE,"IS";#N/A,#N/A,TRUE,"Adj";#N/A,#N/A,TRUE,"BS";#N/A,#N/A,TRUE,"CF";#N/A,#N/A,TRUE,"Debt";#N/A,#N/A,TRUE,"IRR"}</definedName>
    <definedName name="CFAB7">{"'Sheet1'!$A$1:$H$36"}</definedName>
    <definedName name="CFwp직전3" hidden="1">{#N/A,#N/A,FALSE,"UNIT";#N/A,#N/A,FALSE,"UNIT";#N/A,#N/A,FALSE,"계정"}</definedName>
    <definedName name="CF요인" hidden="1">#REF!</definedName>
    <definedName name="CF정산표" hidden="1">{#N/A,#N/A,FALSE,"BS";#N/A,#N/A,FALSE,"PL";#N/A,#N/A,FALSE,"처분";#N/A,#N/A,FALSE,"현금";#N/A,#N/A,FALSE,"매출";#N/A,#N/A,FALSE,"원가";#N/A,#N/A,FALSE,"경영"}</definedName>
    <definedName name="cgmh">{"'용역비'!$A$4:$C$8"}</definedName>
    <definedName name="chart51">"Chart 51"</definedName>
    <definedName name="ChartCount">#REF!</definedName>
    <definedName name="CHARTOFACCOUNTSID1">#REF!</definedName>
    <definedName name="CHECKING" hidden="1">{#N/A,#N/A,TRUE,"Summary";#N/A,#N/A,TRUE,"IS";#N/A,#N/A,TRUE,"Adj";#N/A,#N/A,TRUE,"BS";#N/A,#N/A,TRUE,"CF";#N/A,#N/A,TRUE,"Debt";#N/A,#N/A,TRUE,"IRR"}</definedName>
    <definedName name="Cidial_Dp_12kg">'[29]++++'!#REF!</definedName>
    <definedName name="Cidial_EC_500ml">'[29]++++'!#REF!</definedName>
    <definedName name="Cidial_EC_5L">'[29]++++'!#REF!</definedName>
    <definedName name="CITI_CD">OFFSET([35]ST_INVEST!$G$5,0,0,COUNTA([35]ST_INVEST!$G$1:$G$65536))</definedName>
    <definedName name="CITI_MMDA">OFFSET([35]ST_INVEST!$I$5,0,0,COUNTA([35]ST_INVEST!$I$1:$I$65536))</definedName>
    <definedName name="CLAIM" hidden="1">{#N/A,#N/A,FALSE,"98소지이동TOTvs99.1 (2)";#N/A,#N/A,FALSE,"TOTAL";#N/A,#N/A,FALSE,"98소지이동TOTvs99.1(b) (2)"}</definedName>
    <definedName name="CLAIM2" hidden="1">{#N/A,#N/A,FALSE,"98소지이동TOTvs99.1 (2)";#N/A,#N/A,FALSE,"TOTAL";#N/A,#N/A,FALSE,"98소지이동TOTvs99.1(b) (2)"}</definedName>
    <definedName name="CLIENT_NAME">#REF!</definedName>
    <definedName name="cmklldje">{"'Sheet1'!$A$1:$H$36"}</definedName>
    <definedName name="CODE">#REF!</definedName>
    <definedName name="COL">#REF!</definedName>
    <definedName name="COMMERCIAL">#REF!</definedName>
    <definedName name="Company">[43]界面!#REF!</definedName>
    <definedName name="Compress_Pr">#REF!</definedName>
    <definedName name="con">#REF!</definedName>
    <definedName name="CoName1">[28]calendar!$E$74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idor__DC_4L">'[29]++++'!#REF!</definedName>
    <definedName name="Conidor_AL_400ml">'[29]++++'!#REF!</definedName>
    <definedName name="Conidor_SC_250ml">'[29]++++'!#REF!</definedName>
    <definedName name="Conidor_SL_20L">'[29]++++'!#REF!</definedName>
    <definedName name="Conidor_SL_250ml">'[29]++++'!#REF!</definedName>
    <definedName name="coniSL300">'[29]++++'!#REF!</definedName>
    <definedName name="CONNECTSTRING1">#REF!</definedName>
    <definedName name="CONTROL">'[24]control sheet'!$A$92:$G$93</definedName>
    <definedName name="Control_a">#REF!</definedName>
    <definedName name="controlsheet">'[24]control sheet'!$A$9:$K$84</definedName>
    <definedName name="CoNum1">[28]HEADER!$D$5</definedName>
    <definedName name="Coring_SL__500ml">'[29]++++'!#REF!</definedName>
    <definedName name="Cornido_GR_1kg">'[29]++++'!#REF!</definedName>
    <definedName name="cost_per_trip">#REF!</definedName>
    <definedName name="Country">#REF!</definedName>
    <definedName name="cover2" hidden="1">#REF!</definedName>
    <definedName name="CREATESUMMARYJNLS1">#REF!</definedName>
    <definedName name="_xlnm.Criteria">#REF!</definedName>
    <definedName name="Criteria_MI">#REF!</definedName>
    <definedName name="CRITERIACOLUMN1">#REF!</definedName>
    <definedName name="crr">#REF!</definedName>
    <definedName name="CS9769_CS9769_List">#REF!</definedName>
    <definedName name="ctrl">#REF!</definedName>
    <definedName name="Currency">'[44]0-Basics'!$B$3</definedName>
    <definedName name="current">#REF!</definedName>
    <definedName name="CURT">#REF!</definedName>
    <definedName name="Customer">'[45]Code Info'!$C$3:$C$22</definedName>
    <definedName name="CustomerName">#REF!</definedName>
    <definedName name="CVZFV">#REF!</definedName>
    <definedName name="Cwvu.시간대별예약." hidden="1">#REF!,#REF!,#REF!,#REF!,#REF!,#REF!,#REF!,#REF!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ZXCZ">#REF!</definedName>
    <definedName name="d" localSheetId="7" hidden="1">{#N/A,#N/A,FALSE,"Aging Summary";#N/A,#N/A,FALSE,"Ratio Analysis";#N/A,#N/A,FALSE,"Test 120 Day Accts";#N/A,#N/A,FALSE,"Tickmarks"}</definedName>
    <definedName name="d" localSheetId="8" hidden="1">{#N/A,#N/A,FALSE,"Aging Summary";#N/A,#N/A,FALSE,"Ratio Analysis";#N/A,#N/A,FALSE,"Test 120 Day Accts";#N/A,#N/A,FALSE,"Tickmarks"}</definedName>
    <definedName name="d" localSheetId="10" hidden="1">{#N/A,#N/A,FALSE,"Aging Summary";#N/A,#N/A,FALSE,"Ratio Analysis";#N/A,#N/A,FALSE,"Test 120 Day Accts";#N/A,#N/A,FALSE,"Tickmarks"}</definedName>
    <definedName name="d" localSheetId="9" hidden="1">{#N/A,#N/A,FALSE,"Aging Summary";#N/A,#N/A,FALSE,"Ratio Analysis";#N/A,#N/A,FALSE,"Test 120 Day Accts";#N/A,#N/A,FALSE,"Tickmarks"}</definedName>
    <definedName name="d" hidden="1">{#N/A,#N/A,FALSE,"UNIT";#N/A,#N/A,FALSE,"UNIT";#N/A,#N/A,FALSE,"계정"}</definedName>
    <definedName name="D1669\">#REF!</definedName>
    <definedName name="D3BS" hidden="1">{"adj95mult",#N/A,FALSE,"COMPCO";"adj95est",#N/A,FALSE,"COMPCO"}</definedName>
    <definedName name="D3IS" hidden="1">{"adj95mult",#N/A,FALSE,"COMPCO";"adj95est",#N/A,FALSE,"COMPCO"}</definedName>
    <definedName name="Da">#REF!</definedName>
    <definedName name="daily_qty">[46]분석!$V$5:$X$36,[46]분석!$V$38,[46]분석!$V$38:$X$65,[46]분석!$V$67,[46]분석!$V$67:$X$97,[46]분석!$V$99,[46]분석!$V$99:$X$128,[46]분석!$V$130,[46]분석!$V$130:$X$160,[46]분석!$V$162,[46]분석!$V$162:$X$191,[46]분석!$V$193,[46]분석!$V$193:$X$223,[46]분석!$V$225,[46]분석!$V$225:$X$255,[46]분석!$V$257,[46]분석!$V$257:$X$286,[46]분석!$V$288</definedName>
    <definedName name="DATA">#REF!</definedName>
    <definedName name="datab">[47]고정자산원본!$A$1:$S$236</definedName>
    <definedName name="_xlnm.Database">#REF!</definedName>
    <definedName name="Database_MI">'[48]9703'!#REF!</definedName>
    <definedName name="Date">#REF!</definedName>
    <definedName name="DAY">OFFSET([35]RATE!$A$3,0,0,COUNTA([35]RATE!$A$1:$A$65536))</definedName>
    <definedName name="days_in_year">#REF!</definedName>
    <definedName name="DBNAME1">#REF!</definedName>
    <definedName name="dbo_HFAPATA1T">#REF!</definedName>
    <definedName name="DBUSERNAME1">#REF!</definedName>
    <definedName name="dc">"2005年12月31日"</definedName>
    <definedName name="DCF_NO_YRS">'[42]DCF Input'!$K$19</definedName>
    <definedName name="DCF_VAL_MNTH">'[42]DCF Input'!$K$12</definedName>
    <definedName name="dcrate">#REF!</definedName>
    <definedName name="DD">#REF!</definedName>
    <definedName name="DDD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dddd" hidden="1">{#N/A,#N/A,FALSE,"UNIT";#N/A,#N/A,FALSE,"UNIT";#N/A,#N/A,FALSE,"계정"}</definedName>
    <definedName name="ddddd" hidden="1">{#N/A,#N/A,FALSE,"UNIT";#N/A,#N/A,FALSE,"UNIT";#N/A,#N/A,FALSE,"계정"}</definedName>
    <definedName name="DDDDDADAD" hidden="1">{"'Sheet1'!$A$1:$J$73"}</definedName>
    <definedName name="DDDDDADFADFAAD" hidden="1">{"'Sheet1'!$A$1:$J$73"}</definedName>
    <definedName name="dddddcdwe">{"'Sheet1'!$A$1:$H$36"}</definedName>
    <definedName name="dddddd" hidden="1">{#N/A,#N/A,FALSE,"UNIT";#N/A,#N/A,FALSE,"UNIT";#N/A,#N/A,FALSE,"계정"}</definedName>
    <definedName name="ddddddd" hidden="1">{#N/A,#N/A,FALSE,"UNIT";#N/A,#N/A,FALSE,"UNIT";#N/A,#N/A,FALSE,"계정"}</definedName>
    <definedName name="dddddddd" hidden="1">{"'5국공정'!$A$1:$E$128"}</definedName>
    <definedName name="ddddddddd" hidden="1">{#N/A,#N/A,FALSE,"UNIT";#N/A,#N/A,FALSE,"UNIT";#N/A,#N/A,FALSE,"계정"}</definedName>
    <definedName name="dddddddddd" hidden="1">{#N/A,#N/A,FALSE,"UNIT";#N/A,#N/A,FALSE,"UNIT";#N/A,#N/A,FALSE,"계정"}</definedName>
    <definedName name="DDDDDDDDDDD" hidden="1">{#N/A,#N/A,FALSE,"98소지이동TOTvs99.1 (2)";#N/A,#N/A,FALSE,"TOTAL";#N/A,#N/A,FALSE,"98소지이동TOTvs99.1(b) (2)"}</definedName>
    <definedName name="DDDDDDDDDDDD" hidden="1">{#N/A,#N/A,FALSE,"Yield";#N/A,#N/A,FALSE,"Loss1";#N/A,#N/A,FALSE,"Loss2";#N/A,#N/A,FALSE,"Hour-Labor(배분)";#N/A,#N/A,FALSE,"Capital Expenditure";#N/A,#N/A,FALSE,"Productivity"}</definedName>
    <definedName name="DDDDDDDDDDDDD" hidden="1">{#N/A,#N/A,FALSE,"98소지이동TOTvs99.1 (2)";#N/A,#N/A,FALSE,"TOTAL";#N/A,#N/A,FALSE,"98소지이동TOTvs99.1(b) (2)"}</definedName>
    <definedName name="DDDDDDDDDDDDDDD" hidden="1">{#N/A,#N/A,FALSE,"98소지이동TOTvs99.1 (2)";#N/A,#N/A,FALSE,"TOTAL";#N/A,#N/A,FALSE,"98소지이동TOTvs99.1(b) (2)"}</definedName>
    <definedName name="DDDDDDDDDDDDDDDD" hidden="1">{#N/A,#N/A,FALSE,"98소지이동TOTvs99.1 (2)";#N/A,#N/A,FALSE,"TOTAL";#N/A,#N/A,FALSE,"98소지이동TOTvs99.1(b) (2)"}</definedName>
    <definedName name="DDDDDDDDDDDDDDDDDDD" hidden="1">{#N/A,#N/A,FALSE,"98소지이동TOTvs99.1 (2)";#N/A,#N/A,FALSE,"TOTAL";#N/A,#N/A,FALSE,"98소지이동TOTvs99.1(b) (2)"}</definedName>
    <definedName name="DDDDDDDDDDDDDDDDDDDDD" hidden="1">{#N/A,#N/A,FALSE,"98소지이동TOTvs99.1 (2)";#N/A,#N/A,FALSE,"TOTAL";#N/A,#N/A,FALSE,"98소지이동TOTvs99.1(b) (2)"}</definedName>
    <definedName name="DDDDDDDDDDDDDDDDDDDDDD" hidden="1">{#N/A,#N/A,FALSE,"군산원가";#N/A,#N/A,FALSE,"팀별월별";#N/A,#N/A,FALSE,"타공정대체";#N/A,#N/A,FALSE,"기타경비";#N/A,#N/A,FALSE,"원료";#N/A,#N/A,FALSE,"연료"}</definedName>
    <definedName name="DDDDDDDDDDDDDDDDDDDDDDDD" hidden="1">{#N/A,#N/A,FALSE,"군산원가";#N/A,#N/A,FALSE,"팀별월별";#N/A,#N/A,FALSE,"타공정대체";#N/A,#N/A,FALSE,"기타경비";#N/A,#N/A,FALSE,"원료";#N/A,#N/A,FALSE,"연료"}</definedName>
    <definedName name="DDDDDDDDDDDDDDDDDDDDDDDDDD" hidden="1">{#N/A,#N/A,FALSE,"군산원가";#N/A,#N/A,FALSE,"팀별월별";#N/A,#N/A,FALSE,"타공정대체";#N/A,#N/A,FALSE,"기타경비";#N/A,#N/A,FALSE,"원료";#N/A,#N/A,FALSE,"연료"}</definedName>
    <definedName name="DDDDDDDDDDDDDDDDDDDDDDDDDDD" hidden="1">{#N/A,#N/A,FALSE,"군산원가";#N/A,#N/A,FALSE,"팀별월별";#N/A,#N/A,FALSE,"타공정대체";#N/A,#N/A,FALSE,"기타경비";#N/A,#N/A,FALSE,"원료";#N/A,#N/A,FALSE,"연료"}</definedName>
    <definedName name="DDDDDDDDDDDDDDDDDDDDDDDDDDDDD" hidden="1">{#N/A,#N/A,FALSE,"Yield";#N/A,#N/A,FALSE,"Loss1";#N/A,#N/A,FALSE,"Loss2";#N/A,#N/A,FALSE,"Hour-Labor(배분)";#N/A,#N/A,FALSE,"Capital Expenditure";#N/A,#N/A,FALSE,"Productivity"}</definedName>
    <definedName name="DDDDDDDDDDDDDDDDDDDDDDDDDDDDDDD" hidden="1">{#N/A,#N/A,FALSE,"98소지이동TOTvs99.1 (2)";#N/A,#N/A,FALSE,"TOTAL";#N/A,#N/A,FALSE,"98소지이동TOTvs99.1(b) (2)"}</definedName>
    <definedName name="DDDDDDDDDDDDDDDDDDDDDDDDDDDDDDDD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DDDDDDDDDDDDDDDDDDDDDDDDDDDDDDDDD" hidden="1">{#N/A,#N/A,FALSE,"Yield";#N/A,#N/A,FALSE,"Loss1";#N/A,#N/A,FALSE,"Loss2";#N/A,#N/A,FALSE,"Hour-Labor(배분)";#N/A,#N/A,FALSE,"Capital Expenditure";#N/A,#N/A,FALSE,"Productivity"}</definedName>
    <definedName name="DDDDDDDDDDDDDDDDDDDDDDDDDDDDDDDDDDDDDD" hidden="1">{#N/A,#N/A,FALSE,"군산원가";#N/A,#N/A,FALSE,"팀별월별";#N/A,#N/A,FALSE,"타공정대체";#N/A,#N/A,FALSE,"기타경비";#N/A,#N/A,FALSE,"원료";#N/A,#N/A,FALSE,"연료"}</definedName>
    <definedName name="DDDDDDDDDDDDDDDDDDDDDDDDDDDDDDDDDDDDDDD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DDDDDDDDDDDDDDDDDDDDDDDDDDDDDDDDDDDDDDDD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DDDDDDDDDDDDDDDDDDDDDDDDDDDDDDDDDDDDDDDDDDDDDDDDDDDDDDDD" hidden="1">{#N/A,#N/A,FALSE,"Yield";#N/A,#N/A,FALSE,"Loss1";#N/A,#N/A,FALSE,"Loss2";#N/A,#N/A,FALSE,"Hour-Labor(배분)";#N/A,#N/A,FALSE,"Capital Expenditure";#N/A,#N/A,FALSE,"Productivity"}</definedName>
    <definedName name="ddddddss">{"'Sheet1'!$A$1:$H$36"}</definedName>
    <definedName name="dddddssss">{"'Sheet1'!$A$1:$H$36"}</definedName>
    <definedName name="ddf">{"'Sheet1'!$A$1:$H$36"}</definedName>
    <definedName name="DDong" hidden="1">{#N/A,#N/A,FALSE,"지침";#N/A,#N/A,FALSE,"환경분석";#N/A,#N/A,FALSE,"Sheet16"}</definedName>
    <definedName name="ddsee">{"'Sheet1'!$A$1:$H$36"}</definedName>
    <definedName name="Default_doc_fee">#REF!</definedName>
    <definedName name="dek">#REF!</definedName>
    <definedName name="DELETELOGICTYPE1">#REF!</definedName>
    <definedName name="DEM">#REF!</definedName>
    <definedName name="DEP">'[29]++++'!#REF!</definedName>
    <definedName name="Depreciation">#REF!</definedName>
    <definedName name="depreciation_schedule">#REF!</definedName>
    <definedName name="DES">#REF!</definedName>
    <definedName name="description">#REF!</definedName>
    <definedName name="Design1Price">#REF!</definedName>
    <definedName name="Design1PriceUSD">#REF!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wfd" hidden="1">{#N/A,#N/A,FALSE,"1.CRITERIA";#N/A,#N/A,FALSE,"2.IS";#N/A,#N/A,FALSE,"3.BS";#N/A,#N/A,FALSE,"4.PER PL";#N/A,#N/A,FALSE,"5.INVESTMENT";#N/A,#N/A,FALSE,"6.공문";#N/A,#N/A,FALSE,"7.netinvest"}</definedName>
    <definedName name="DF" hidden="1">{#N/A,#N/A,FALSE,"단축1";#N/A,#N/A,FALSE,"단축2";#N/A,#N/A,FALSE,"단축3";#N/A,#N/A,FALSE,"장축";#N/A,#N/A,FALSE,"4WD"}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df" hidden="1">{#N/A,#N/A,FALSE,"UNIT";#N/A,#N/A,FALSE,"UNIT";#N/A,#N/A,FALSE,"계정"}</definedName>
    <definedName name="dfdsgfhgh">{"'2 혼례가구(1)'!$C$10"}</definedName>
    <definedName name="dffdfs" localSheetId="7">BlankMacro1</definedName>
    <definedName name="dffdfs" localSheetId="10">BlankMacro1</definedName>
    <definedName name="dffdfs" localSheetId="9">BlankMacro1</definedName>
    <definedName name="dffdfs">BlankMacro1</definedName>
    <definedName name="dfg">#REF!</definedName>
    <definedName name="dfhkhfkjsg">{"'Sheet1'!$A$1:$H$36"}</definedName>
    <definedName name="dfjkdhf">{"'Sheet1'!$A$1:$H$36"}</definedName>
    <definedName name="dfrewsfa" localSheetId="7">BlankMacro1</definedName>
    <definedName name="dfrewsfa" localSheetId="10">BlankMacro1</definedName>
    <definedName name="dfrewsfa" localSheetId="9">BlankMacro1</definedName>
    <definedName name="dfrewsfa">BlankMacro1</definedName>
    <definedName name="dfs" hidden="1">{#N/A,#N/A,FALSE,"Sheet1"}</definedName>
    <definedName name="dfsdgss">{"'Sheet1'!$A$1:$H$36"}</definedName>
    <definedName name="dfsgdfsg" hidden="1">{#N/A,#N/A,FALSE,"98소지이동TOTvs99.1 (2)";#N/A,#N/A,FALSE,"TOTAL";#N/A,#N/A,FALSE,"98소지이동TOTvs99.1(b) (2)"}</definedName>
    <definedName name="DFZfZD">#REF!</definedName>
    <definedName name="dgdfg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dhfkldjk">{"'Sheet1'!$A$1:$H$36"}</definedName>
    <definedName name="dhj">{"'용역비'!$A$4:$C$8"}</definedName>
    <definedName name="dhjkfhdjkhslhjkls">{"'Sheet1'!$A$1:$H$36"}</definedName>
    <definedName name="dhksie">{"'Sheet1'!$A$1:$H$36"}</definedName>
    <definedName name="dhsjhsks">{"'Sheet1'!$A$1:$H$36"}</definedName>
    <definedName name="DH추정">#REF!</definedName>
    <definedName name="Difference">#REF!</definedName>
    <definedName name="Disaggregations">#REF!</definedName>
    <definedName name="disc_in_doc">#REF!</definedName>
    <definedName name="disc_in_services">#REF!</definedName>
    <definedName name="Discount">#REF!</definedName>
    <definedName name="Divdepts">#REF!</definedName>
    <definedName name="djdjh">{"'손익현황'!$A$1:$J$29"}</definedName>
    <definedName name="djk" localSheetId="7">BlankMacro1</definedName>
    <definedName name="djk" localSheetId="10">BlankMacro1</definedName>
    <definedName name="djk" localSheetId="9">BlankMacro1</definedName>
    <definedName name="djk">BlankMacro1</definedName>
    <definedName name="djkdjls">{"'Sheet1'!$A$1:$H$36"}</definedName>
    <definedName name="djkflajsdk" hidden="1">{"EVA",#N/A,FALSE,"EVA";"WACC",#N/A,FALSE,"WACC"}</definedName>
    <definedName name="djkjksl">{"'Sheet1'!$A$1:$H$36"}</definedName>
    <definedName name="djklcnkl">{"'Sheet1'!$A$1:$H$36"}</definedName>
    <definedName name="djklsjksj">{"'Sheet1'!$A$1:$H$36"}</definedName>
    <definedName name="djklslls">{"'Sheet1'!$A$1:$H$36"}</definedName>
    <definedName name="djkskls">{"'Sheet1'!$A$1:$H$36"}</definedName>
    <definedName name="djksl">{"'Sheet1'!$A$1:$H$36"}</definedName>
    <definedName name="djlkslmxl">{"'Sheet1'!$A$1:$H$36"}</definedName>
    <definedName name="DKC">[49]PLarp!#REF!</definedName>
    <definedName name="dkdk" hidden="1">{#N/A,#N/A,FALSE,"BS";#N/A,#N/A,FALSE,"PL";#N/A,#N/A,FALSE,"처분";#N/A,#N/A,FALSE,"현금";#N/A,#N/A,FALSE,"매출";#N/A,#N/A,FALSE,"원가";#N/A,#N/A,FALSE,"경영"}</definedName>
    <definedName name="dkdkd" hidden="1">{#N/A,#N/A,FALSE,"UNIT";#N/A,#N/A,FALSE,"UNIT";#N/A,#N/A,FALSE,"계정"}</definedName>
    <definedName name="dkdkdk">{"'Sheet1'!$A$1:$H$36"}</definedName>
    <definedName name="dkdkkd">[50]RE!#REF!</definedName>
    <definedName name="dkslke">{"'Sheet1'!$A$1:$H$36"}</definedName>
    <definedName name="DLAKL" hidden="1">{#N/A,#N/A,TRUE,"Y생산";#N/A,#N/A,TRUE,"Y판매";#N/A,#N/A,TRUE,"Y총물량";#N/A,#N/A,TRUE,"Y능력";#N/A,#N/A,TRUE,"YKD"}</definedName>
    <definedName name="dlddd">{"'Sheet1'!$A$1:$H$36"}</definedName>
    <definedName name="dldnjsdl" hidden="1">{#N/A,#N/A,FALSE,"지침";#N/A,#N/A,FALSE,"환경분석";#N/A,#N/A,FALSE,"Sheet16"}</definedName>
    <definedName name="DLFL" localSheetId="7">BLCH</definedName>
    <definedName name="DLFL" localSheetId="10">BLCH</definedName>
    <definedName name="DLFL" localSheetId="9">BLCH</definedName>
    <definedName name="DLFL">BLCH</definedName>
    <definedName name="dlld">{"'Sheet1'!$A$1:$H$36"}</definedName>
    <definedName name="dlle">{"'Sheet1'!$A$1:$H$36"}</definedName>
    <definedName name="DLWJS" hidden="1">{#N/A,#N/A,FALSE,"Yield";#N/A,#N/A,FALSE,"Loss1";#N/A,#N/A,FALSE,"Loss2";#N/A,#N/A,FALSE,"Hour-Labor(배분)";#N/A,#N/A,FALSE,"Capital Expenditure";#N/A,#N/A,FALSE,"Productivity"}</definedName>
    <definedName name="dma" hidden="1">{#N/A,#N/A,FALSE,"BS";#N/A,#N/A,FALSE,"PL";#N/A,#N/A,FALSE,"처분";#N/A,#N/A,FALSE,"현금";#N/A,#N/A,FALSE,"매출";#N/A,#N/A,FALSE,"원가";#N/A,#N/A,FALSE,"경영"}</definedName>
    <definedName name="dnfk" localSheetId="7">BlankMacro1</definedName>
    <definedName name="dnfk" localSheetId="10">BlankMacro1</definedName>
    <definedName name="dnfk" localSheetId="9">BlankMacro1</definedName>
    <definedName name="dnfk">BlankMacro1</definedName>
    <definedName name="dnlksnlkslk">{"'Sheet1'!$A$1:$H$36"}</definedName>
    <definedName name="DOC">#REF!</definedName>
    <definedName name="Doc_CDROM_License_a">#REF!</definedName>
    <definedName name="Doc_Price_a">#REF!</definedName>
    <definedName name="DR1PrcINR">#REF!</definedName>
    <definedName name="DR1PrcUSD">#REF!</definedName>
    <definedName name="DR2CostINR">#REF!</definedName>
    <definedName name="DR2CostUSD">#REF!</definedName>
    <definedName name="Dreada_WP_100g">'[29]++++'!#REF!</definedName>
    <definedName name="DRFDG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TRTDKGMUKRT">#REF!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F">#REF!</definedName>
    <definedName name="dsdfgs">{"'Sheet1'!$A$1:$H$36"}</definedName>
    <definedName name="dsds" hidden="1">{#N/A,#N/A,FALSE,"1.CRITERIA";#N/A,#N/A,FALSE,"2.IS";#N/A,#N/A,FALSE,"3.BS";#N/A,#N/A,FALSE,"4.PER PL";#N/A,#N/A,FALSE,"5.INVESTMENT";#N/A,#N/A,FALSE,"6.공문";#N/A,#N/A,FALSE,"7.netinvest"}</definedName>
    <definedName name="dse">{"'Sheet1'!$A$1:$H$36"}</definedName>
    <definedName name="DSF">#REF!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gsdgsd65754">{"'Sheet1'!$A$1:$H$36"}</definedName>
    <definedName name="dss">{"'Sheet1'!$A$1:$H$36"}</definedName>
    <definedName name="DXX_HW_a">#REF!</definedName>
    <definedName name="DXX_SW_a">#REF!</definedName>
    <definedName name="dzfv">[33]수율생산!#REF!</definedName>
    <definedName name="e" localSheetId="7" hidden="1">{#N/A,#N/A,FALSE,"Aging Summary";#N/A,#N/A,FALSE,"Ratio Analysis";#N/A,#N/A,FALSE,"Test 120 Day Accts";#N/A,#N/A,FALSE,"Tickmarks"}</definedName>
    <definedName name="e" localSheetId="8" hidden="1">{#N/A,#N/A,FALSE,"Aging Summary";#N/A,#N/A,FALSE,"Ratio Analysis";#N/A,#N/A,FALSE,"Test 120 Day Accts";#N/A,#N/A,FALSE,"Tickmarks"}</definedName>
    <definedName name="e" localSheetId="10" hidden="1">{#N/A,#N/A,FALSE,"Aging Summary";#N/A,#N/A,FALSE,"Ratio Analysis";#N/A,#N/A,FALSE,"Test 120 Day Accts";#N/A,#N/A,FALSE,"Tickmarks"}</definedName>
    <definedName name="e" localSheetId="9" hidden="1">{#N/A,#N/A,FALSE,"Aging Summary";#N/A,#N/A,FALSE,"Ratio Analysis";#N/A,#N/A,FALSE,"Test 120 Day Accts";#N/A,#N/A,FALSE,"Tickmarks"}</definedName>
    <definedName name="e" hidden="1">[51]Æo°¡±aAØ!#REF!</definedName>
    <definedName name="ea" hidden="1">{#N/A,#N/A,FALSE,"Aging Summary";#N/A,#N/A,FALSE,"Ratio Analysis";#N/A,#N/A,FALSE,"Test 120 Day Accts";#N/A,#N/A,FALSE,"Tickmarks"}</definedName>
    <definedName name="ECH">#REF!</definedName>
    <definedName name="ed">{"'보고양식'!$A$58:$K$111"}</definedName>
    <definedName name="ED3__회훈_71.4_신창_4.9">#REF!</definedName>
    <definedName name="ede">{"'4월수지'!$A$1:$AE$45"}</definedName>
    <definedName name="EE">#REF!</definedName>
    <definedName name="eee">{"'Sheet1'!$A$1:$H$36"}</definedName>
    <definedName name="eeee" hidden="1">{#N/A,#N/A,FALSE,"UNIT";#N/A,#N/A,FALSE,"UNIT";#N/A,#N/A,FALSE,"계정"}</definedName>
    <definedName name="eeojfkjks">{"'Sheet1'!$A$1:$H$36"}</definedName>
    <definedName name="eerfd">{"'Sheet1'!$A$1:$H$36"}</definedName>
    <definedName name="eewewewe" hidden="1">{#N/A,#N/A,FALSE,"UNIT";#N/A,#N/A,FALSE,"UNIT";#N/A,#N/A,FALSE,"계정"}</definedName>
    <definedName name="EFEW">#REF!</definedName>
    <definedName name="EffDate">[28]HEADER!$G$6</definedName>
    <definedName name="EIR_HW_Price_a">#REF!</definedName>
    <definedName name="EIR_SW_Price_a">#REF!</definedName>
    <definedName name="EIRQty">#REF!</definedName>
    <definedName name="ejioos">{"'Sheet1'!$A$1:$H$36"}</definedName>
    <definedName name="ejklejle">{"'Sheet1'!$A$1:$H$36"}</definedName>
    <definedName name="ek" hidden="1">{#N/A,#N/A,FALSE,"단축1";#N/A,#N/A,FALSE,"단축2";#N/A,#N/A,FALSE,"단축3";#N/A,#N/A,FALSE,"장축";#N/A,#N/A,FALSE,"4WD"}</definedName>
    <definedName name="ekele">{"'Sheet1'!$A$1:$H$36"}</definedName>
    <definedName name="eks">OFFSET(#REF!,0,0,COUNTA(#REF!),7)</definedName>
    <definedName name="EKSWHD" hidden="1">{#N/A,#N/A,FALSE,"Yield";#N/A,#N/A,FALSE,"Loss1";#N/A,#N/A,FALSE,"Loss2";#N/A,#N/A,FALSE,"Hour-Labor(배분)";#N/A,#N/A,FALSE,"Capital Expenditure";#N/A,#N/A,FALSE,"Productivity"}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ndvalue">#REF!</definedName>
    <definedName name="ENT">#REF!</definedName>
    <definedName name="eo" hidden="1">{#N/A,#N/A,FALSE,"BS";#N/A,#N/A,FALSE,"PL";#N/A,#N/A,FALSE,"처분";#N/A,#N/A,FALSE,"현금";#N/A,#N/A,FALSE,"매출";#N/A,#N/A,FALSE,"원가";#N/A,#N/A,FALSE,"경영"}</definedName>
    <definedName name="EO계획" hidden="1">#REF!</definedName>
    <definedName name="EPN_EC_500ml">'[29]++++'!#REF!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">#REF!</definedName>
    <definedName name="ererer" hidden="1">{#N/A,#N/A,FALSE,"UNIT";#N/A,#N/A,FALSE,"UNIT";#N/A,#N/A,FALSE,"계정"}</definedName>
    <definedName name="Erlangs">#REF!</definedName>
    <definedName name="Erlangs_per_Span">#REF!</definedName>
    <definedName name="ERQ">[52]주간계획!#REF!</definedName>
    <definedName name="ertyertye">{"'용역비'!$A$4:$C$8"}</definedName>
    <definedName name="erwrwe" hidden="1">{#N/A,#N/A,FALSE,"Sheet1"}</definedName>
    <definedName name="es" hidden="1">{#N/A,#N/A,FALSE,"Aging Summary";#N/A,#N/A,FALSE,"Ratio Analysis";#N/A,#N/A,FALSE,"Test 120 Day Accts";#N/A,#N/A,FALSE,"Tickmarks"}</definedName>
    <definedName name="esebh">{"Tusk"}</definedName>
    <definedName name="Eth_Pr">#REF!</definedName>
    <definedName name="etyj">{"'용역비'!$A$4:$C$8"}</definedName>
    <definedName name="etyjj">{"'용역비'!$A$4:$C$8"}</definedName>
    <definedName name="Eufa_M_WP_200g">'[29]++++'!#REF!</definedName>
    <definedName name="EUR_KRW">OFFSET([53]RATE!$G$13,0,0,COUNTA([53]RATE!$G$1:$G$65536))</definedName>
    <definedName name="Euro10">#REF!</definedName>
    <definedName name="Euro11">#REF!</definedName>
    <definedName name="Euro12">#REF!</definedName>
    <definedName name="Euro7">#REF!</definedName>
    <definedName name="Euro8">#REF!</definedName>
    <definedName name="Euro9">#REF!</definedName>
    <definedName name="EV__LASTREFTIME__" hidden="1">"2012-02-21 오후 7:58:24"</definedName>
    <definedName name="ex">#REF!</definedName>
    <definedName name="exch">'[54]BS-ENG'!#REF!</definedName>
    <definedName name="eXCH10">'[54]REV-ENG'!$L$90</definedName>
    <definedName name="Exch12">'[55]REV-ENG(book)'!$R$102</definedName>
    <definedName name="Exch2001">'[56]PL-ENG'!#REF!</definedName>
    <definedName name="Exch9">'[57]REV-ENG'!$K$90</definedName>
    <definedName name="exchangeC">'[56]CF-ENG'!#REF!</definedName>
    <definedName name="Exchg10">'[56]REV-ENG'!#REF!</definedName>
    <definedName name="Exchg11">'[56]REV-ENG'!#REF!</definedName>
    <definedName name="Exchg12">'[56]REV-ENG'!#REF!</definedName>
    <definedName name="Exchg7">'[56]REV-ENG'!#REF!</definedName>
    <definedName name="Exchg8">'[56]REV-ENG'!#REF!</definedName>
    <definedName name="Exchg9">'[56]REV-ENG'!#REF!</definedName>
    <definedName name="exh">#REF!</definedName>
    <definedName name="expansion">#REF!</definedName>
    <definedName name="Expected_balance">#REF!</definedName>
    <definedName name="exrate">#REF!</definedName>
    <definedName name="_xlnm.Extract">#REF!</definedName>
    <definedName name="Extract_MI">#REF!</definedName>
    <definedName name="f" hidden="1">'[58]9609Aß'!#REF!</definedName>
    <definedName name="F_123" localSheetId="7">[37]!F_123</definedName>
    <definedName name="F_123" localSheetId="10">[37]!F_123</definedName>
    <definedName name="F_123" localSheetId="9">[37]!F_123</definedName>
    <definedName name="F_123">[37]!F_123</definedName>
    <definedName name="fa">#REF!</definedName>
    <definedName name="Fadolist">[34]Dec!$A$5:$W$540</definedName>
    <definedName name="faldjfla">#REF!</definedName>
    <definedName name="fax" hidden="1">#REF!</definedName>
    <definedName name="FA증감">#REF!</definedName>
    <definedName name="FCC">[59]비용명세!$C$24:$G$47</definedName>
    <definedName name="FCF">#REF!</definedName>
    <definedName name="fda">[33]수율생산!#REF!</definedName>
    <definedName name="fdf" hidden="1">{#N/A,#N/A,FALSE,"Sheet1"}</definedName>
    <definedName name="fdffs" hidden="1">{#N/A,#N/A,FALSE,"단축1";#N/A,#N/A,FALSE,"단축2";#N/A,#N/A,FALSE,"단축3";#N/A,#N/A,FALSE,"장축";#N/A,#N/A,FALSE,"4WD"}</definedName>
    <definedName name="fdg">{"Tusk"}</definedName>
    <definedName name="fdsa" hidden="1">{#N/A,#N/A,FALSE,"단축1";#N/A,#N/A,FALSE,"단축2";#N/A,#N/A,FALSE,"단축3";#N/A,#N/A,FALSE,"장축";#N/A,#N/A,FALSE,"4WD"}</definedName>
    <definedName name="fdsafas">{"'산출근거'!$B$4:$D$8"}</definedName>
    <definedName name="fdsdsfadfs">OFFSET(#REF!,0,0,COUNTA(#REF!),7)</definedName>
    <definedName name="fdsfdf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FE">#REF!</definedName>
    <definedName name="fe_cost">#REF!</definedName>
    <definedName name="fe_price">#REF!</definedName>
    <definedName name="fer" hidden="1">{#N/A,#N/A,FALSE,"단축1";#N/A,#N/A,FALSE,"단축2";#N/A,#N/A,FALSE,"단축3";#N/A,#N/A,FALSE,"장축";#N/A,#N/A,FALSE,"4WD"}</definedName>
    <definedName name="FF">#REF!</definedName>
    <definedName name="FFAPPCOLNAME1_1">#REF!</definedName>
    <definedName name="FFAPPCOLNAME2_1">#REF!</definedName>
    <definedName name="FFAPPCOLNAME3_1">#REF!</definedName>
    <definedName name="FFAPPCOLNAME4_1">#REF!</definedName>
    <definedName name="FFAPPCOLNAME5_1">#REF!</definedName>
    <definedName name="FFAPPCOLNAME6_1">#REF!</definedName>
    <definedName name="ffffffffffffffffffffffffffffffffffffffffffffffffffff">#REF!</definedName>
    <definedName name="FFSEGMENT1_1">#REF!</definedName>
    <definedName name="FFSEGMENT2_1">#REF!</definedName>
    <definedName name="FFSEGMENT3_1">#REF!</definedName>
    <definedName name="FFSEGMENT4_1">#REF!</definedName>
    <definedName name="FFSEGMENT5_1">#REF!</definedName>
    <definedName name="FFSEGMENT6_1">#REF!</definedName>
    <definedName name="FFSEGSEPARATOR1">#REF!</definedName>
    <definedName name="FG24RTDKDK">#REF!</definedName>
    <definedName name="FG28TBTB4RTDK">#REF!</definedName>
    <definedName name="FG44TBTB4RTDKDK">#REF!</definedName>
    <definedName name="FG46TBTB4RTDKDK">#REF!</definedName>
    <definedName name="fgd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FGRKRKRKRKRKRKRKRKRKRKRKRKRKRKR">#REF!</definedName>
    <definedName name="fgRKRKRKRKRKRKRKRKRKTBTB1RTDKDK">[60]부대대비!#REF!</definedName>
    <definedName name="FGRKRKRKRKRKRKTBTB1RTDKDK">[60]냉연집계!#REF!</definedName>
    <definedName name="fgvfgf" hidden="1">{#N/A,#N/A,FALSE,"98소지이동TOTvs99.1 (2)";#N/A,#N/A,FALSE,"TOTAL";#N/A,#N/A,FALSE,"98소지이동TOTvs99.1(b) (2)"}</definedName>
    <definedName name="fhjgj" hidden="1">{#N/A,#N/A,FALSE,"98소지이동TOTvs99.1 (2)";#N/A,#N/A,FALSE,"TOTAL";#N/A,#N/A,FALSE,"98소지이동TOTvs99.1(b) (2)"}</definedName>
    <definedName name="FIELDNAMECOLUMN1">#REF!</definedName>
    <definedName name="FIELDNAMEROW1">#REF!</definedName>
    <definedName name="fila" hidden="1">{#N/A,#N/A,FALSE,"채권채무";#N/A,#N/A,FALSE,"control sheet"}</definedName>
    <definedName name="filaco" localSheetId="7">BlankMacro1</definedName>
    <definedName name="filaco" localSheetId="10">BlankMacro1</definedName>
    <definedName name="filaco" localSheetId="9">BlankMacro1</definedName>
    <definedName name="filaco">BlankMacro1</definedName>
    <definedName name="FINAL_FS" localSheetId="7">[37]!FINAL_FS</definedName>
    <definedName name="FINAL_FS" localSheetId="10">[37]!FINAL_FS</definedName>
    <definedName name="FINAL_FS" localSheetId="9">[37]!FINAL_FS</definedName>
    <definedName name="FINAL_FS">[37]!FINAL_FS</definedName>
    <definedName name="finalReport" localSheetId="7">[37]!finalReport</definedName>
    <definedName name="finalReport" localSheetId="10">[37]!finalReport</definedName>
    <definedName name="finalReport" localSheetId="9">[37]!finalReport</definedName>
    <definedName name="finalReport">[37]!finalReport</definedName>
    <definedName name="find">#REF!</definedName>
    <definedName name="FirstCell">#REF!</definedName>
    <definedName name="FIRSTDATAROW1">#REF!</definedName>
    <definedName name="fjklsjkl">{"'Sheet1'!$A$1:$H$36"}</definedName>
    <definedName name="FK">{"'용역비'!$A$4:$C$8"}</definedName>
    <definedName name="fkfk" hidden="1">{#N/A,#N/A,FALSE,"회선임차현황"}</definedName>
    <definedName name="Flatpack_Price_a">#REF!</definedName>
    <definedName name="flow" hidden="1">{#N/A,#N/A,FALSE,"BS";#N/A,#N/A,FALSE,"IS";#N/A,#N/A,FALSE,"결손금처리";#N/A,#N/A,FALSE,"cashflow"}</definedName>
    <definedName name="flsklhdjhjd">{"'Sheet1'!$A$1:$H$36"}</definedName>
    <definedName name="FLUCTUATIONS">#REF!</definedName>
    <definedName name="FNDNAM1">#REF!</definedName>
    <definedName name="FNDUSERID1">#REF!</definedName>
    <definedName name="Folpet_WP_500g">'[29]++++'!#REF!</definedName>
    <definedName name="frame_pc">#REF!</definedName>
    <definedName name="frame_price">#REF!</definedName>
    <definedName name="FRC">[61]Main!$C$9</definedName>
    <definedName name="FRQ">#REF!</definedName>
    <definedName name="FRSM_Pr">#REF!</definedName>
    <definedName name="fsfgsfgsfgsfg" hidden="1">{"'Sheet1'!$A$1:$J$73"}</definedName>
    <definedName name="fss">{"'Sheet1'!$A$1:$H$36"}</definedName>
    <definedName name="FullMth">[28]HEADER!$C$3</definedName>
    <definedName name="FUNCTIONALCURRENCY1">#REF!</definedName>
    <definedName name="G">#REF!</definedName>
    <definedName name="ga">{"Tusk"}</definedName>
    <definedName name="gadfasd">{"Tusk"}</definedName>
    <definedName name="Gardian_WP_100g">'[29]++++'!#REF!</definedName>
    <definedName name="Gaucho_WP_50g">'[29]++++'!#REF!</definedName>
    <definedName name="gDataRange">#REF!,#REF!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etBln_rate">#N/A</definedName>
    <definedName name="getCr_rate">#N/A</definedName>
    <definedName name="getDr_rate">#N/A</definedName>
    <definedName name="gf" hidden="1">{#N/A,#N/A,FALSE,"Aging Summary";#N/A,#N/A,FALSE,"Ratio Analysis";#N/A,#N/A,FALSE,"Test 120 Day Accts";#N/A,#N/A,FALSE,"Tickmarks"}</definedName>
    <definedName name="gfdjhdsf">{"'9월'!$F$38"}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gfdg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g" hidden="1">{#N/A,#N/A,FALSE,"Aging Summary";#N/A,#N/A,FALSE,"Ratio Analysis";#N/A,#N/A,FALSE,"Test 120 Day Accts";#N/A,#N/A,FALSE,"Tickmarks"}</definedName>
    <definedName name="ggg" hidden="1">#REF!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H">#REF!</definedName>
    <definedName name="GHGHGH" hidden="1">{"'미착금액'!$A$4:$G$14"}</definedName>
    <definedName name="ghksdbbf">[62]경영계획!#REF!</definedName>
    <definedName name="GHUTGHF" hidden="1">{#N/A,#N/A,FALSE,"96 3월물량표";#N/A,#N/A,FALSE,"96 4월물량표";#N/A,#N/A,FALSE,"96 5월물량표"}</definedName>
    <definedName name="GIG">#REF!</definedName>
    <definedName name="gig_pc">#REF!</definedName>
    <definedName name="gig_price">#REF!</definedName>
    <definedName name="GKGKGK" hidden="1">#REF!</definedName>
    <definedName name="gl">#REF!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NA.共">[63]공표손익!#REF!</definedName>
    <definedName name="GPRS_BSC_Cabinet_HW_Disc">#REF!</definedName>
    <definedName name="GPRS_BSC_HW_Disc">#REF!</definedName>
    <definedName name="GPRS_BSC_Mag_HW_Disc">#REF!</definedName>
    <definedName name="GPRS_Gross_Comp_Dev">#REF!</definedName>
    <definedName name="GPRS_Gross_Documentation">#REF!</definedName>
    <definedName name="GPRS_Gross_Other">#REF!</definedName>
    <definedName name="GPRS_Gross_Services">#REF!</definedName>
    <definedName name="GPRS_Gross_Support">#REF!</definedName>
    <definedName name="GPRS_HW_Disc_Optional">#REF!</definedName>
    <definedName name="GPRS_HW_Disc_PCU">#REF!</definedName>
    <definedName name="GPRS_HW_Disc_SG">#REF!</definedName>
    <definedName name="GPRS_Net_Comp_Dev">#REF!</definedName>
    <definedName name="GPRS_Net_Documentation">#REF!</definedName>
    <definedName name="GPRS_Net_Other">#REF!</definedName>
    <definedName name="GPRS_Net_Services">#REF!</definedName>
    <definedName name="GPRS_Net_Support">#REF!</definedName>
    <definedName name="GPRS_Phase_number">#REF!</definedName>
    <definedName name="GPRS_SW_Disc">#REF!</definedName>
    <definedName name="gross">#REF!</definedName>
    <definedName name="gross_antenna">#REF!</definedName>
    <definedName name="Gross_AXE_HW_Aux">#REF!</definedName>
    <definedName name="gross_axe_spares">#REF!</definedName>
    <definedName name="gross_bgw_hw">#REF!</definedName>
    <definedName name="gross_bgw_sw">#REF!</definedName>
    <definedName name="gross_bsc_hw">#REF!</definedName>
    <definedName name="gross_bss_sw">#REF!</definedName>
    <definedName name="gross_bts_backup">#REF!</definedName>
    <definedName name="gross_bts_hw">#REF!</definedName>
    <definedName name="gross_bts_spares">#REF!</definedName>
    <definedName name="gross_doc">#REF!</definedName>
    <definedName name="gross_dxx_hw">#REF!</definedName>
    <definedName name="gross_dxx_sw">#REF!</definedName>
    <definedName name="gross_eir_hw">#REF!</definedName>
    <definedName name="gross_eir_sw">#REF!</definedName>
    <definedName name="gross_Flatpack_hw">#REF!</definedName>
    <definedName name="Gross_GPRS_HW">#REF!</definedName>
    <definedName name="Gross_GPRS_HW_Optional">#REF!</definedName>
    <definedName name="Gross_GPRS_HW_PCU">#REF!</definedName>
    <definedName name="Gross_GPRS_HW_SG">#REF!</definedName>
    <definedName name="Gross_GPRS_SW">#REF!</definedName>
    <definedName name="gross_hlr_hw">#REF!</definedName>
    <definedName name="gross_hlr_sw">#REF!</definedName>
    <definedName name="Gross_IN_Application">#REF!</definedName>
    <definedName name="gross_IN_Doc">#REF!</definedName>
    <definedName name="gross_IN_services">#REF!</definedName>
    <definedName name="gross_IN_spares">#REF!</definedName>
    <definedName name="gross_IN_training">#REF!</definedName>
    <definedName name="gross_macro_hw">#REF!</definedName>
    <definedName name="gross_maxite_hw">#REF!</definedName>
    <definedName name="gross_messaging_total">#REF!</definedName>
    <definedName name="gross_micro_hw">#REF!</definedName>
    <definedName name="gross_min_hw">#REF!</definedName>
    <definedName name="gross_min_sw">#REF!</definedName>
    <definedName name="gross_minilink_hw">#REF!</definedName>
    <definedName name="gross_minilink_sw">#REF!</definedName>
    <definedName name="gross_msc_hw">#REF!</definedName>
    <definedName name="gross_msc_sw">#REF!</definedName>
    <definedName name="gross_oss_hw">#REF!</definedName>
    <definedName name="gross_oss_sw">#REF!</definedName>
    <definedName name="gross_other_hw">#REF!</definedName>
    <definedName name="gross_other_sw">#REF!</definedName>
    <definedName name="Gross_Platform_HW">#REF!</definedName>
    <definedName name="Gross_Platform_SW">#REF!</definedName>
    <definedName name="gross_power">#REF!</definedName>
    <definedName name="gross_r7_bsc_hw">#REF!</definedName>
    <definedName name="gross_r7_msc_hw">#REF!</definedName>
    <definedName name="gross_services">#REF!</definedName>
    <definedName name="gross_sog_hw">#REF!</definedName>
    <definedName name="gross_sog_sw">#REF!</definedName>
    <definedName name="gross_support">#REF!</definedName>
    <definedName name="gross_tools">#REF!</definedName>
    <definedName name="gross_training">#REF!</definedName>
    <definedName name="gross_vms_sms_hw">#REF!</definedName>
    <definedName name="gross_vms_sms_sw">#REF!</definedName>
    <definedName name="gsdg" hidden="1">{#N/A,#N/A,FALSE,"Yield";#N/A,#N/A,FALSE,"Loss1";#N/A,#N/A,FALSE,"Loss2";#N/A,#N/A,FALSE,"Hour-Labor(배분)";#N/A,#N/A,FALSE,"Capital Expenditure";#N/A,#N/A,FALSE,"Productivity"}</definedName>
    <definedName name="GSN_MBPS_SW_Volume_Disc_Price">#REF!</definedName>
    <definedName name="GSN_Sim_Att_SW_Volume_Disc_Price">#REF!</definedName>
    <definedName name="GSN_Volume_Disc_Price">#REF!</definedName>
    <definedName name="GTLOAD">#REF!</definedName>
    <definedName name="Gueyangcin_500g">'[29]++++'!#REF!</definedName>
    <definedName name="gus" hidden="1">{#N/A,#N/A,TRUE,"Summary";#N/A,#N/A,TRUE,"IS";#N/A,#N/A,TRUE,"Adj";#N/A,#N/A,TRUE,"BS";#N/A,#N/A,TRUE,"CF";#N/A,#N/A,TRUE,"Debt";#N/A,#N/A,TRUE,"IRR"}</definedName>
    <definedName name="gusrmagmfma" hidden="1">{#N/A,#N/A,TRUE,"Summary";#N/A,#N/A,TRUE,"IS";#N/A,#N/A,TRUE,"Adj";#N/A,#N/A,TRUE,"BS";#N/A,#N/A,TRUE,"CF";#N/A,#N/A,TRUE,"Debt";#N/A,#N/A,TRUE,"IRR"}</definedName>
    <definedName name="gvgvg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GWYUID1">#REF!</definedName>
    <definedName name="gy" hidden="1">{#N/A,#N/A,TRUE,"Summary";#N/A,#N/A,TRUE,"IS";#N/A,#N/A,TRUE,"Adj";#N/A,#N/A,TRUE,"BS";#N/A,#N/A,TRUE,"CF";#N/A,#N/A,TRUE,"Debt";#N/A,#N/A,TRUE,"IRR"}</definedName>
    <definedName name="H" hidden="1">{#N/A,#N/A,TRUE,"Summary";#N/A,#N/A,TRUE,"IS";#N/A,#N/A,TRUE,"Adj";#N/A,#N/A,TRUE,"BS";#N/A,#N/A,TRUE,"CF";#N/A,#N/A,TRUE,"Debt";#N/A,#N/A,TRUE,"IRR"}</definedName>
    <definedName name="H1_">#REF!</definedName>
    <definedName name="HANA_MMDA">OFFSET([35]ST_INVEST!$C$5,0,0,COUNTA([35]ST_INVEST!$C$1:$C$65536))</definedName>
    <definedName name="HANA_TD">OFFSET([35]ST_INVEST!$E$5,0,0,COUNTA([35]ST_INVEST!$E$1:$E$65536))</definedName>
    <definedName name="handling_charges">#REF!</definedName>
    <definedName name="HD11t">[28]language!$E$18</definedName>
    <definedName name="HD14t">[28]language!$E$21</definedName>
    <definedName name="HD15t">[28]language!$E$22</definedName>
    <definedName name="HD17t">[28]language!$E$24</definedName>
    <definedName name="HD18t">[28]language!$E$25</definedName>
    <definedName name="HD19t">[28]language!$E$26</definedName>
    <definedName name="HD20t">[28]language!$E$27</definedName>
    <definedName name="HD22t">[28]language!$E$29</definedName>
    <definedName name="HD24t">[28]language!$E$31</definedName>
    <definedName name="HD25t">[28]language!$E$32</definedName>
    <definedName name="HD28t">[28]language!$E$35</definedName>
    <definedName name="HD2t">[28]language!$E$9</definedName>
    <definedName name="HD6t">[28]language!$E$13</definedName>
    <definedName name="HD7t">[28]language!$E$14</definedName>
    <definedName name="HD8t">[28]language!$E$15</definedName>
    <definedName name="HdOth1">[28]HEADER!$C$20</definedName>
    <definedName name="HdOth2">[28]HEADER!$C$21</definedName>
    <definedName name="HdOth3">[28]HEADER!$C$22</definedName>
    <definedName name="HdOth4">[28]HEADER!$C$23</definedName>
    <definedName name="HdOth5">[28]HEADER!$C$24</definedName>
    <definedName name="HEADER">#REF!</definedName>
    <definedName name="HFG" hidden="1">{#N/A,#N/A,TRUE,"Y생산";#N/A,#N/A,TRUE,"Y판매";#N/A,#N/A,TRUE,"Y총물량";#N/A,#N/A,TRUE,"Y능력";#N/A,#N/A,TRUE,"YKD"}</definedName>
    <definedName name="hgkvg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hhghg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hhh" hidden="1">{#N/A,#N/A,FALSE,"BS";#N/A,#N/A,FALSE,"PL";#N/A,#N/A,FALSE,"처분";#N/A,#N/A,FALSE,"현금";#N/A,#N/A,FALSE,"매출";#N/A,#N/A,FALSE,"원가";#N/A,#N/A,FALSE,"경영"}</definedName>
    <definedName name="HHHH">#REF!</definedName>
    <definedName name="HHHHHH">#REF!</definedName>
    <definedName name="HJKLL" hidden="1">{#N/A,#N/A,TRUE,"Y생산";#N/A,#N/A,TRUE,"Y판매";#N/A,#N/A,TRUE,"Y총물량";#N/A,#N/A,TRUE,"Y능력";#N/A,#N/A,TRUE,"YKD"}</definedName>
    <definedName name="HLR_Price_a">#REF!</definedName>
    <definedName name="Hostathion_500ml">'[29]++++'!#REF!</definedName>
    <definedName name="How_do_I_copy_the_offer__Excel__to_a_Word_document?">#REF!</definedName>
    <definedName name="How_do_I_create_an_offer?">#REF!</definedName>
    <definedName name="How_do_I_create_the_offer_in_a_format_for_sending_to_the_customer?">#REF!</definedName>
    <definedName name="How_do_I_update_an_offer?">#REF!</definedName>
    <definedName name="How_should_the_pricing_of_multiple_away_courses_be_handled?">#REF!</definedName>
    <definedName name="HTML_CodePage" hidden="1">949</definedName>
    <definedName name="HTML_Control" hidden="1">{"'매출'!$A$1:$I$22"}</definedName>
    <definedName name="HTML_Description" hidden="1">""</definedName>
    <definedName name="HTML_Email" hidden="1">"jsleea@ahnkwon.co.kr"</definedName>
    <definedName name="HTML_Header" hidden="1">"매출"</definedName>
    <definedName name="HTML_LastUpdate" hidden="1">"98-08-21"</definedName>
    <definedName name="HTML_LineAfter" hidden="1">TRUE</definedName>
    <definedName name="HTML_LineBefore" hidden="1">TRUE</definedName>
    <definedName name="HTML_Name" hidden="1">"이지신"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"D:\내문서\MyHTML.htm"</definedName>
    <definedName name="HTML_PathTemplate" hidden="1">"C:\My Documents\98양정기초.htm"</definedName>
    <definedName name="HTML_Title" hidden="1">"diamonds"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1</definedName>
    <definedName name="HWSheet">1</definedName>
    <definedName name="i">{"Tusk"}</definedName>
    <definedName name="ia" hidden="1">{#N/A,#N/A,FALSE,"Aging Summary";#N/A,#N/A,FALSE,"Ratio Analysis";#N/A,#N/A,FALSE,"Test 120 Day Accts";#N/A,#N/A,FALSE,"Tickmarks"}</definedName>
    <definedName name="II">#REF!</definedName>
    <definedName name="III" hidden="1">{#N/A,#N/A,FALSE,"UNIT";#N/A,#N/A,FALSE,"UNIT";#N/A,#N/A,FALSE,"계정"}</definedName>
    <definedName name="iiioo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Impl_other_price_a">#REF!</definedName>
    <definedName name="IMPORTDFF1">#REF!</definedName>
    <definedName name="IN_IB_new_cnum">#REF!</definedName>
    <definedName name="IN_IB_total_cnum">#REF!</definedName>
    <definedName name="IN_OCNT_new_subs">#REF!</definedName>
    <definedName name="IN_OCNT_total_subs">#REF!</definedName>
    <definedName name="IN_Platform_new_subs">#REF!</definedName>
    <definedName name="IN_PN_New_subs">#REF!</definedName>
    <definedName name="IN_PN_total_subs">#REF!</definedName>
    <definedName name="IN_Prepaid_new_subs">#REF!</definedName>
    <definedName name="IN_Prepaid_total_subs">#REF!</definedName>
    <definedName name="IN_SCP_new">#REF!</definedName>
    <definedName name="IN_SCP_total">#REF!</definedName>
    <definedName name="IN_SSCP_total">#REF!</definedName>
    <definedName name="IN_SSP_new">#REF!</definedName>
    <definedName name="IN_SSP_total">#REF!</definedName>
    <definedName name="IN_VPN_new_subs">#REF!</definedName>
    <definedName name="IN_VPN_total_subs">#REF!</definedName>
    <definedName name="income_statement">#REF!</definedName>
    <definedName name="ini_button_Click" localSheetId="7">[37]!ini_button_Click</definedName>
    <definedName name="ini_button_Click" localSheetId="10">[37]!ini_button_Click</definedName>
    <definedName name="ini_button_Click" localSheetId="9">[37]!ini_button_Click</definedName>
    <definedName name="ini_button_Click">[37]!ini_button_Click</definedName>
    <definedName name="INPUT">#REF!</definedName>
    <definedName name="Int_HLRQty">#REF!</definedName>
    <definedName name="INVENTORIES">#REF!</definedName>
    <definedName name="iop" hidden="1">{#N/A,#N/A,TRUE,"Summary";#N/A,#N/A,TRUE,"IS";#N/A,#N/A,TRUE,"Adj";#N/A,#N/A,TRUE,"BS";#N/A,#N/A,TRUE,"CF";#N/A,#N/A,TRUE,"Debt";#N/A,#N/A,TRUE,"IRR"}</definedName>
    <definedName name="ir2rtcfr3c1r4c26rtqu">#REF!</definedName>
    <definedName name="IS" hidden="1">{#N/A,#N/A,FALSE,"지침";#N/A,#N/A,FALSE,"환경분석";#N/A,#N/A,FALSE,"Sheet16"}</definedName>
    <definedName name="IT">{"'Sheet1'!$A$1:$H$36"}</definedName>
    <definedName name="itdepn9899">#REF!</definedName>
    <definedName name="ITEMTABLE">#REF!</definedName>
    <definedName name="IT수정">{"'Sheet1'!$A$1:$H$36"}</definedName>
    <definedName name="J" hidden="1">{"'5국공정'!$A$1:$E$128"}</definedName>
    <definedName name="jatb">#REF!</definedName>
    <definedName name="jeklklw">{"'Sheet1'!$A$1:$H$36"}</definedName>
    <definedName name="jeld" hidden="1">{#N/A,#N/A,FALSE,"Sheet5"}</definedName>
    <definedName name="jh" hidden="1">{#N/A,#N/A,FALSE,"98소지이동TOTvs99.1 (2)";#N/A,#N/A,FALSE,"TOTAL";#N/A,#N/A,FALSE,"98소지이동TOTvs99.1(b) (2)"}</definedName>
    <definedName name="jhfdnjkfd" hidden="1">{#N/A,#N/A,TRUE,"Summary";#N/A,#N/A,TRUE,"IS";#N/A,#N/A,TRUE,"Adj";#N/A,#N/A,TRUE,"BS";#N/A,#N/A,TRUE,"CF";#N/A,#N/A,TRUE,"Debt";#N/A,#N/A,TRUE,"IRR"}</definedName>
    <definedName name="JIM" hidden="1">{#N/A,#N/A,FALSE,"Sheet5"}</definedName>
    <definedName name="JJ">#REF!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nlDescn">#REF!</definedName>
    <definedName name="JJnlName">#REF!</definedName>
    <definedName name="JJnlRef">#REF!</definedName>
    <definedName name="JJS" hidden="1">#REF!</definedName>
    <definedName name="JK" hidden="1">{#N/A,#N/A,TRUE,"Y생산";#N/A,#N/A,TRUE,"Y판매";#N/A,#N/A,TRUE,"Y총물량";#N/A,#N/A,TRUE,"Y능력";#N/A,#N/A,TRUE,"YKD"}</definedName>
    <definedName name="jklejke">{"'Sheet1'!$A$1:$H$36"}</definedName>
    <definedName name="jldl" localSheetId="7">BlankMacro1</definedName>
    <definedName name="jldl" localSheetId="10">BlankMacro1</definedName>
    <definedName name="jldl" localSheetId="9">BlankMacro1</definedName>
    <definedName name="jldl">BlankMacro1</definedName>
    <definedName name="JM">#REF!</definedName>
    <definedName name="JN10t">[28]language!$E$48</definedName>
    <definedName name="JN11t">[28]language!$E$49</definedName>
    <definedName name="JN12t">[28]language!$E$50</definedName>
    <definedName name="JN13t">[28]language!$E$51</definedName>
    <definedName name="JN14t">[28]language!$E$52</definedName>
    <definedName name="JN15t">[28]language!$E$53</definedName>
    <definedName name="JN16t">[28]language!$E$54</definedName>
    <definedName name="JN17t">[28]language!$E$55</definedName>
    <definedName name="JN18t">[28]language!$E$56</definedName>
    <definedName name="JN19t">[28]language!$E$57</definedName>
    <definedName name="JN1t">[28]language!$E$39</definedName>
    <definedName name="JN20t">[28]language!$E$58</definedName>
    <definedName name="JN21t">[28]language!$E$59</definedName>
    <definedName name="JN23t">[28]language!$E$61</definedName>
    <definedName name="JN29t">[28]language!$E$67</definedName>
    <definedName name="JN2t">[28]language!$E$40</definedName>
    <definedName name="JN30t">[28]language!$E$68</definedName>
    <definedName name="JN31t">[28]language!$E$69</definedName>
    <definedName name="JN32t">[28]language!$E$70</definedName>
    <definedName name="JN3t">[28]language!$E$41</definedName>
    <definedName name="JN4t">[28]language!$E$42</definedName>
    <definedName name="JN5t">[28]language!$E$43</definedName>
    <definedName name="JN6t">[28]language!$E$44</definedName>
    <definedName name="JN7t">[28]language!$E$45</definedName>
    <definedName name="JN8t">[28]language!$E$46</definedName>
    <definedName name="JN9t">[28]language!$E$47</definedName>
    <definedName name="JnlDesc">[28]HEADER!$G$10</definedName>
    <definedName name="JnlSufX">[28]HEADER!$G$12</definedName>
    <definedName name="JnlSufY">[28]HEADER!$G$13</definedName>
    <definedName name="job_run" localSheetId="7">[37]!job_run</definedName>
    <definedName name="job_run" localSheetId="10">[37]!job_run</definedName>
    <definedName name="job_run" localSheetId="9">[37]!job_run</definedName>
    <definedName name="job_run">[37]!job_run</definedName>
    <definedName name="Journal">[28]calendar!$E$76</definedName>
    <definedName name="JUSO">#REF!</definedName>
    <definedName name="JV">#REF!</definedName>
    <definedName name="JV06_01">#REF!</definedName>
    <definedName name="JW">36250</definedName>
    <definedName name="JYFUJ" localSheetId="7">BLCH</definedName>
    <definedName name="JYFUJ" localSheetId="10">BLCH</definedName>
    <definedName name="JYFUJ" localSheetId="9">BLCH</definedName>
    <definedName name="JYFUJ">BLCH</definedName>
    <definedName name="jyj" hidden="1">{#N/A,#N/A,FALSE,"Yield";#N/A,#N/A,FALSE,"Loss1";#N/A,#N/A,FALSE,"Loss2";#N/A,#N/A,FALSE,"Hour-Labor(배분)";#N/A,#N/A,FALSE,"Capital Expenditure";#N/A,#N/A,FALSE,"Productivity"}</definedName>
    <definedName name="jyjy" hidden="1">{#N/A,#N/A,FALSE,"Yield";#N/A,#N/A,FALSE,"Loss1";#N/A,#N/A,FALSE,"Loss2";#N/A,#N/A,FALSE,"Hour-Labor(배분)";#N/A,#N/A,FALSE,"Capital Expenditure";#N/A,#N/A,FALSE,"Productivity"}</definedName>
    <definedName name="k" hidden="1">[51]Æo°¡±aAØ!#REF!</definedName>
    <definedName name="KC" hidden="1">{#N/A,#N/A,FALSE,"을지 (4)";#N/A,#N/A,FALSE,"을지 (5)";#N/A,#N/A,FALSE,"을지 (6)"}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eunilkkun_WP_250g">'[29]++++'!#REF!</definedName>
    <definedName name="key" hidden="1">#REF!</definedName>
    <definedName name="KGROUP">#REF!</definedName>
    <definedName name="kh">#REF!</definedName>
    <definedName name="Killper_SL_20L">'[29]++++'!#REF!</definedName>
    <definedName name="KIM">#REF!</definedName>
    <definedName name="Kimanmae_3kg">'[29]++++'!#REF!</definedName>
    <definedName name="KK">#REF!</definedName>
    <definedName name="kkk" hidden="1">{#N/A,#N/A,FALSE,"BS";#N/A,#N/A,FALSE,"PL";#N/A,#N/A,FALSE,"처분";#N/A,#N/A,FALSE,"현금";#N/A,#N/A,FALSE,"매출";#N/A,#N/A,FALSE,"원가";#N/A,#N/A,FALSE,"경영"}</definedName>
    <definedName name="KKKD" hidden="1">{#N/A,#N/A,FALSE,"Yield";#N/A,#N/A,FALSE,"Loss1";#N/A,#N/A,FALSE,"Loss2";#N/A,#N/A,FALSE,"Hour-Labor(배분)";#N/A,#N/A,FALSE,"Capital Expenditure";#N/A,#N/A,FALSE,"Productivity"}</definedName>
    <definedName name="kkkk" hidden="1">{#N/A,#N/A,FALSE,"BS";#N/A,#N/A,FALSE,"PL";#N/A,#N/A,FALSE,"처분";#N/A,#N/A,FALSE,"현금";#N/A,#N/A,FALSE,"매출";#N/A,#N/A,FALSE,"원가";#N/A,#N/A,FALSE,"경영"}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l" hidden="1">[64]합계잔액시산표!$A$23:$M$23</definedName>
    <definedName name="klead" localSheetId="7">BLCH</definedName>
    <definedName name="klead" localSheetId="10">BLCH</definedName>
    <definedName name="klead" localSheetId="9">BLCH</definedName>
    <definedName name="klead">BLCH</definedName>
    <definedName name="klj">{"Tusk"}</definedName>
    <definedName name="KN" hidden="1">{#N/A,#N/A,FALSE,"을지 (4)";#N/A,#N/A,FALSE,"을지 (5)";#N/A,#N/A,FALSE,"을지 (6)"}</definedName>
    <definedName name="KOWEPO">'[65]미정산 accounts'!$A$2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tft">3</definedName>
    <definedName name="KU" hidden="1">{#N/A,#N/A,TRUE,"Y생산";#N/A,#N/A,TRUE,"Y판매";#N/A,#N/A,TRUE,"Y총물량";#N/A,#N/A,TRUE,"Y능력";#N/A,#N/A,TRUE,"YKD"}</definedName>
    <definedName name="KUGHIKJ" localSheetId="7">BLCH</definedName>
    <definedName name="KUGHIKJ" localSheetId="10">BLCH</definedName>
    <definedName name="KUGHIKJ" localSheetId="9">BLCH</definedName>
    <definedName name="KUGHIKJ">BLCH</definedName>
    <definedName name="l" localSheetId="7" hidden="1">{#N/A,#N/A,FALSE,"Aging Summary";#N/A,#N/A,FALSE,"Ratio Analysis";#N/A,#N/A,FALSE,"Test 120 Day Accts";#N/A,#N/A,FALSE,"Tickmarks"}</definedName>
    <definedName name="l" localSheetId="8" hidden="1">{#N/A,#N/A,FALSE,"Aging Summary";#N/A,#N/A,FALSE,"Ratio Analysis";#N/A,#N/A,FALSE,"Test 120 Day Accts";#N/A,#N/A,FALSE,"Tickmarks"}</definedName>
    <definedName name="l" localSheetId="10" hidden="1">{#N/A,#N/A,FALSE,"Aging Summary";#N/A,#N/A,FALSE,"Ratio Analysis";#N/A,#N/A,FALSE,"Test 120 Day Accts";#N/A,#N/A,FALSE,"Tickmarks"}</definedName>
    <definedName name="l" localSheetId="9" hidden="1">{#N/A,#N/A,FALSE,"Aging Summary";#N/A,#N/A,FALSE,"Ratio Analysis";#N/A,#N/A,FALSE,"Test 120 Day Accts";#N/A,#N/A,FALSE,"Tickmarks"}</definedName>
    <definedName name="l">{#N/A,#N/A,TRUE,"Summary";#N/A,#N/A,TRUE,"IS";#N/A,#N/A,TRUE,"Adj";#N/A,#N/A,TRUE,"BS";#N/A,#N/A,TRUE,"CF";#N/A,#N/A,TRUE,"Debt";#N/A,#N/A,TRUE,"IRR"}</definedName>
    <definedName name="LABELTEXTCOLUMN1">#REF!</definedName>
    <definedName name="LABELTEXTROW1">#REF!</definedName>
    <definedName name="Large_TCH">#REF!</definedName>
    <definedName name="last">#REF!</definedName>
    <definedName name="lee" hidden="1">{#N/A,#N/A,FALSE,"Sheet5"}</definedName>
    <definedName name="li">{"'용역비'!$A$4:$C$8"}</definedName>
    <definedName name="LINE검토2" hidden="1">{#N/A,#N/A,TRUE,"Y생산";#N/A,#N/A,TRUE,"Y판매";#N/A,#N/A,TRUE,"Y총물량";#N/A,#N/A,TRUE,"Y능력";#N/A,#N/A,TRUE,"YKD"}</definedName>
    <definedName name="List">#REF!</definedName>
    <definedName name="liste">#REF!</definedName>
    <definedName name="ljh" hidden="1">{#N/A,#N/A,FALSE,"Sheet5"}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kll">{"'2 혼례가구(1)'!$C$10"}</definedName>
    <definedName name="LL" hidden="1">{#N/A,#N/A,FALSE,"98소지이동TOTvs99.1 (2)";#N/A,#N/A,FALSE,"TOTAL";#N/A,#N/A,FALSE,"98소지이동TOTvs99.1(b) (2)"}</definedName>
    <definedName name="LLL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lnm" hidden="1">{#N/A,#N/A,FALSE,"단축1";#N/A,#N/A,FALSE,"단축2";#N/A,#N/A,FALSE,"단축3";#N/A,#N/A,FALSE,"장축";#N/A,#N/A,FALSE,"4WD"}</definedName>
    <definedName name="load">#REF!</definedName>
    <definedName name="loan" hidden="1">{#N/A,#N/A,FALSE,"98소지이동TOTvs99.1 (2)";#N/A,#N/A,FALSE,"TOTAL";#N/A,#N/A,FALSE,"98소지이동TOTvs99.1(b) (2)"}</definedName>
    <definedName name="Location">#REF!</definedName>
    <definedName name="Loss1" hidden="1">{#N/A,#N/A,FALSE,"98소지이동TOTvs99.1 (2)";#N/A,#N/A,FALSE,"TOTAL";#N/A,#N/A,FALSE,"98소지이동TOTvs99.1(b) (2)"}</definedName>
    <definedName name="lps" hidden="1">{#N/A,#N/A,FALSE,"단축1";#N/A,#N/A,FALSE,"단축2";#N/A,#N/A,FALSE,"단축3";#N/A,#N/A,FALSE,"장축";#N/A,#N/A,FALSE,"4WD"}</definedName>
    <definedName name="LSTSum_Phase1">#REF!</definedName>
    <definedName name="LSTSum_Phase1_10">#REF!</definedName>
    <definedName name="LSTSum_Phase10">#REF!</definedName>
    <definedName name="LSTSum_Phase2">#REF!</definedName>
    <definedName name="LSTSum_Phase2_10">#REF!</definedName>
    <definedName name="LSTSum_Phase3">#REF!</definedName>
    <definedName name="LSTSum_Phase4">#REF!</definedName>
    <definedName name="LSTSum_Phase5">#REF!</definedName>
    <definedName name="LSTSum_Phase6">#REF!</definedName>
    <definedName name="LSTSum_Phase7">#REF!</definedName>
    <definedName name="LSTSum_Phase8">#REF!</definedName>
    <definedName name="LSTSum_Phase9">#REF!</definedName>
    <definedName name="lye">"31/12/"&amp;LEFT(dc,4)-1</definedName>
    <definedName name="lyec">LEFT(dc,4)-1&amp;"年12月31日"</definedName>
    <definedName name="m" localSheetId="7" hidden="1">{#N/A,#N/A,FALSE,"Aging Summary";#N/A,#N/A,FALSE,"Ratio Analysis";#N/A,#N/A,FALSE,"Test 120 Day Accts";#N/A,#N/A,FALSE,"Tickmarks"}</definedName>
    <definedName name="m" localSheetId="8" hidden="1">{#N/A,#N/A,FALSE,"Aging Summary";#N/A,#N/A,FALSE,"Ratio Analysis";#N/A,#N/A,FALSE,"Test 120 Day Accts";#N/A,#N/A,FALSE,"Tickmarks"}</definedName>
    <definedName name="m" localSheetId="10" hidden="1">{#N/A,#N/A,FALSE,"Aging Summary";#N/A,#N/A,FALSE,"Ratio Analysis";#N/A,#N/A,FALSE,"Test 120 Day Accts";#N/A,#N/A,FALSE,"Tickmarks"}</definedName>
    <definedName name="m" localSheetId="9" hidden="1">{#N/A,#N/A,FALSE,"Aging Summary";#N/A,#N/A,FALSE,"Ratio Analysis";#N/A,#N/A,FALSE,"Test 120 Day Accts";#N/A,#N/A,FALSE,"Tickmarks"}</definedName>
    <definedName name="M">#N/A</definedName>
    <definedName name="M_F123.CashFlow_Button1_Click" localSheetId="7">[66]!M_F123.CashFlow_Button1_Click</definedName>
    <definedName name="M_F123.CashFlow_Button1_Click" localSheetId="10">[66]!M_F123.CashFlow_Button1_Click</definedName>
    <definedName name="M_F123.CashFlow_Button1_Click" localSheetId="9">[66]!M_F123.CashFlow_Button1_Click</definedName>
    <definedName name="M_F123.CashFlow_Button1_Click">[66]!M_F123.CashFlow_Button1_Click</definedName>
    <definedName name="M_NO">#REF!</definedName>
    <definedName name="MAC">#N/A</definedName>
    <definedName name="Machine_Oil_EC">'[29]++++'!#REF!</definedName>
    <definedName name="MACRO">#REF!</definedName>
    <definedName name="Macro8" localSheetId="7">[67]수정분개!Macro8</definedName>
    <definedName name="Macro8" localSheetId="10">[67]수정분개!Macro8</definedName>
    <definedName name="Macro8" localSheetId="9">[67]수정분개!Macro8</definedName>
    <definedName name="Macro8">[67]수정분개!Macro8</definedName>
    <definedName name="Malix_D_3KG">'[29]++++'!#REF!</definedName>
    <definedName name="mam" hidden="1">{#N/A,#N/A,TRUE,"TOTALS";#N/A,#N/A,TRUE,"ROUTES"}</definedName>
    <definedName name="man">[68]제조경비!$A$4:$F$122</definedName>
    <definedName name="mancoz">'[29]++++'!#REF!</definedName>
    <definedName name="manday_hours">#REF!</definedName>
    <definedName name="Manhour_rate">#REF!</definedName>
    <definedName name="manhour_rate_expat">#REF!</definedName>
    <definedName name="Manhour_rate_local">#REF!</definedName>
    <definedName name="manufacturing">[41]Leasing!#REF!</definedName>
    <definedName name="Maxite_Price_a">#REF!</definedName>
    <definedName name="MB">OFFSET([69]등록정보!$D$2,0,0,COUNTA([69]등록정보!$D$1:$D$65536)-1,1)</definedName>
    <definedName name="mbs">#REF!</definedName>
    <definedName name="MC">#REF!,#REF!,#REF!,#REF!,#REF!</definedName>
    <definedName name="mclkd">{"'Sheet1'!$A$1:$H$36"}</definedName>
    <definedName name="Medium_TCH">#REF!</definedName>
    <definedName name="menu_button_Click" localSheetId="7">[37]!menu_button_Click</definedName>
    <definedName name="menu_button_Click" localSheetId="10">[37]!menu_button_Click</definedName>
    <definedName name="menu_button_Click" localSheetId="9">[37]!menu_button_Click</definedName>
    <definedName name="menu_button_Click">[37]!menu_button_Click</definedName>
    <definedName name="Messaging_Disc">#REF!</definedName>
    <definedName name="MH" hidden="1">{#N/A,#N/A,FALSE,"초도품";#N/A,#N/A,FALSE,"초도품 (2)";#N/A,#N/A,FALSE,"초도품 (3)";#N/A,#N/A,FALSE,"초도품 (4)";#N/A,#N/A,FALSE,"초도품 (5)";#N/A,#N/A,FALSE,"초도품 (6)"}</definedName>
    <definedName name="mifrang">'[29]++++'!#REF!</definedName>
    <definedName name="Mini_DXC_Price_a">#REF!</definedName>
    <definedName name="MiniLink_Options_a">#REF!</definedName>
    <definedName name="MiniLink_SW_a">#REF!</definedName>
    <definedName name="MinilinkQty">#REF!</definedName>
    <definedName name="Misung_a_SL">'[29]++++'!#REF!</definedName>
    <definedName name="Misunng_OK_SC_250ml">'[29]++++'!#REF!</definedName>
    <definedName name="mitac">'[29]++++'!#REF!</definedName>
    <definedName name="mkkl">{"'Sheet1'!$A$1:$H$36"}</definedName>
    <definedName name="mktsum" hidden="1">{#N/A,#N/A,FALSE,"Aging Summary";#N/A,#N/A,FALSE,"Ratio Analysis";#N/A,#N/A,FALSE,"Test 120 Day Accts";#N/A,#N/A,FALSE,"Tickmarks"}</definedName>
    <definedName name="ML4.0" hidden="1">{#N/A,#N/A,FALSE,"98소지이동TOTvs99.1 (2)";#N/A,#N/A,FALSE,"TOTAL";#N/A,#N/A,FALSE,"98소지이동TOTvs99.1(b) (2)"}</definedName>
    <definedName name="ML5.5" hidden="1">{#N/A,#N/A,FALSE,"98소지이동TOTvs99.1 (2)";#N/A,#N/A,FALSE,"TOTAL";#N/A,#N/A,FALSE,"98소지이동TOTvs99.1(b) (2)"}</definedName>
    <definedName name="ML6.0" hidden="1">{#N/A,#N/A,FALSE,"군산원가";#N/A,#N/A,FALSE,"팀별월별";#N/A,#N/A,FALSE,"타공정대체";#N/A,#N/A,FALSE,"기타경비";#N/A,#N/A,FALSE,"원료";#N/A,#N/A,FALSE,"연료"}</definedName>
    <definedName name="ML6.00" hidden="1">{#N/A,#N/A,FALSE,"Yield";#N/A,#N/A,FALSE,"Loss1";#N/A,#N/A,FALSE,"Loss2";#N/A,#N/A,FALSE,"Hour-Labor(배분)";#N/A,#N/A,FALSE,"Capital Expenditure";#N/A,#N/A,FALSE,"Productivity"}</definedName>
    <definedName name="ML7.00" hidden="1">{#N/A,#N/A,FALSE,"Yield";#N/A,#N/A,FALSE,"Loss1";#N/A,#N/A,FALSE,"Loss2";#N/A,#N/A,FALSE,"Hour-Labor(배분)";#N/A,#N/A,FALSE,"Capital Expenditure";#N/A,#N/A,FALSE,"Productivity"}</definedName>
    <definedName name="ML8.0" hidden="1">{#N/A,#N/A,FALSE,"군산원가";#N/A,#N/A,FALSE,"팀별월별";#N/A,#N/A,FALSE,"타공정대체";#N/A,#N/A,FALSE,"기타경비";#N/A,#N/A,FALSE,"원료";#N/A,#N/A,FALSE,"연료"}</definedName>
    <definedName name="mlkcoe">{"'Sheet1'!$A$1:$H$36"}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MMMMM">#REF!</definedName>
    <definedName name="MMMMMMMMMM">#REF!</definedName>
    <definedName name="mn" hidden="1">{#N/A,#N/A,FALSE,"UNIT";#N/A,#N/A,FALSE,"UNIT";#N/A,#N/A,FALSE,"계정"}</definedName>
    <definedName name="mobis_scf1">#REF!</definedName>
    <definedName name="moh" hidden="1">{#N/A,#N/A,FALSE,"98소지이동TOTvs99.1 (2)";#N/A,#N/A,FALSE,"TOTAL";#N/A,#N/A,FALSE,"98소지이동TOTvs99.1(b) (2)"}</definedName>
    <definedName name="Monetary_Precision">#REF!</definedName>
    <definedName name="Monopho_SL_500ml">'[29]++++'!#REF!</definedName>
    <definedName name="MP" hidden="1">{#N/A,#N/A,FALSE,"BS";#N/A,#N/A,FALSE,"PL";#N/A,#N/A,FALSE,"처분";#N/A,#N/A,FALSE,"현금";#N/A,#N/A,FALSE,"매출";#N/A,#N/A,FALSE,"원가";#N/A,#N/A,FALSE,"경영"}</definedName>
    <definedName name="MS_Pulmamae_EC_500ml">'[29]++++'!#REF!</definedName>
    <definedName name="MS_speed_SC_250ml">'[29]++++'!#REF!</definedName>
    <definedName name="msc_2.1_a">#REF!</definedName>
    <definedName name="MSC_options_a">#REF!</definedName>
    <definedName name="MSC_Price_a">#REF!</definedName>
    <definedName name="MSC_SSFQty">#REF!</definedName>
    <definedName name="MSCQty">#REF!</definedName>
    <definedName name="MSCR7_Price_a">#REF!</definedName>
    <definedName name="msi_pc">#REF!</definedName>
    <definedName name="msi_price">#REF!</definedName>
    <definedName name="MSTemporarySelectionFAVG">#REF!</definedName>
    <definedName name="MUP">#REF!</definedName>
    <definedName name="myco">'[29]++++'!#REF!</definedName>
    <definedName name="Myco_WP__200g">'[29]++++'!#REF!</definedName>
    <definedName name="MYJ" hidden="1">{#N/A,#N/A,FALSE,"UNIT";#N/A,#N/A,FALSE,"UNIT";#N/A,#N/A,FALSE,"계정"}</definedName>
    <definedName name="MZ">#REF!</definedName>
    <definedName name="M행">#REF!</definedName>
    <definedName name="n">#REF!</definedName>
    <definedName name="NAME">[70]공급설비!#REF!</definedName>
    <definedName name="NAME1">[70]공급설비!#REF!</definedName>
    <definedName name="Name10c">'[71]Library Procedures'!$L$113</definedName>
    <definedName name="Name1a">'[72]Library Procedures'!$K$8</definedName>
    <definedName name="Name1b">'[72]Library Procedures'!$K$9</definedName>
    <definedName name="Name1c">'[72]Library Procedures'!$K$13</definedName>
    <definedName name="Name1d">'[72]Library Procedures'!$K$18</definedName>
    <definedName name="Name1e">'[72]Library Procedures'!$K$19</definedName>
    <definedName name="Name1f">'[72]Library Procedures'!$K$20</definedName>
    <definedName name="Name1g">'[72]Library Procedures'!$K$21</definedName>
    <definedName name="NAME2">[70]공급설비!#REF!</definedName>
    <definedName name="Name2a">'[72]Library Procedures'!$K$31</definedName>
    <definedName name="Name2b">'[72]Library Procedures'!$K$32</definedName>
    <definedName name="Name2c">'[72]Library Procedures'!$K$33</definedName>
    <definedName name="Name2d">'[72]Library Procedures'!$K$34</definedName>
    <definedName name="Name3a">'[72]Library Procedures'!$K$42</definedName>
    <definedName name="Name3b">'[72]Library Procedures'!$K$43</definedName>
    <definedName name="Name4a">'[72]Library Procedures'!$K$54</definedName>
    <definedName name="Name4b">'[72]Library Procedures'!$K$55</definedName>
    <definedName name="ncsqueeze">#REF!</definedName>
    <definedName name="ND제조원가" hidden="1">{#N/A,#N/A,FALSE,"UNIT";#N/A,#N/A,FALSE,"UNIT";#N/A,#N/A,FALSE,"계정"}</definedName>
    <definedName name="nego">{"'4월수지'!$A$1:$AE$45"}</definedName>
    <definedName name="ner">{"Tusk"}</definedName>
    <definedName name="net_antenna">#REF!</definedName>
    <definedName name="Net_AXE_HW_Aux">#REF!</definedName>
    <definedName name="net_axe_spares">#REF!</definedName>
    <definedName name="net_bgw_hw">#REF!</definedName>
    <definedName name="net_bgw_sw">#REF!</definedName>
    <definedName name="net_bsc_hw">#REF!</definedName>
    <definedName name="net_bss_sw">#REF!</definedName>
    <definedName name="net_bts_backup">#REF!</definedName>
    <definedName name="net_bts_hw">#REF!</definedName>
    <definedName name="net_bts_spares">#REF!</definedName>
    <definedName name="net_doc">#REF!</definedName>
    <definedName name="net_dxx_hw">#REF!</definedName>
    <definedName name="net_dxx_sw">#REF!</definedName>
    <definedName name="net_eir_hw">#REF!</definedName>
    <definedName name="net_eir_sw">#REF!</definedName>
    <definedName name="Net_GPRS_HW">#REF!</definedName>
    <definedName name="Net_GPRS_HW_Optional">#REF!</definedName>
    <definedName name="Net_GPRS_HW_PCU">#REF!</definedName>
    <definedName name="Net_GPRS_HW_SG">#REF!</definedName>
    <definedName name="Net_GPRS_SW">#REF!</definedName>
    <definedName name="net_hlr_hw">#REF!</definedName>
    <definedName name="net_hlr_sw">#REF!</definedName>
    <definedName name="net_min_hw">#REF!</definedName>
    <definedName name="net_min_sw">#REF!</definedName>
    <definedName name="net_minilink_hw">#REF!</definedName>
    <definedName name="net_minilink_sw">#REF!</definedName>
    <definedName name="net_msc_hw">#REF!</definedName>
    <definedName name="net_msc_sw">#REF!</definedName>
    <definedName name="net_oss_hw">#REF!</definedName>
    <definedName name="net_oss_sw">#REF!</definedName>
    <definedName name="net_other_hw">#REF!</definedName>
    <definedName name="net_other_sw">#REF!</definedName>
    <definedName name="net_power">#REF!</definedName>
    <definedName name="net_r7_bsc_hw">#REF!</definedName>
    <definedName name="net_services">#REF!</definedName>
    <definedName name="net_sog_hw">#REF!</definedName>
    <definedName name="net_sog_sw">#REF!</definedName>
    <definedName name="net_support">#REF!</definedName>
    <definedName name="net_tools">#REF!</definedName>
    <definedName name="net_training">#REF!</definedName>
    <definedName name="net_vms_sms_hw">#REF!</definedName>
    <definedName name="net_vms_sms_sw">#REF!</definedName>
    <definedName name="NEW" hidden="1">#REF!</definedName>
    <definedName name="New_BGWQty">#REF!</definedName>
    <definedName name="New_BSCQty">#REF!</definedName>
    <definedName name="New_BTSQty">#REF!</definedName>
    <definedName name="NEW_CHARGE">#REF!</definedName>
    <definedName name="New_Dir_Acc_Unit">#REF!</definedName>
    <definedName name="New_EIRQty">#REF!</definedName>
    <definedName name="New_MinilinkQty">#REF!</definedName>
    <definedName name="New_MSC_SSFQty">#REF!</definedName>
    <definedName name="New_MSCQty">#REF!</definedName>
    <definedName name="New_OSSQty">#REF!</definedName>
    <definedName name="New_PRA">#REF!</definedName>
    <definedName name="New_S_A_HLRQty">#REF!</definedName>
    <definedName name="New_SMSQty">#REF!</definedName>
    <definedName name="New_SOGQty">#REF!</definedName>
    <definedName name="New_SSCP">#REF!</definedName>
    <definedName name="New_Subs">#REF!</definedName>
    <definedName name="New_TRUs">#REF!</definedName>
    <definedName name="New_VMSQty">#REF!</definedName>
    <definedName name="newt" hidden="1">{#N/A,#N/A,TRUE,"Summary";#N/A,#N/A,TRUE,"IS";#N/A,#N/A,TRUE,"Adj";#N/A,#N/A,TRUE,"BS";#N/A,#N/A,TRUE,"CF";#N/A,#N/A,TRUE,"Debt";#N/A,#N/A,TRUE,"IRR"}</definedName>
    <definedName name="NL22t">[28]language!$E$309</definedName>
    <definedName name="NL24t">[28]language!$E$311</definedName>
    <definedName name="NL25t">[28]language!$E$312</definedName>
    <definedName name="NL26t">[28]language!$E$313</definedName>
    <definedName name="NL75t">[28]language!$E$362</definedName>
    <definedName name="nlbu" hidden="1">{#N/A,#N/A,FALSE,"Yield";#N/A,#N/A,FALSE,"Loss1";#N/A,#N/A,FALSE,"Loss2";#N/A,#N/A,FALSE,"Hour-Labor(배분)";#N/A,#N/A,FALSE,"Capital Expenditure";#N/A,#N/A,FALSE,"Productivity"}</definedName>
    <definedName name="NN" hidden="1">[6]시산표!#REF!</definedName>
    <definedName name="nnn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NNNNNN">#REF!</definedName>
    <definedName name="No_of_Phases">#REF!</definedName>
    <definedName name="NOMU">#REF!</definedName>
    <definedName name="nonamae1200">'[29]++++'!#REF!</definedName>
    <definedName name="Nonanmae_GR_3kg">'[29]++++'!#REF!</definedName>
    <definedName name="Noncement_IS">#REF!</definedName>
    <definedName name="NOOFFFSEGMENTS1">#REF!</definedName>
    <definedName name="nr">{"Tusk"}</definedName>
    <definedName name="nsde">{"Tusk"}</definedName>
    <definedName name="nsdf">{1}</definedName>
    <definedName name="nser">{1}</definedName>
    <definedName name="NSProjectionMethodIndex">'[73]Non-Statistical Sampling Master'!$C$63</definedName>
    <definedName name="NSRequiredLevelOfEvidenceItems">'[73]Non-Statistical Sampling Master'!$C$50:$C$53</definedName>
    <definedName name="NSTargetedTestingItems">'[74]Two Step Revenue Testing Master'!$E$47</definedName>
    <definedName name="Num_of_bsc">#REF!</definedName>
    <definedName name="number_of_circles">#REF!</definedName>
    <definedName name="NUMBEROFDETAILFIELDS1">#REF!</definedName>
    <definedName name="NUMBEROFHEADERFIELDS1">#REF!</definedName>
    <definedName name="N행">#REF!</definedName>
    <definedName name="ocf" hidden="1">#REF!</definedName>
    <definedName name="Offerno">#REF!</definedName>
    <definedName name="OIL">{"'용역비'!$A$4:$C$8"}</definedName>
    <definedName name="OLD">#REF!</definedName>
    <definedName name="on" hidden="1">[75]현금및현금등가물!#REF!</definedName>
    <definedName name="ondeo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OO">#REF!</definedName>
    <definedName name="OOO" hidden="1">{#N/A,#N/A,FALSE,"UNIT";#N/A,#N/A,FALSE,"UNIT";#N/A,#N/A,FALSE,"계정"}</definedName>
    <definedName name="OP">#REF!</definedName>
    <definedName name="opo" hidden="1">{#N/A,#N/A,FALSE,"지침";#N/A,#N/A,FALSE,"환경분석";#N/A,#N/A,FALSE,"Sheet16"}</definedName>
    <definedName name="OptionButton21_Click" localSheetId="7">[37]!OptionButton21_Click</definedName>
    <definedName name="OptionButton21_Click" localSheetId="10">[37]!OptionButton21_Click</definedName>
    <definedName name="OptionButton21_Click" localSheetId="9">[37]!OptionButton21_Click</definedName>
    <definedName name="OptionButton21_Click">[37]!OptionButton21_Click</definedName>
    <definedName name="Orydan_G">'[29]++++'!#REF!</definedName>
    <definedName name="OSS_Bundling">#REF!</definedName>
    <definedName name="OSS_HW_Price_a">#REF!</definedName>
    <definedName name="OSS_License_Price_a">#REF!</definedName>
    <definedName name="OSS_SW_Opt_Price_a">#REF!</definedName>
    <definedName name="OSS_type">#REF!</definedName>
    <definedName name="OSSQty">#REF!</definedName>
    <definedName name="others">#REF!</definedName>
    <definedName name="OUTPUT">#REF!</definedName>
    <definedName name="ownership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O행">#REF!</definedName>
    <definedName name="P">#N/A</definedName>
    <definedName name="P___L">#REF!</definedName>
    <definedName name="P_NO">#REF!</definedName>
    <definedName name="PACKAGE3" hidden="1">{#N/A,#N/A,FALSE,"단축1";#N/A,#N/A,FALSE,"단축2";#N/A,#N/A,FALSE,"단축3";#N/A,#N/A,FALSE,"장축";#N/A,#N/A,FALSE,"4WD"}</definedName>
    <definedName name="PADWN" hidden="1">#REF!</definedName>
    <definedName name="PAR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ART_NO">#REF!</definedName>
    <definedName name="PATHNAME">'[76]Calcs for Sensitivy'!#REF!</definedName>
    <definedName name="PAYMENT">#REF!</definedName>
    <definedName name="PBC">#REF!</definedName>
    <definedName name="PBC_List">#REF!</definedName>
    <definedName name="PDC_large">#REF!</definedName>
    <definedName name="PDC_medium">#REF!</definedName>
    <definedName name="PDC_small">#REF!</definedName>
    <definedName name="pdd">#REF!</definedName>
    <definedName name="period">[31]Comments!#REF!</definedName>
    <definedName name="PERIOD_END">#REF!</definedName>
    <definedName name="PERIODSETNAME1">#REF!</definedName>
    <definedName name="Peropal_WP_500g">'[29]++++'!#REF!</definedName>
    <definedName name="PERSON">#REF!,#REF!,#REF!,#REF!</definedName>
    <definedName name="Phase_no">#REF!</definedName>
    <definedName name="Phase_No_Long">#REF!</definedName>
    <definedName name="Phase_number">#REF!</definedName>
    <definedName name="PI" hidden="1">#REF!</definedName>
    <definedName name="PickXY">[28]calendar!$M$93:$M$94</definedName>
    <definedName name="PIE">'[74]Two Step Revenue Testing Master'!$C$87</definedName>
    <definedName name="PJ" hidden="1">{#N/A,#N/A,FALSE,"초도품";#N/A,#N/A,FALSE,"초도품 (2)";#N/A,#N/A,FALSE,"초도품 (3)";#N/A,#N/A,FALSE,"초도품 (4)";#N/A,#N/A,FALSE,"초도품 (5)";#N/A,#N/A,FALSE,"초도품 (6)"}</definedName>
    <definedName name="PJT">'[77]PJT MASTER'!$A$1:$Y$398</definedName>
    <definedName name="PLDown">'[78]PL Down'!$A$6:$B$269</definedName>
    <definedName name="plk">#REF!</definedName>
    <definedName name="plNote" localSheetId="7">[37]!plNote</definedName>
    <definedName name="plNote" localSheetId="10">[37]!plNote</definedName>
    <definedName name="plNote" localSheetId="9">[37]!plNote</definedName>
    <definedName name="plNote">[37]!plNote</definedName>
    <definedName name="PL환산" localSheetId="7">[37]!PL환산</definedName>
    <definedName name="PL환산" localSheetId="10">[37]!PL환산</definedName>
    <definedName name="PL환산" localSheetId="9">[37]!PL환산</definedName>
    <definedName name="PL환산">[37]!PL환산</definedName>
    <definedName name="pm" hidden="1">{#N/A,#N/A,TRUE,"Summary";#N/A,#N/A,TRUE,"IS";#N/A,#N/A,TRUE,"Adj";#N/A,#N/A,TRUE,"BS";#N/A,#N/A,TRUE,"CF";#N/A,#N/A,TRUE,"Debt";#N/A,#N/A,TRUE,"IRR"}</definedName>
    <definedName name="PNO">#REF!</definedName>
    <definedName name="pnumber">#REF!</definedName>
    <definedName name="PO">'[79]95년'!#REF!</definedName>
    <definedName name="POIL" hidden="1">{#N/A,#N/A,FALSE,"단축1";#N/A,#N/A,FALSE,"단축2";#N/A,#N/A,FALSE,"단축3";#N/A,#N/A,FALSE,"장축";#N/A,#N/A,FALSE,"4WD"}</definedName>
    <definedName name="pop">#REF!</definedName>
    <definedName name="POR121175C2054RTSKS15C6LRTHDLRT">#REF!</definedName>
    <definedName name="por1c1r235c17m">#REF!</definedName>
    <definedName name="POR3C37R54C40RTSQLBP2PRTHDLTBDL">[80]조건!#REF!</definedName>
    <definedName name="POR3C41R52C44RTSKS13C5LRTHDLTBD">[80]조건!#REF!</definedName>
    <definedName name="POR3C56R44C76RTSKS15C5LRTHDLTBD">[80]조건!#REF!</definedName>
    <definedName name="POR3C77R61C83RTSKS15C5LRTHDLTBD">[80]조건!#REF!</definedName>
    <definedName name="POR439C124RTSQKS15C4LRTM0TB0TB0">#REF!</definedName>
    <definedName name="POR458C2054RTSKS15C6LRTHDLRTM4T">#REF!</definedName>
    <definedName name="POR6C20R55C38RTSKS13C5LRTHDLTBD">[80]조건!#REF!</definedName>
    <definedName name="POR7280C116RTSKS15C6LRTHR26C116">#REF!</definedName>
    <definedName name="POR7C2R55C18RTSKS13C5LRTHDLTBDL">#REF!</definedName>
    <definedName name="POR7C2R58C18RTSKS13C5LRTHDLTBDL">[80]조건!#REF!</definedName>
    <definedName name="POR7C77R72C83RTSKS13C5LRTHDLTBD">#REF!</definedName>
    <definedName name="por840c3542RTsks12c4lRTm1TB0TB5">#REF!</definedName>
    <definedName name="POR8C46R200C54RTSKS13C6LRTHR3C4">[80]조건!#REF!</definedName>
    <definedName name="POSTERRORSTOSUSP1">#REF!</definedName>
    <definedName name="Power_Backup_Price_a">#REF!</definedName>
    <definedName name="Power_Inverter_Price_a">#REF!</definedName>
    <definedName name="Power_spares_price_a">#REF!</definedName>
    <definedName name="Power_Supply_Price_a">#REF!</definedName>
    <definedName name="Power56_Backup_Price_a">#REF!</definedName>
    <definedName name="Power56_Supply_Price_a">#REF!</definedName>
    <definedName name="pp">#REF!</definedName>
    <definedName name="ppeppe">{"'Sheet1'!$A$1:$H$36"}</definedName>
    <definedName name="PPK" hidden="1">{#N/A,#N/A,FALSE,"96 3월물량표";#N/A,#N/A,FALSE,"96 4월물량표";#N/A,#N/A,FALSE,"96 5월물량표"}</definedName>
    <definedName name="PPP" hidden="1">#REF!</definedName>
    <definedName name="pppe">{"'Sheet1'!$A$1:$H$36"}</definedName>
    <definedName name="pppp" hidden="1">{#N/A,#N/A,FALSE,"UNIT";#N/A,#N/A,FALSE,"UNIT";#N/A,#N/A,FALSE,"계정"}</definedName>
    <definedName name="pppppp">#REF!</definedName>
    <definedName name="PPPPPPPPPP">#REF!</definedName>
    <definedName name="pppppppppppp">#REF!</definedName>
    <definedName name="PPPPPPPPPPPPPP">#REF!</definedName>
    <definedName name="PPPPPPPPPPPPPPPPPP">#REF!</definedName>
    <definedName name="PR">#REF!</definedName>
    <definedName name="PRC">#REF!</definedName>
    <definedName name="PrDEPRI">#REF!</definedName>
    <definedName name="preN">'[29]++++'!#REF!</definedName>
    <definedName name="PREPARED_BY">#REF!</definedName>
    <definedName name="PREPARED_DATE">#REF!</definedName>
    <definedName name="Prev_HLR_Subs">#REF!</definedName>
    <definedName name="Prev_MSCQty">#REF!</definedName>
    <definedName name="price">#REF!</definedName>
    <definedName name="PrimaryShares">[42]Earnings!$P$50</definedName>
    <definedName name="PRIN_TITLES">#REF!</definedName>
    <definedName name="PRINT">'[76]Calcs for Sensitivy'!#REF!</definedName>
    <definedName name="_xlnm.Print_Area">#REF!</definedName>
    <definedName name="PRINT_AREA_MI">#REF!</definedName>
    <definedName name="Print_area_mi_park">[81]기계!$G$6:$AC$212</definedName>
    <definedName name="Print_Area2">#REF!</definedName>
    <definedName name="print_title">[82]충주!#REF!</definedName>
    <definedName name="_xlnm.Print_Titles">#N/A</definedName>
    <definedName name="Print_Titles_MI">[83]info!#REF!</definedName>
    <definedName name="PRINT1">[70]공급설비!#REF!</definedName>
    <definedName name="PRINT2">[70]공급설비!#REF!</definedName>
    <definedName name="PRINT3">[70]공급설비!#REF!</definedName>
    <definedName name="PRINT4">[70]공급설비!#REF!</definedName>
    <definedName name="PRINT5">[70]공급설비!#REF!</definedName>
    <definedName name="PRINT6">[70]공급설비!#REF!</definedName>
    <definedName name="PRINT7">#N/A</definedName>
    <definedName name="product">#REF!</definedName>
    <definedName name="Product_1">'[45]Code Info'!$J$2:$N$2</definedName>
    <definedName name="ProjectName">{"Client Name or Project Name"}</definedName>
    <definedName name="PROPOSED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Prowang_EC_250ml">'[29]++++'!#REF!</definedName>
    <definedName name="PRR">{"'status'!$B$2:$H$15"}</definedName>
    <definedName name="PRSA">#REF!</definedName>
    <definedName name="PRT6AL5AR40">[0]!PRT6AL5AR40</definedName>
    <definedName name="PRT6AU5BA41">[0]!PRT6AU5BA41</definedName>
    <definedName name="PRT6B5H25">[0]!PRT6B5H25</definedName>
    <definedName name="PRT6BD5BK32">[0]!PRT6BD5BK32</definedName>
    <definedName name="prt6bn252bt288">[0]!prt6bn252bt288</definedName>
    <definedName name="prt6bn46bt82">[0]!prt6bn46bt82</definedName>
    <definedName name="PRT6BN5BT41">#N/A</definedName>
    <definedName name="prt6bv7cc30">[0]!prt6bv7cc30</definedName>
    <definedName name="prt6cf5cl37">[0]!prt6cf5cl37</definedName>
    <definedName name="prt6co5cs41">[0]!prt6co5cs41</definedName>
    <definedName name="prt6cv5dg33">[0]!prt6cv5dg33</definedName>
    <definedName name="PRT6K31U52">[0]!PRT6K31U52</definedName>
    <definedName name="PRT6K4U25">[0]!PRT6K4U25</definedName>
    <definedName name="PRT6K57W79">[0]!PRT6K57W79</definedName>
    <definedName name="PRT6K85U107">[0]!PRT6K85U107</definedName>
    <definedName name="PRT6X4AI25">[0]!PRT6X4AI25</definedName>
    <definedName name="PS15C4LRTOR5C1R1000C10RTHR3C1R4">#REF!</definedName>
    <definedName name="PSKS12C4LRTOR50C1R84C10RTHDLRTM">#REF!</definedName>
    <definedName name="PSKS12C4LRTOR6C73R45C74RTHDLRTM">#REF!</definedName>
    <definedName name="PSKS12C4LRTOR9C1R47C10RTHDLRTM3">#REF!</definedName>
    <definedName name="PSKS13C4LRTOR138C45R180C58RTHDL">#REF!</definedName>
    <definedName name="PSKS13C4LRTOR182C45R224C58RTHDL">#REF!</definedName>
    <definedName name="PSKS13C4LRTOR39C29R79C43RTHDLRT">#REF!</definedName>
    <definedName name="PSKS13C4LRTOR49C45R91C58RTHDLRT">#REF!</definedName>
    <definedName name="PSKS13C4LRTOR5C29R40C43RTHDLRTM">#REF!</definedName>
    <definedName name="PSKS13C4LRTOR5C45R47C58RTHDLRTM">#REF!</definedName>
    <definedName name="PSKS13C4LRTOR94C45R136C58RTHDLR">#REF!</definedName>
    <definedName name="PSKS13C6LRTOR3C76R62C87RTM1TB0T">#REF!</definedName>
    <definedName name="PSKS15C6LRTOR3C76R62C88RTM1TB0T">#REF!</definedName>
    <definedName name="PSMPLQ12C4LRTOR339C224RTMTBTBTB">#REF!</definedName>
    <definedName name="Psopho_filter">#REF!</definedName>
    <definedName name="Psqlbp4lRTOR6C15R45C16RTHDLRTM0">#REF!</definedName>
    <definedName name="Psqlbp4lRTOR6C15R45C16RTHDLRTM7">#REF!</definedName>
    <definedName name="PXM_OC3_Pr">#REF!</definedName>
    <definedName name="PXM1_Pr">#REF!</definedName>
    <definedName name="PXM2_Pr">#REF!</definedName>
    <definedName name="P밸브">#REF!</definedName>
    <definedName name="P행">#REF!</definedName>
    <definedName name="q" localSheetId="7" hidden="1">{#N/A,#N/A,FALSE,"Aging Summary";#N/A,#N/A,FALSE,"Ratio Analysis";#N/A,#N/A,FALSE,"Test 120 Day Accts";#N/A,#N/A,FALSE,"Tickmarks"}</definedName>
    <definedName name="q" localSheetId="8" hidden="1">{#N/A,#N/A,FALSE,"Aging Summary";#N/A,#N/A,FALSE,"Ratio Analysis";#N/A,#N/A,FALSE,"Test 120 Day Accts";#N/A,#N/A,FALSE,"Tickmarks"}</definedName>
    <definedName name="q" localSheetId="10" hidden="1">{#N/A,#N/A,FALSE,"Aging Summary";#N/A,#N/A,FALSE,"Ratio Analysis";#N/A,#N/A,FALSE,"Test 120 Day Accts";#N/A,#N/A,FALSE,"Tickmarks"}</definedName>
    <definedName name="q" localSheetId="9" hidden="1">{#N/A,#N/A,FALSE,"Aging Summary";#N/A,#N/A,FALSE,"Ratio Analysis";#N/A,#N/A,FALSE,"Test 120 Day Accts";#N/A,#N/A,FALSE,"Tickmarks"}</definedName>
    <definedName name="q" hidden="1">'[58]9609Aß'!#REF!</definedName>
    <definedName name="q234562456">{"'용역비'!$A$4:$C$8"}</definedName>
    <definedName name="qa" hidden="1">{#N/A,#N/A,FALSE,"Aging Summary";#N/A,#N/A,FALSE,"Ratio Analysis";#N/A,#N/A,FALSE,"Test 120 Day Accts";#N/A,#N/A,FALSE,"Tickmarks"}</definedName>
    <definedName name="qbs">#REF!</definedName>
    <definedName name="qcf">#REF!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R">#REF!</definedName>
    <definedName name="QNQNNQ" hidden="1">{#N/A,#N/A,FALSE,"Yield";#N/A,#N/A,FALSE,"Loss1";#N/A,#N/A,FALSE,"Loss2";#N/A,#N/A,FALSE,"Hour-Labor(배분)";#N/A,#N/A,FALSE,"Capital Expenditure";#N/A,#N/A,FALSE,"Productivity"}</definedName>
    <definedName name="qpl">#REF!</definedName>
    <definedName name="QQ" hidden="1">[51]Æo°¡±aAØ!#REF!</definedName>
    <definedName name="qqopencasha">#REF!</definedName>
    <definedName name="qqopencashb">#REF!</definedName>
    <definedName name="qqopencredc">#REF!</definedName>
    <definedName name="qqopendebtc">#REF!</definedName>
    <definedName name="qqopenloan">#REF!</definedName>
    <definedName name="qqopenworth">#REF!</definedName>
    <definedName name="qqopenwortha">#REF!</definedName>
    <definedName name="QQQ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QQQAAASSS" hidden="1">{#N/A,#N/A,TRUE,"Y생산";#N/A,#N/A,TRUE,"Y판매";#N/A,#N/A,TRUE,"Y총물량";#N/A,#N/A,TRUE,"Y능력";#N/A,#N/A,TRUE,"YKD"}</definedName>
    <definedName name="QQQQ" hidden="1">{#N/A,#N/A,FALSE,"UNIT";#N/A,#N/A,FALSE,"UNIT";#N/A,#N/A,FALSE,"계정"}</definedName>
    <definedName name="QQQQQ" hidden="1">{#N/A,#N/A,FALSE,"UNIT";#N/A,#N/A,FALSE,"UNIT";#N/A,#N/A,FALSE,"계정"}</definedName>
    <definedName name="qqqqqq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hidden="1">{#N/A,#N/A,TRUE,"Y생산";#N/A,#N/A,TRUE,"Y판매";#N/A,#N/A,TRUE,"Y총물량";#N/A,#N/A,TRUE,"Y능력";#N/A,#N/A,TRUE,"YKD"}</definedName>
    <definedName name="QRAS">#REF!</definedName>
    <definedName name="quit_button_Click" localSheetId="7">[37]!quit_button_Click</definedName>
    <definedName name="quit_button_Click" localSheetId="10">[37]!quit_button_Click</definedName>
    <definedName name="quit_button_Click" localSheetId="9">[37]!quit_button_Click</definedName>
    <definedName name="quit_button_Click">[37]!quit_button_Click</definedName>
    <definedName name="qw" hidden="1">{#N/A,#N/A,FALSE,"Aging Summary";#N/A,#N/A,FALSE,"Ratio Analysis";#N/A,#N/A,FALSE,"Test 120 Day Accts";#N/A,#N/A,FALSE,"Tickmarks"}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wqwqw" hidden="1">{#N/A,#N/A,FALSE,"UNIT";#N/A,#N/A,FALSE,"UNIT";#N/A,#N/A,FALSE,"계정"}</definedName>
    <definedName name="qyk">{"'용역비'!$A$4:$C$8"}</definedName>
    <definedName name="Q행">#REF!</definedName>
    <definedName name="R_COVER" hidden="1">{#N/A,#N/A,FALSE,"단축1";#N/A,#N/A,FALSE,"단축2";#N/A,#N/A,FALSE,"단축3";#N/A,#N/A,FALSE,"장축";#N/A,#N/A,FALSE,"4WD"}</definedName>
    <definedName name="R_Factor">#REF!</definedName>
    <definedName name="range">#REF!</definedName>
    <definedName name="RANGEA">#N/A</definedName>
    <definedName name="RANGEA1">#N/A</definedName>
    <definedName name="RANGEB">#N/A</definedName>
    <definedName name="RANGEB1">#N/A</definedName>
    <definedName name="RANGEB1B">#N/A</definedName>
    <definedName name="RANGEBB">#N/A</definedName>
    <definedName name="RANGEC">#N/A</definedName>
    <definedName name="RANGEC1">#N/A</definedName>
    <definedName name="RANGED">#N/A</definedName>
    <definedName name="RANGED1">#N/A</definedName>
    <definedName name="RANGEE">#N/A</definedName>
    <definedName name="RANGEE1">#N/A</definedName>
    <definedName name="RANGEF">#N/A</definedName>
    <definedName name="RANGEF1">#N/A</definedName>
    <definedName name="RANGEG">#N/A</definedName>
    <definedName name="RANGEG1">#N/A</definedName>
    <definedName name="Rates">#REF!</definedName>
    <definedName name="RATIOS">#REF!</definedName>
    <definedName name="RC자재비">#REF!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_price">#REF!</definedName>
    <definedName name="RECORD">#REF!</definedName>
    <definedName name="_xlnm.Recorder">#REF!</definedName>
    <definedName name="Réel_N">[31]Comments!$E$1:$E$65536</definedName>
    <definedName name="Ref_1">#REF!</definedName>
    <definedName name="Ref_2">#REF!</definedName>
    <definedName name="Ref_3">#REF!</definedName>
    <definedName name="Ref_4">#REF!</definedName>
    <definedName name="REG">#REF!</definedName>
    <definedName name="Region">#REF!</definedName>
    <definedName name="RemoteAccess">#REF!</definedName>
    <definedName name="repair_costs">#REF!</definedName>
    <definedName name="replacement_cost">#REF!</definedName>
    <definedName name="REPORT1">[70]공급설비!#REF!</definedName>
    <definedName name="REPORT2">[70]공급설비!#REF!</definedName>
    <definedName name="REPORT3">[70]공급설비!#REF!</definedName>
    <definedName name="REPORT4">[70]공급설비!#REF!</definedName>
    <definedName name="REPORT5">[70]공급설비!#REF!</definedName>
    <definedName name="reportPl" localSheetId="7">[37]!reportPl</definedName>
    <definedName name="reportPl" localSheetId="10">[37]!reportPl</definedName>
    <definedName name="reportPl" localSheetId="9">[37]!reportPl</definedName>
    <definedName name="reportPl">[37]!reportPl</definedName>
    <definedName name="Reset">#REF!</definedName>
    <definedName name="Residual_difference">#REF!</definedName>
    <definedName name="RESPONSIBILITYAPPLICATIONID1">#REF!</definedName>
    <definedName name="RESPONSIBILITYID1">#REF!</definedName>
    <definedName name="RESPONSIBILITYNAME1">#REF!</definedName>
    <definedName name="revised">#REF!</definedName>
    <definedName name="RevPer">[28]HEADER!$G$15</definedName>
    <definedName name="RevYN">[28]HEADER!$D$15</definedName>
    <definedName name="RFSSF">#REF!</definedName>
    <definedName name="rg">{"Tusk"}</definedName>
    <definedName name="RH">{"'용역비'!$A$4:$C$8"}</definedName>
    <definedName name="RHKS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ri">#REF!</definedName>
    <definedName name="RISK내용" hidden="1">{#N/A,#N/A,FALSE,"UNIT";#N/A,#N/A,FALSE,"UNIT";#N/A,#N/A,FALSE,"계정"}</definedName>
    <definedName name="rkrkrrk" hidden="1">{#N/A,#N/A,FALSE,"1.CRITERIA";#N/A,#N/A,FALSE,"2.IS";#N/A,#N/A,FALSE,"3.BS";#N/A,#N/A,FALSE,"4.PER PL";#N/A,#N/A,FALSE,"5.INVESTMENT";#N/A,#N/A,FALSE,"6.공문";#N/A,#N/A,FALSE,"7.netinvest"}</definedName>
    <definedName name="RKSK" localSheetId="7" hidden="1">[84]시산표!#REF!</definedName>
    <definedName name="RKSK" localSheetId="8" hidden="1">[84]시산표!#REF!</definedName>
    <definedName name="RKSK" localSheetId="10" hidden="1">[84]시산표!#REF!</definedName>
    <definedName name="RKSK" localSheetId="9" hidden="1">[84]시산표!#REF!</definedName>
    <definedName name="RKSK" hidden="1">[85]시산표!#REF!</definedName>
    <definedName name="rlawnthd">#REF!</definedName>
    <definedName name="RLDJE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rldje1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RLTNF" hidden="1">{#N/A,#N/A,FALSE,"Yield";#N/A,#N/A,FALSE,"Loss1";#N/A,#N/A,FALSE,"Loss2";#N/A,#N/A,FALSE,"Hour-Labor(배분)";#N/A,#N/A,FALSE,"Capital Expenditure";#N/A,#N/A,FALSE,"Productivity"}</definedName>
    <definedName name="rms" localSheetId="7" hidden="1">{"adj95mult",#N/A,FALSE,"COMPCO";"adj95est",#N/A,FALSE,"COMPCO"}</definedName>
    <definedName name="rms" localSheetId="8" hidden="1">{"adj95mult",#N/A,FALSE,"COMPCO";"adj95est",#N/A,FALSE,"COMPCO"}</definedName>
    <definedName name="rms" localSheetId="10" hidden="1">{"adj95mult",#N/A,FALSE,"COMPCO";"adj95est",#N/A,FALSE,"COMPCO"}</definedName>
    <definedName name="rms" localSheetId="9" hidden="1">{"adj95mult",#N/A,FALSE,"COMPCO";"adj95est",#N/A,FALSE,"COMPCO"}</definedName>
    <definedName name="rms" hidden="1">{"adj95mult",#N/A,FALSE,"COMPCO";"adj95est",#N/A,FALSE,"COMPCO"}</definedName>
    <definedName name="ROQKFQL" hidden="1">#REF!</definedName>
    <definedName name="Rovral_wp_500g">'[29]++++'!#REF!</definedName>
    <definedName name="ROW">#REF!</definedName>
    <definedName name="rowcode">#REF!</definedName>
    <definedName name="ROWSTOUPLOAD1">#REF!</definedName>
    <definedName name="rPghlr" hidden="1">{#N/A,#N/A,FALSE,"기술료 비교"}</definedName>
    <definedName name="RPM_Pr">#REF!</definedName>
    <definedName name="RR" hidden="1">{#N/A,#N/A,FALSE,"98소지이동TOTvs99.1 (2)";#N/A,#N/A,FALSE,"TOTAL";#N/A,#N/A,FALSE,"98소지이동TOTvs99.1(b) (2)"}</definedName>
    <definedName name="RRR" hidden="1">[86]누TB!$G$1:$G$1019</definedName>
    <definedName name="rrrrr" hidden="1">#REF!</definedName>
    <definedName name="rrrw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rth">{"'용역비'!$A$4:$C$8"}</definedName>
    <definedName name="Rtotal">#REF!</definedName>
    <definedName name="rtty" hidden="1">{#N/A,#N/A,FALSE,"UNIT";#N/A,#N/A,FALSE,"UNIT";#N/A,#N/A,FALSE,"계정"}</definedName>
    <definedName name="rty">{"'용역비'!$A$4:$C$8"}</definedName>
    <definedName name="RUNTIME">'[76]Calcs for Sensitivy'!#REF!</definedName>
    <definedName name="ryuk">{"'용역비'!$A$4:$C$8"}</definedName>
    <definedName name="R가공">#REF!</definedName>
    <definedName name="R열처리">#REF!</definedName>
    <definedName name="R행">#REF!</definedName>
    <definedName name="s">#REF!</definedName>
    <definedName name="S_A_HLRQty">#REF!</definedName>
    <definedName name="saas">{"'Sheet1'!$A$1:$H$36"}</definedName>
    <definedName name="sadadsa" hidden="1">{#N/A,#N/A,FALSE,"Yield";#N/A,#N/A,FALSE,"Loss1";#N/A,#N/A,FALSE,"Loss2";#N/A,#N/A,FALSE,"Hour-Labor(배분)";#N/A,#N/A,FALSE,"Capital Expenditure";#N/A,#N/A,FALSE,"Productivity"}</definedName>
    <definedName name="sadas" hidden="1">{#N/A,#N/A,FALSE,"98소지이동TOTvs99.1 (2)";#N/A,#N/A,FALSE,"TOTAL";#N/A,#N/A,FALSE,"98소지이동TOTvs99.1(b) (2)"}</definedName>
    <definedName name="sadf">[33]수율생산!#REF!</definedName>
    <definedName name="sales">#REF!</definedName>
    <definedName name="Sales_Equip.">[34]Dec!$A$3:$Y$154</definedName>
    <definedName name="SAPBEXdnldView">"40LRAMD42LJ31I29U5NQUXIF9"</definedName>
    <definedName name="SAPBEXsysID">"PW1"</definedName>
    <definedName name="sasa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assd">[87]주간계획!#REF!</definedName>
    <definedName name="SAVE">#REF!</definedName>
    <definedName name="sb">{1}</definedName>
    <definedName name="sbz">{"Tusk"}</definedName>
    <definedName name="Scala_500g__WP">'[29]++++'!#REF!</definedName>
    <definedName name="SCF_Opt_CAMEL_Only">#REF!</definedName>
    <definedName name="SCP_Mated_Pair">#REF!</definedName>
    <definedName name="SCP_Mated_Pair_Option">#REF!</definedName>
    <definedName name="SCP_SCF_New_Qty">#REF!</definedName>
    <definedName name="SD">{"'손익현황'!$A$1:$J$29"}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d">{"'Sheet1'!$A$1:$H$36"}</definedName>
    <definedName name="sddffffffffff">{"'Sheet1'!$A$1:$H$36"}</definedName>
    <definedName name="sde">{"'Sheet1'!$A$1:$H$36"}</definedName>
    <definedName name="SDF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sdfa">'[32]IMCI-Assumptions (Mgt.)'!#REF!</definedName>
    <definedName name="sdfd">{"'status'!$B$2:$H$15"}</definedName>
    <definedName name="SDFGR">#REF!</definedName>
    <definedName name="sdfgsfgsd" hidden="1">{"'Sheet1'!$A$1:$J$73"}</definedName>
    <definedName name="sdfjk\">{"'9월'!$F$38"}</definedName>
    <definedName name="sdfsds">{"'Sheet1'!$A$1:$H$36"}</definedName>
    <definedName name="sdjkddjk">{"'Sheet1'!$A$1:$H$36"}</definedName>
    <definedName name="sdryhj">{"'용역비'!$A$4:$C$8"}</definedName>
    <definedName name="sds">{"'Sheet1'!$A$1:$H$36"}</definedName>
    <definedName name="sdsf">#REF!</definedName>
    <definedName name="sdsgrth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E">{"'용역비'!$A$4:$C$8"}</definedName>
    <definedName name="sefssre">{"'Sheet1'!$A$1:$H$36"}</definedName>
    <definedName name="sel_pc">#REF!</definedName>
    <definedName name="sel_price">#REF!</definedName>
    <definedName name="select2">#REF!</definedName>
    <definedName name="select2.Next">#REF!</definedName>
    <definedName name="selection">#REF!</definedName>
    <definedName name="selling">#REF!</definedName>
    <definedName name="selling01">[88]Selling!#REF!</definedName>
    <definedName name="sep" hidden="1">{#N/A,#N/A,TRUE,"TOTALS";#N/A,#N/A,TRUE,"ROUTES"}</definedName>
    <definedName name="SETOFBOOKSID1">#REF!</definedName>
    <definedName name="SETOFBOOKSNAME1">#REF!</definedName>
    <definedName name="sex" hidden="1">{#N/A,#N/A,FALSE,"단축1";#N/A,#N/A,FALSE,"단축2";#N/A,#N/A,FALSE,"단축3";#N/A,#N/A,FALSE,"장축";#N/A,#N/A,FALSE,"4WD"}</definedName>
    <definedName name="sfd">{"'Sheet1'!$A$1:$H$36"}</definedName>
    <definedName name="sfdd">{"'Sheet1'!$A$1:$H$36"}</definedName>
    <definedName name="sfde">{"'Sheet1'!$A$1:$H$36"}</definedName>
    <definedName name="sfdfdfd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sfee">{"'Sheet1'!$A$1:$H$36"}</definedName>
    <definedName name="sfees">{"'Sheet1'!$A$1:$H$36"}</definedName>
    <definedName name="sgd_bank1">#REF!</definedName>
    <definedName name="sgd_bank2">#REF!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gs">{"'Sheet1'!$A$1:$H$36"}</definedName>
    <definedName name="SGS">#REF!</definedName>
    <definedName name="SHARECAPITAL">#REF!</definedName>
    <definedName name="sheet" hidden="1">{#N/A,#N/A,FALSE,"UNIT";#N/A,#N/A,FALSE,"UNIT";#N/A,#N/A,FALSE,"계정"}</definedName>
    <definedName name="SHEET100">[89]!SHEET100</definedName>
    <definedName name="shpaik" hidden="1">{#N/A,#N/A,FALSE,"BS";#N/A,#N/A,FALSE,"PL";#N/A,#N/A,FALSE,"처분";#N/A,#N/A,FALSE,"현금";#N/A,#N/A,FALSE,"매출";#N/A,#N/A,FALSE,"원가";#N/A,#N/A,FALSE,"경영"}</definedName>
    <definedName name="Silbaco__WP_100g">'[29]++++'!#REF!</definedName>
    <definedName name="SILJUK">#N/A</definedName>
    <definedName name="Site_Name_v">#REF!</definedName>
    <definedName name="Site1">#REF!</definedName>
    <definedName name="Site10">#REF!</definedName>
    <definedName name="Site11">#REF!</definedName>
    <definedName name="Site12">#REF!</definedName>
    <definedName name="Site13">#REF!</definedName>
    <definedName name="Site14">#REF!</definedName>
    <definedName name="Site15">#REF!</definedName>
    <definedName name="Site16">#REF!</definedName>
    <definedName name="Site17">#REF!</definedName>
    <definedName name="Site18">#REF!</definedName>
    <definedName name="Site19">#REF!</definedName>
    <definedName name="Site2">#REF!</definedName>
    <definedName name="Site20">#REF!</definedName>
    <definedName name="Site21">#REF!</definedName>
    <definedName name="Site22">#REF!</definedName>
    <definedName name="Site23">#REF!</definedName>
    <definedName name="Site24">#REF!</definedName>
    <definedName name="Site25">#REF!</definedName>
    <definedName name="Site26">#REF!</definedName>
    <definedName name="Site27">#REF!</definedName>
    <definedName name="Site28">#REF!</definedName>
    <definedName name="Site29">#REF!</definedName>
    <definedName name="Site3">#REF!</definedName>
    <definedName name="Site30">#REF!</definedName>
    <definedName name="Site31">#REF!</definedName>
    <definedName name="Site32">#REF!</definedName>
    <definedName name="Site33">#REF!</definedName>
    <definedName name="Site34">#REF!</definedName>
    <definedName name="Site35">#REF!</definedName>
    <definedName name="Site36">#REF!</definedName>
    <definedName name="Site37">#REF!</definedName>
    <definedName name="Site38">#REF!</definedName>
    <definedName name="Site39">#REF!</definedName>
    <definedName name="Site4">#REF!</definedName>
    <definedName name="Site40">#REF!</definedName>
    <definedName name="Site41">#REF!</definedName>
    <definedName name="Site42">#REF!</definedName>
    <definedName name="Site43">#REF!</definedName>
    <definedName name="Site44">#REF!</definedName>
    <definedName name="Site45">#REF!</definedName>
    <definedName name="Site46">#REF!</definedName>
    <definedName name="Site47">#REF!</definedName>
    <definedName name="Site48">#REF!</definedName>
    <definedName name="Site49">#REF!</definedName>
    <definedName name="Site5">#REF!</definedName>
    <definedName name="Site50">#REF!</definedName>
    <definedName name="Site6">#REF!</definedName>
    <definedName name="Site7">#REF!</definedName>
    <definedName name="Site8">#REF!</definedName>
    <definedName name="Site9">#REF!</definedName>
    <definedName name="SKFK">#REF!</definedName>
    <definedName name="sks">#REF!</definedName>
    <definedName name="SLG4_1">{"'status'!$B$2:$H$15"}</definedName>
    <definedName name="small_TCH">#REF!</definedName>
    <definedName name="smkljljlskjdl">{"'Sheet1'!$A$1:$H$36"}</definedName>
    <definedName name="SMS_HW_Price_a">#REF!</definedName>
    <definedName name="SMS_SW_Price_a">#REF!</definedName>
    <definedName name="SMSQty">#REF!</definedName>
    <definedName name="so" hidden="1">#REF!</definedName>
    <definedName name="SOG_Bundling">#REF!</definedName>
    <definedName name="SOG_HW_Price_a">#REF!</definedName>
    <definedName name="SOG_SW_Price_a">#REF!</definedName>
    <definedName name="SOGQty">#REF!</definedName>
    <definedName name="SOHO128">#REF!</definedName>
    <definedName name="SOHO12801">#REF!</definedName>
    <definedName name="soho256">#REF!</definedName>
    <definedName name="SOHO25601">#REF!</definedName>
    <definedName name="SOHO64">#REF!</definedName>
    <definedName name="SOHO6401">#REF!</definedName>
    <definedName name="Solaga_GR_1kg">'[29]++++'!#REF!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ONATA" hidden="1">{#N/A,#N/A,FALSE,"해외크레임";#N/A,#N/A,FALSE,"ACCENT현황";#N/A,#N/A,FALSE,"AVANTE";#N/A,#N/A,FALSE,"SONATA(3)";#N/A,#N/A,FALSE,"국내크레임"}</definedName>
    <definedName name="Span_TCH">#REF!</definedName>
    <definedName name="Span_Util">#REF!</definedName>
    <definedName name="Spans">#REF!</definedName>
    <definedName name="Spans_Per_ATM_MGX">#REF!</definedName>
    <definedName name="Spans_Per_IP_MGX">#REF!</definedName>
    <definedName name="Spans_per_RPM">#REF!</definedName>
    <definedName name="Spans_Per_VXR">#REF!</definedName>
    <definedName name="SportakEC_20ml">'[29]++++'!#REF!</definedName>
    <definedName name="Spredaer_SL">'[29]++++'!#REF!</definedName>
    <definedName name="squeeze">'[90]Cement IS'!#REF!</definedName>
    <definedName name="SRC">#REF!</definedName>
    <definedName name="SRGS">#REF!</definedName>
    <definedName name="SRM_Pr">#REF!</definedName>
    <definedName name="srth">{"'용역비'!$A$4:$C$8"}</definedName>
    <definedName name="ss" hidden="1">{"'5국공정'!$A$1:$E$128"}</definedName>
    <definedName name="SSCP_HW_Offered">#REF!</definedName>
    <definedName name="ssd">#REF!</definedName>
    <definedName name="SSF_Opt_CAMEL_only">#REF!</definedName>
    <definedName name="SSF_Opt_Not_Offered">#REF!</definedName>
    <definedName name="ssfsdfsdsss">{"'Sheet1'!$A$1:$H$36"}</definedName>
    <definedName name="ssklsl">{"'Sheet1'!$A$1:$H$36"}</definedName>
    <definedName name="sss">#REF!</definedName>
    <definedName name="ssss">{"'Sheet1'!$A$1:$H$36"}</definedName>
    <definedName name="sssss">#REF!</definedName>
    <definedName name="ssssss">{"'Sheet1'!$A$1:$H$36"}</definedName>
    <definedName name="sssssss">{"'Sheet1'!$A$1:$H$36"}</definedName>
    <definedName name="SSSSSSSS">{"'손익현황'!$A$1:$J$29"}</definedName>
    <definedName name="staff">[41]Leasing!#REF!</definedName>
    <definedName name="STARTJOURNALIMPORT1">#REF!</definedName>
    <definedName name="std">#REF!</definedName>
    <definedName name="STS">{"'용역비'!$A$4:$C$8"}</definedName>
    <definedName name="SUB">#REF!</definedName>
    <definedName name="subcontractor_manhour_rate">#REF!</definedName>
    <definedName name="Subs_Prev_Phase">#REF!</definedName>
    <definedName name="subscribers">#REF!</definedName>
    <definedName name="Suhosin_200g">'[29]++++'!#REF!</definedName>
    <definedName name="SUM">#N/A</definedName>
    <definedName name="SUMMARY">#REF!</definedName>
    <definedName name="SUNDRY_DEBTOR">#REF!</definedName>
    <definedName name="Supermae_GR_3kg">'[29]++++'!#REF!</definedName>
    <definedName name="Support_Core_Price_a">#REF!</definedName>
    <definedName name="Swvu.시간대별예약." hidden="1">#REF!</definedName>
    <definedName name="SYN">'[76]DCF Inputs'!$Q$18</definedName>
    <definedName name="S행">#REF!</definedName>
    <definedName name="t" localSheetId="7" hidden="1">{#N/A,#N/A,FALSE,"Aging Summary";#N/A,#N/A,FALSE,"Ratio Analysis";#N/A,#N/A,FALSE,"Test 120 Day Accts";#N/A,#N/A,FALSE,"Tickmarks"}</definedName>
    <definedName name="t" localSheetId="8" hidden="1">{#N/A,#N/A,FALSE,"Aging Summary";#N/A,#N/A,FALSE,"Ratio Analysis";#N/A,#N/A,FALSE,"Test 120 Day Accts";#N/A,#N/A,FALSE,"Tickmarks"}</definedName>
    <definedName name="t" localSheetId="10" hidden="1">{#N/A,#N/A,FALSE,"Aging Summary";#N/A,#N/A,FALSE,"Ratio Analysis";#N/A,#N/A,FALSE,"Test 120 Day Accts";#N/A,#N/A,FALSE,"Tickmarks"}</definedName>
    <definedName name="t" localSheetId="9" hidden="1">{#N/A,#N/A,FALSE,"Aging Summary";#N/A,#N/A,FALSE,"Ratio Analysis";#N/A,#N/A,FALSE,"Test 120 Day Accts";#N/A,#N/A,FALSE,"Tickmarks"}</definedName>
    <definedName name="T">#N/A</definedName>
    <definedName name="T._A._B_____공___사">#REF!</definedName>
    <definedName name="T03021Z">'[91]2资负'!#REF!</definedName>
    <definedName name="T03022Z">'[91]2资负'!#REF!</definedName>
    <definedName name="T03024Z">'[91]2资负'!#REF!</definedName>
    <definedName name="T03026Z">'[91]2资负'!#REF!</definedName>
    <definedName name="T03027Z">'[91]2资负'!#REF!</definedName>
    <definedName name="T03029Z">'[91]2资负'!#REF!</definedName>
    <definedName name="T03030Z">'[91]2资负'!#REF!</definedName>
    <definedName name="T03031Z">'[91]2资负'!#REF!</definedName>
    <definedName name="T03034Z">'[91]2资负'!#REF!</definedName>
    <definedName name="T03035Z">'[91]2资负'!#REF!</definedName>
    <definedName name="T03036Z">'[91]2资负'!#REF!</definedName>
    <definedName name="T04002_D">[92]DATA!$D$99</definedName>
    <definedName name="T04004_D">[92]DATA!$D$101</definedName>
    <definedName name="T04005_D">[92]DATA!$D$102</definedName>
    <definedName name="T04006_D">[92]DATA!$D$103</definedName>
    <definedName name="T04008_D">[92]DATA!$D$105</definedName>
    <definedName name="T04010_D">[92]DATA!$D$107</definedName>
    <definedName name="T04011_D">[92]DATA!$D$108</definedName>
    <definedName name="T04012_D">[92]DATA!$D$109</definedName>
    <definedName name="T04014_D">[92]DATA!$D$111</definedName>
    <definedName name="T04015_D">[92]DATA!$D$112</definedName>
    <definedName name="T04016_D">[92]DATA!$D$113</definedName>
    <definedName name="T04017_D">[92]DATA!$D$114</definedName>
    <definedName name="T04019_D">[92]DATA!$D$116</definedName>
    <definedName name="T04020_D">[92]DATA!$D$117</definedName>
    <definedName name="T04026_D">[92]DATA!$D$123</definedName>
    <definedName name="T04027_D">[92]DATA!$D$125</definedName>
    <definedName name="T04028_D">[92]DATA!$D$126</definedName>
    <definedName name="T04029_D">[92]DATA!$D$129</definedName>
    <definedName name="T04031_D">[92]DATA!$D$131</definedName>
    <definedName name="T04032_D">[92]DATA!$D$132</definedName>
    <definedName name="T04033_D">[92]DATA!$D$133</definedName>
    <definedName name="T04034_D">[92]DATA!$D$134</definedName>
    <definedName name="T04035_D">[92]DATA!$D$135</definedName>
    <definedName name="T04036Z">'[1]3损益'!$E$42</definedName>
    <definedName name="T04037_D">[92]DATA!$D$137</definedName>
    <definedName name="T04041_D">[92]DATA!$D$124</definedName>
    <definedName name="T04042_D">[92]DATA!$D$127</definedName>
    <definedName name="T04044_D">[92]DATA!$D$163</definedName>
    <definedName name="T04045_D">[92]DATA!$D$164</definedName>
    <definedName name="T04046_D">[92]DATA!$D$165</definedName>
    <definedName name="T04047_D">[92]DATA!$D$166</definedName>
    <definedName name="T1_Pr">#REF!</definedName>
    <definedName name="T12007_SUM">#REF!</definedName>
    <definedName name="T12008_SUM">#REF!</definedName>
    <definedName name="T12011_SUM">'[91]4集团'!#REF!</definedName>
    <definedName name="T12050_SUM">#REF!</definedName>
    <definedName name="ta" hidden="1">{#N/A,#N/A,FALSE,"Aging Summary";#N/A,#N/A,FALSE,"Ratio Analysis";#N/A,#N/A,FALSE,"Test 120 Day Accts";#N/A,#N/A,FALSE,"Tickmarks"}</definedName>
    <definedName name="Table">#REF!</definedName>
    <definedName name="targetstockprice">'[42]Control Page'!$C$7</definedName>
    <definedName name="tasEC500">'[29]++++'!#REF!</definedName>
    <definedName name="tasWP200">'[29]++++'!#REF!</definedName>
    <definedName name="tasWP500">'[29]++++'!#REF!</definedName>
    <definedName name="tax" hidden="1">{#N/A,#N/A,FALSE,"Aging Summary";#N/A,#N/A,FALSE,"Ratio Analysis";#N/A,#N/A,FALSE,"Test 120 Day Accts";#N/A,#N/A,FALSE,"Tickmarks"}</definedName>
    <definedName name="TB" hidden="1">{#N/A,#N/A,TRUE,"Summary";#N/A,#N/A,TRUE,"IS";#N/A,#N/A,TRUE,"Adj";#N/A,#N/A,TRUE,"BS";#N/A,#N/A,TRUE,"CF";#N/A,#N/A,TRUE,"Debt";#N/A,#N/A,TRUE,"IRR"}</definedName>
    <definedName name="tbjoi">#REF!</definedName>
    <definedName name="TCHSperSPAN">#REF!</definedName>
    <definedName name="TDS">'[93]관계회사거래내역및 채권채무잔액 99'!#REF!</definedName>
    <definedName name="TEJDHDZ" hidden="1">{#N/A,#N/A,FALSE,"초도품";#N/A,#N/A,FALSE,"초도품 (2)";#N/A,#N/A,FALSE,"초도품 (3)";#N/A,#N/A,FALSE,"초도품 (4)";#N/A,#N/A,FALSE,"초도품 (5)";#N/A,#N/A,FALSE,"초도품 (6)"}</definedName>
    <definedName name="TEMPLATENUMBER1">#REF!</definedName>
    <definedName name="TEMPLATESTYLE1">#REF!</definedName>
    <definedName name="TEMPLATETYPE1">#REF!</definedName>
    <definedName name="Test">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[94]Reconciliation!#REF!</definedName>
    <definedName name="TextRefCopy19">[94]Reconciliation!#REF!</definedName>
    <definedName name="TextRefCopy2">[94]Reconciliation!#REF!</definedName>
    <definedName name="TextRefCopy3">[94]Reconciliation!#REF!</definedName>
    <definedName name="TextRefCopy4">#REF!</definedName>
    <definedName name="TextRefCopy5">#REF!</definedName>
    <definedName name="TextRefCopy59">#REF!</definedName>
    <definedName name="TextRefCopy6">'[95]1_현금흐름표'!#REF!</definedName>
    <definedName name="TextRefCopy60">[94]Reconciliation!#REF!</definedName>
    <definedName name="TextRefCopy61">#REF!</definedName>
    <definedName name="TextRefCopy62">#REF!</definedName>
    <definedName name="TextRefCopy63">#REF!</definedName>
    <definedName name="TextRefCopy64">[94]Reconciliation!#REF!</definedName>
    <definedName name="TextRefCopy65">[94]Reconciliation!#REF!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'[95]1_현금흐름표'!$X$27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[94]Reconciliation!#REF!</definedName>
    <definedName name="TextRefCopy76">[94]Reconciliation!#REF!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9">#REF!</definedName>
    <definedName name="TextRefCopyRangeCount" localSheetId="7" hidden="1">1</definedName>
    <definedName name="TextRefCopyRangeCount" localSheetId="8" hidden="1">1</definedName>
    <definedName name="TextRefCopyRangeCount" localSheetId="10" hidden="1">1</definedName>
    <definedName name="TextRefCopyRangeCount" localSheetId="9" hidden="1">1</definedName>
    <definedName name="TextRefCopyRangeCount" hidden="1">3</definedName>
    <definedName name="TFUI">{"'용역비'!$A$4:$C$8"}</definedName>
    <definedName name="THEME2" hidden="1">{#N/A,#N/A,FALSE,"96 3월물량표";#N/A,#N/A,FALSE,"96 4월물량표";#N/A,#N/A,FALSE,"96 5월물량표"}</definedName>
    <definedName name="Thiolix__3Kg">'[29]++++'!#REF!</definedName>
    <definedName name="Thiolix_EC_500ml">'[29]++++'!#REF!</definedName>
    <definedName name="ThisPeriod">[28]HEADER!$I$4</definedName>
    <definedName name="ThisYear">[28]HEADER!$C$4</definedName>
    <definedName name="Threshold">#REF!</definedName>
    <definedName name="thuriwp200">'[29]++++'!#REF!</definedName>
    <definedName name="TIBURON" hidden="1">{#N/A,#N/A,FALSE,"해외크레임";#N/A,#N/A,FALSE,"ACCENT현황";#N/A,#N/A,FALSE,"AVANTE";#N/A,#N/A,FALSE,"SONATA(3)";#N/A,#N/A,FALSE,"국내크레임"}</definedName>
    <definedName name="TIMESTAMP">'[76]Calcs for Sensitivy'!#REF!</definedName>
    <definedName name="TJAUDLWS" hidden="1">{#N/A,#N/A,TRUE,"Y생산";#N/A,#N/A,TRUE,"Y판매";#N/A,#N/A,TRUE,"Y총물량";#N/A,#N/A,TRUE,"Y능력";#N/A,#N/A,TRUE,"YKD"}</definedName>
    <definedName name="TKTKTK" hidden="1">{"'미착금액'!$A$4:$G$14"}</definedName>
    <definedName name="TLS" hidden="1">{#N/A,#N/A,FALSE,"단축1";#N/A,#N/A,FALSE,"단축2";#N/A,#N/A,FALSE,"단축3";#N/A,#N/A,FALSE,"장축";#N/A,#N/A,FALSE,"4WD"}</definedName>
    <definedName name="tmp" hidden="1">{#N/A,#N/A,FALSE,"회선임차현황"}</definedName>
    <definedName name="TOFHDNS" hidden="1">#REF!</definedName>
    <definedName name="Tool_Test_Price_a">#REF!</definedName>
    <definedName name="Tot_Dir_Acc_Unit">#REF!</definedName>
    <definedName name="Tot_SCP_IntSCF_Qty">#REF!</definedName>
    <definedName name="TOTAL">OFFSET([35]ST_INVEST!$K$5,0,0,COUNTA([35]ST_INVEST!$K$1:$K$65536))</definedName>
    <definedName name="Total_HLR_Subs">#REF!</definedName>
    <definedName name="Total_Subs">#REF!</definedName>
    <definedName name="Total_TCHs">#REF!</definedName>
    <definedName name="Total_TRUs">#REF!</definedName>
    <definedName name="totcost">#REF!</definedName>
    <definedName name="TP1t">[28]language!$E$72</definedName>
    <definedName name="TP2t">[28]language!$E$73</definedName>
    <definedName name="TP3t">[28]language!$E$74</definedName>
    <definedName name="TP5t">[28]language!$E$75</definedName>
    <definedName name="Traffic_per_sub">#REF!</definedName>
    <definedName name="Training_Price_a">#REF!</definedName>
    <definedName name="TransNum">#REF!</definedName>
    <definedName name="TravelDaysRate">#REF!</definedName>
    <definedName name="TRCR7_Price_a">#REF!</definedName>
    <definedName name="trim" hidden="1">#REF!</definedName>
    <definedName name="trim1" hidden="1">#REF!</definedName>
    <definedName name="trips_per_month">#REF!</definedName>
    <definedName name="trizol100">'[29]++++'!#REF!</definedName>
    <definedName name="TRU_Prev_Phase">#REF!</definedName>
    <definedName name="TRUQty">#REF!</definedName>
    <definedName name="TT" hidden="1">{#N/A,#N/A,FALSE,"UNIT";#N/A,#N/A,FALSE,"UNIT";#N/A,#N/A,FALSE,"계정"}</definedName>
    <definedName name="TTDesiredLevelOfEvidenceItems">'[74]Global Data'!$B$92:$B$95</definedName>
    <definedName name="ttp" hidden="1">{#N/A,#N/A,FALSE,"Yield";#N/A,#N/A,FALSE,"Loss1";#N/A,#N/A,FALSE,"Loss2";#N/A,#N/A,FALSE,"Hour-Labor(배분)";#N/A,#N/A,FALSE,"Capital Expenditure";#N/A,#N/A,FALSE,"Productivity"}</definedName>
    <definedName name="TTT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tttq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ttttt" hidden="1">{#N/A,#N/A,FALSE,"지침";#N/A,#N/A,FALSE,"환경분석";#N/A,#N/A,FALSE,"Sheet16"}</definedName>
    <definedName name="tu">{"'용역비'!$A$4:$C$8"}</definedName>
    <definedName name="tuilol">{"'용역비'!$A$4:$C$8"}</definedName>
    <definedName name="TV">'[42]DCF Input'!$F$33</definedName>
    <definedName name="Two_Out_GR_3kg">'[29]++++'!#REF!</definedName>
    <definedName name="TwoStepMisstatementIdentified">'[74]Two Step Revenue Testing Master'!$C$85</definedName>
    <definedName name="TwoStepTolerableEstMisstmtCalc">'[74]Two Step Revenue Testing Master'!$T$45</definedName>
    <definedName name="TY" hidden="1">#REF!</definedName>
    <definedName name="TYJ">{"'용역비'!$A$4:$C$8"}</definedName>
    <definedName name="tyje">{"'용역비'!$A$4:$C$8"}</definedName>
    <definedName name="tyjet">{"'용역비'!$A$4:$C$8"}</definedName>
    <definedName name="tyu">{"'용역비'!$A$4:$C$8"}</definedName>
    <definedName name="T행">#REF!</definedName>
    <definedName name="U">{"'용역비'!$A$4:$C$8"}</definedName>
    <definedName name="ua" hidden="1">{#N/A,#N/A,FALSE,"Aging Summary";#N/A,#N/A,FALSE,"Ratio Analysis";#N/A,#N/A,FALSE,"Test 120 Day Accts";#N/A,#N/A,FALSE,"Tickmarks"}</definedName>
    <definedName name="ulo">{"'용역비'!$A$4:$C$8"}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SECURED_LOAN">#REF!</definedName>
    <definedName name="up" hidden="1">{#N/A,#N/A,FALSE,"지침";#N/A,#N/A,FALSE,"환경분석";#N/A,#N/A,FALSE,"Sheet16"}</definedName>
    <definedName name="UploadFile">[28]calendar!$E$69</definedName>
    <definedName name="usd_bank">#REF!</definedName>
    <definedName name="USD_BUDGET">OFFSET([35]RATE!$D$3,0,0,COUNTA([35]RATE!$D$1:$D$65536))</definedName>
    <definedName name="USD_FX_RATE">OFFSET([35]RATE!$C$3,0,0,COUNTA([35]RATE!$C$1:$C$65536))</definedName>
    <definedName name="USD_JPY">OFFSET([35]RATE!$G$3,0,0,COUNTA([35]RATE!$G$1:$G$65536))</definedName>
    <definedName name="UU">#REF!</definedName>
    <definedName name="uuu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uui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uuu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UWC">OFFSET([69]등록정보!$B$2,0,0,COUNTA([69]등록정보!$B$1:$B$65536)-1,1)</definedName>
    <definedName name="UWR">OFFSET([69]등록정보!$C$2,0,0,COUNTA([69]등록정보!$C$1:$C$65536)-1,1)</definedName>
    <definedName name="UYL" hidden="1">{#N/A,#N/A,FALSE,"단축1";#N/A,#N/A,FALSE,"단축2";#N/A,#N/A,FALSE,"단축3";#N/A,#N/A,FALSE,"장축";#N/A,#N/A,FALSE,"4WD"}</definedName>
    <definedName name="U행">#REF!</definedName>
    <definedName name="v" localSheetId="7" hidden="1">{#N/A,#N/A,FALSE,"Aging Summary";#N/A,#N/A,FALSE,"Ratio Analysis";#N/A,#N/A,FALSE,"Test 120 Day Accts";#N/A,#N/A,FALSE,"Tickmarks"}</definedName>
    <definedName name="v" localSheetId="8" hidden="1">{#N/A,#N/A,FALSE,"Aging Summary";#N/A,#N/A,FALSE,"Ratio Analysis";#N/A,#N/A,FALSE,"Test 120 Day Accts";#N/A,#N/A,FALSE,"Tickmarks"}</definedName>
    <definedName name="v" localSheetId="10" hidden="1">{#N/A,#N/A,FALSE,"Aging Summary";#N/A,#N/A,FALSE,"Ratio Analysis";#N/A,#N/A,FALSE,"Test 120 Day Accts";#N/A,#N/A,FALSE,"Tickmarks"}</definedName>
    <definedName name="v" localSheetId="9" hidden="1">{#N/A,#N/A,FALSE,"Aging Summary";#N/A,#N/A,FALSE,"Ratio Analysis";#N/A,#N/A,FALSE,"Test 120 Day Accts";#N/A,#N/A,FALSE,"Tickmarks"}</definedName>
    <definedName name="v" hidden="1">{#N/A,#N/A,FALSE,"BS";#N/A,#N/A,FALSE,"PL";#N/A,#N/A,FALSE,"처분";#N/A,#N/A,FALSE,"현금";#N/A,#N/A,FALSE,"매출";#N/A,#N/A,FALSE,"원가";#N/A,#N/A,FALSE,"경영"}</definedName>
    <definedName name="V1_">#N/A</definedName>
    <definedName name="VC" hidden="1">{#N/A,#N/A,FALSE,"을지 (4)";#N/A,#N/A,FALSE,"을지 (5)";#N/A,#N/A,FALSE,"을지 (6)"}</definedName>
    <definedName name="VMS_New_Name_v">#REF!</definedName>
    <definedName name="VMS_New_Price_a">#REF!</definedName>
    <definedName name="VMSQty">#REF!</definedName>
    <definedName name="VOC">#REF!</definedName>
    <definedName name="VOUCHER">#REF!</definedName>
    <definedName name="vvv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VXR_OC3_Pr">#REF!</definedName>
    <definedName name="VXR_Pr">#REF!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행">#REF!</definedName>
    <definedName name="w" hidden="1">[51]Æo°¡±aAØ!#REF!</definedName>
    <definedName name="WA">#N/A</definedName>
    <definedName name="wanbang">'[29]++++'!#REF!</definedName>
    <definedName name="wc">#REF!</definedName>
    <definedName name="WCa">#REF!</definedName>
    <definedName name="wdd" hidden="1">{#N/A,#N/A,FALSE,"BS";#N/A,#N/A,FALSE,"PL";#N/A,#N/A,FALSE,"처분";#N/A,#N/A,FALSE,"현금";#N/A,#N/A,FALSE,"매출";#N/A,#N/A,FALSE,"원가";#N/A,#N/A,FALSE,"경영"}</definedName>
    <definedName name="wddw" hidden="1">{#N/A,#N/A,FALSE,"지침";#N/A,#N/A,FALSE,"환경분석";#N/A,#N/A,FALSE,"Sheet16"}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hidden="1">{#N/A,#N/A,TRUE,"Y생산";#N/A,#N/A,TRUE,"Y판매";#N/A,#N/A,TRUE,"Y총물량";#N/A,#N/A,TRUE,"Y능력";#N/A,#N/A,TRUE,"YKD"}</definedName>
    <definedName name="weee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ef">[33]수율생산!#REF!</definedName>
    <definedName name="wegb">{1}</definedName>
    <definedName name="wekn">{1}</definedName>
    <definedName name="wer">#REF!</definedName>
    <definedName name="wern">{1}</definedName>
    <definedName name="wevg">{"Tusk"}</definedName>
    <definedName name="wevw">{"Tusk"}</definedName>
    <definedName name="wew">#REF!</definedName>
    <definedName name="wewdew" hidden="1">{#N/A,#N/A,FALSE,"UNIT";#N/A,#N/A,FALSE,"UNIT";#N/A,#N/A,FALSE,"계정"}</definedName>
    <definedName name="wewe">{"'4월수지'!$A$1:$AE$45"}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hat_are_the_special_arrangements_for_EBR__Belgium_?">#REF!</definedName>
    <definedName name="What_are_the_special_arrangements_for_EED__Germany_?">#REF!</definedName>
    <definedName name="What_are_the_special_arrangements_for_ETM__Netherlands_Holland_?">#REF!</definedName>
    <definedName name="What_do_I_do_if_the_course_required_is_not_in_the_course_list?">#REF!</definedName>
    <definedName name="What_is_the_purpose_of_the_Remote_Access_field_s_?">#REF!</definedName>
    <definedName name="What_numbers_should_I_use_in_the_instructor_expenses_section?">#REF!</definedName>
    <definedName name="What_revision_number_should_I_use?">#REF!</definedName>
    <definedName name="What_value_should_I_use_in_the_Travel_Days_field_s_?">#REF!</definedName>
    <definedName name="widebs">#REF!</definedName>
    <definedName name="WiLL_large">#REF!</definedName>
    <definedName name="WiLL_medium">#REF!</definedName>
    <definedName name="WiLL_small">#REF!</definedName>
    <definedName name="WJDW">{1}</definedName>
    <definedName name="WJRCL" hidden="1">{#N/A,#N/A,FALSE,"군산원가";#N/A,#N/A,FALSE,"팀별월별";#N/A,#N/A,FALSE,"타공정대체";#N/A,#N/A,FALSE,"기타경비";#N/A,#N/A,FALSE,"원료";#N/A,#N/A,FALSE,"연료"}</definedName>
    <definedName name="wk" localSheetId="7">BLCH</definedName>
    <definedName name="wk" localSheetId="10">BLCH</definedName>
    <definedName name="wk" localSheetId="9">BLCH</definedName>
    <definedName name="wk">BLCH</definedName>
    <definedName name="wkgk" hidden="1">{#N/A,#N/A,FALSE,"BS";#N/A,#N/A,FALSE,"PL";#N/A,#N/A,FALSE,"처분";#N/A,#N/A,FALSE,"현금";#N/A,#N/A,FALSE,"매출";#N/A,#N/A,FALSE,"원가";#N/A,#N/A,FALSE,"경영"}</definedName>
    <definedName name="wnkllwk">{"'Sheet1'!$A$1:$H$36"}</definedName>
    <definedName name="wnmklnj">{1}</definedName>
    <definedName name="wnwn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ORKDAY">#REF!</definedName>
    <definedName name="working_cap">#REF!</definedName>
    <definedName name="WPL" hidden="1">{#N/A,#N/A,FALSE,"BS";#N/A,#N/A,FALSE,"PL";#N/A,#N/A,FALSE,"처분";#N/A,#N/A,FALSE,"현금";#N/A,#N/A,FALSE,"매출";#N/A,#N/A,FALSE,"원가";#N/A,#N/A,FALSE,"경영"}</definedName>
    <definedName name="wqeq">{"'4월수지'!$A$1:$AE$45"}</definedName>
    <definedName name="wrab">{"Tusk"}</definedName>
    <definedName name="wrea">{1}</definedName>
    <definedName name="wrn" hidden="1">{#N/A,#N/A,FALSE,"단축1";#N/A,#N/A,FALSE,"단축2";#N/A,#N/A,FALSE,"단축3";#N/A,#N/A,FALSE,"장축";#N/A,#N/A,FALSE,"4WD"}</definedName>
    <definedName name="wrn.1" hidden="1">{#N/A,#N/A,FALSE,"2000";#N/A,#N/A,FALSE,"1999_1998"}</definedName>
    <definedName name="wrn.11." hidden="1">{#N/A,#N/A,FALSE,"해외크레임";#N/A,#N/A,FALSE,"ACCENT현황";#N/A,#N/A,FALSE,"AVANTE";#N/A,#N/A,FALSE,"SONATA(3)";#N/A,#N/A,FALSE,"국내크레임"}</definedName>
    <definedName name="wrn.1월제조원가.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wrn.2월제조원가.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wrn.345." hidden="1">{#N/A,#N/A,FALSE,"96 3월물량표";#N/A,#N/A,FALSE,"96 4월물량표";#N/A,#N/A,FALSE,"96 5월물량표"}</definedName>
    <definedName name="wrn.5월사장단회의." hidden="1">{#N/A,#N/A,FALSE,"9905";#N/A,#N/A,FALSE,"5누적";#N/A,#N/A,FALSE,"99년trim (2)";#N/A,#N/A,FALSE,"Loss1(5)";#N/A,#N/A,FALSE,"Yield(5)";#N/A,#N/A,FALSE,"Sheet2"}</definedName>
    <definedName name="wrn.96사업계획." hidden="1">{#N/A,#N/A,FALSE,"96자동차사 계획";#N/A,#N/A,FALSE,"96자동차사 계획"}</definedName>
    <definedName name="wrn.97." hidden="1">{#N/A,#N/A,FALSE,"지침";#N/A,#N/A,FALSE,"환경분석";#N/A,#N/A,FALSE,"Sheet16"}</definedName>
    <definedName name="wrn.aa." hidden="1">{#N/A,#N/A,FALSE,"UNIT";#N/A,#N/A,FALSE,"UNIT";#N/A,#N/A,FALSE,"계정"}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dj95." localSheetId="7" hidden="1">{"adj95mult",#N/A,FALSE,"COMPCO";"adj95est",#N/A,FALSE,"COMPCO"}</definedName>
    <definedName name="wrn.adj95." localSheetId="8" hidden="1">{"adj95mult",#N/A,FALSE,"COMPCO";"adj95est",#N/A,FALSE,"COMPCO"}</definedName>
    <definedName name="wrn.adj95." localSheetId="10" hidden="1">{"adj95mult",#N/A,FALSE,"COMPCO";"adj95est",#N/A,FALSE,"COMPCO"}</definedName>
    <definedName name="wrn.adj95." localSheetId="9" hidden="1">{"adj95mult",#N/A,FALSE,"COMPCO";"adj95est",#N/A,FALSE,"COMPCO"}</definedName>
    <definedName name="wrn.adj95." hidden="1">{"adj95mult",#N/A,FALSE,"COMPCO";"adj95est",#N/A,FALSE,"COMPCO"}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0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sdjk" hidden="1">{"adj95mult",#N/A,FALSE,"COMPCO";"adj95est",#N/A,FALSE,"COMPCO"}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CALL._.SUCCESS._.RATE." hidden="1">{#N/A,#N/A,TRUE,"TOTALS";#N/A,#N/A,TRUE,"ROUTES"}</definedName>
    <definedName name="wrn.CASH." hidden="1">{#N/A,#N/A,FALSE,"Sheet5"}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OLLECTION._.HISTORY._.REPORT." hidden="1">{#N/A,#N/A,FALSE,"COL-HIS"}</definedName>
    <definedName name="wrn.compco." localSheetId="7" hidden="1">{"mult96",#N/A,FALSE,"PETCOMP";"est96",#N/A,FALSE,"PETCOMP";"mult95",#N/A,FALSE,"PETCOMP";"est95",#N/A,FALSE,"PETCOMP";"multltm",#N/A,FALSE,"PETCOMP";"resultltm",#N/A,FALSE,"PETCOMP"}</definedName>
    <definedName name="wrn.compco." localSheetId="8" hidden="1">{"mult96",#N/A,FALSE,"PETCOMP";"est96",#N/A,FALSE,"PETCOMP";"mult95",#N/A,FALSE,"PETCOMP";"est95",#N/A,FALSE,"PETCOMP";"multltm",#N/A,FALSE,"PETCOMP";"resultltm",#N/A,FALSE,"PETCOMP"}</definedName>
    <definedName name="wrn.compco." localSheetId="10" hidden="1">{"mult96",#N/A,FALSE,"PETCOMP";"est96",#N/A,FALSE,"PETCOMP";"mult95",#N/A,FALSE,"PETCOMP";"est95",#N/A,FALSE,"PETCOMP";"multltm",#N/A,FALSE,"PETCOMP";"resultltm",#N/A,FALSE,"PETCOMP"}</definedName>
    <definedName name="wrn.compco." localSheetId="9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SA._.FS._.국문." localSheetId="7" hidden="1">{#N/A,#N/A,FALSE,"BS";#N/A,#N/A,FALSE,"PL";#N/A,#N/A,FALSE,"처분";#N/A,#N/A,FALSE,"현금";#N/A,#N/A,FALSE,"매출";#N/A,#N/A,FALSE,"원가";#N/A,#N/A,FALSE,"경영"}</definedName>
    <definedName name="wrn.COSA._.FS._.국문." localSheetId="8" hidden="1">{#N/A,#N/A,FALSE,"BS";#N/A,#N/A,FALSE,"PL";#N/A,#N/A,FALSE,"처분";#N/A,#N/A,FALSE,"현금";#N/A,#N/A,FALSE,"매출";#N/A,#N/A,FALSE,"원가";#N/A,#N/A,FALSE,"경영"}</definedName>
    <definedName name="wrn.COSA._.FS._.국문." localSheetId="10" hidden="1">{#N/A,#N/A,FALSE,"BS";#N/A,#N/A,FALSE,"PL";#N/A,#N/A,FALSE,"처분";#N/A,#N/A,FALSE,"현금";#N/A,#N/A,FALSE,"매출";#N/A,#N/A,FALSE,"원가";#N/A,#N/A,FALSE,"경영"}</definedName>
    <definedName name="wrn.COSA._.FS._.국문." localSheetId="9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Economic._.Value._.Added._.Analysis." localSheetId="7" hidden="1">{"EVA",#N/A,FALSE,"EVA";"WACC",#N/A,FALSE,"WACC"}</definedName>
    <definedName name="wrn.Economic._.Value._.Added._.Analysis." localSheetId="8" hidden="1">{"EVA",#N/A,FALSE,"EVA";"WACC",#N/A,FALSE,"WACC"}</definedName>
    <definedName name="wrn.Economic._.Value._.Added._.Analysis." localSheetId="10" hidden="1">{"EVA",#N/A,FALSE,"EVA";"WACC",#N/A,FALSE,"WACC"}</definedName>
    <definedName name="wrn.Economic._.Value._.Added._.Analysis." localSheetId="9" hidden="1">{"EVA",#N/A,FALSE,"EVA";"WACC",#N/A,FALSE,"WACC"}</definedName>
    <definedName name="wrn.Economic._.Value._.Added._.Analysis." hidden="1">{"EVA",#N/A,FALSE,"EVA";"WACC",#N/A,FALSE,"WACC"}</definedName>
    <definedName name="wrn.exco." hidden="1">{#N/A,#N/A,FALSE,"Yield";#N/A,#N/A,FALSE,"Loss1";#N/A,#N/A,FALSE,"Loss2";#N/A,#N/A,FALSE,"Hour-Labor(배분)";#N/A,#N/A,FALSE,"Capital Expenditure";#N/A,#N/A,FALSE,"Productivity"}</definedName>
    <definedName name="wrn.EXCO1월loss현황분석자료." hidden="1">{#N/A,#N/A,FALSE,"98소지이동TOTvs99.1 (2)";#N/A,#N/A,FALSE,"TOTAL";#N/A,#N/A,FALSE,"98소지이동TOTvs99.1(b) (2)"}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localSheetId="7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8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1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9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oa">{"DCF","UPSIDE CASE",FALSE,"Sheet1";"DCF","BASE CASE",FALSE,"Sheet1";"DCF","DOWNSIDE CASE",FALSE,"Sheet1"}</definedName>
    <definedName name="wrn.Oas">{"DCF","UPSIDE CASE",FALSE,"Sheet1";"DCF","BASE CASE",FALSE,"Sheet1";"DCF","DOWNSIDE CASE",FALSE,"Sheet1"}</definedName>
    <definedName name="wrn.OUTPUT." localSheetId="7" hidden="1">{"DCF","UPSIDE CASE",FALSE,"Sheet1";"DCF","BASE CASE",FALSE,"Sheet1";"DCF","DOWNSIDE CASE",FALSE,"Sheet1"}</definedName>
    <definedName name="wrn.OUTPUT." localSheetId="8" hidden="1">{"DCF","UPSIDE CASE",FALSE,"Sheet1";"DCF","BASE CASE",FALSE,"Sheet1";"DCF","DOWNSIDE CASE",FALSE,"Sheet1"}</definedName>
    <definedName name="wrn.OUTPUT." localSheetId="10" hidden="1">{"DCF","UPSIDE CASE",FALSE,"Sheet1";"DCF","BASE CASE",FALSE,"Sheet1";"DCF","DOWNSIDE CASE",FALSE,"Sheet1"}</definedName>
    <definedName name="wrn.OUTPUT." localSheetId="9" hidden="1">{"DCF","UPSIDE CASE",FALSE,"Sheet1";"DCF","BASE CASE",FALSE,"Sheet1";"DCF","DOWNSIDE CASE",FALSE,"Sheet1"}</definedName>
    <definedName name="wrn.OUTPUT.">{"DCF","UPSIDE CASE",FALSE,"Sheet1";"DCF","BASE CASE",FALSE,"Sheet1";"DCF","DOWNSIDE CASE",FALSE,"Sheet1"}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l." hidden="1">{#N/A,#N/A,FALSE,"9612";#N/A,#N/A,FALSE,"9612"}</definedName>
    <definedName name="wrn.Plan._.Europe._.pdts._.transparents." hidden="1">{#N/A,#N/A,FALSE,"TRANSP2";#N/A,#N/A,FALSE,"VISOL2";#N/A,#N/A,FALSE,"ITR2";#N/A,#N/A,FALSE,"CSOL2";#N/A,#N/A,FALSE,"FEUILLETE2";#N/A,#N/A,FALSE,"TRMP2";#N/A,#N/A,FALSE,"ARG2";#N/A,#N/A,FALSE,"VIMP2"}</definedName>
    <definedName name="wrn.Planone." hidden="1">{#N/A,#N/A,FALSE,"TRANSP1";#N/A,#N/A,FALSE,"VISOL1";#N/A,#N/A,FALSE,"ITR1";#N/A,#N/A,FALSE,"CSOL1";#N/A,#N/A,FALSE,"FEUILLETE1";#N/A,#N/A,FALSE,"TRMP1";#N/A,#N/A,FALSE,"ARG1";#N/A,#N/A,FALSE,"VIMP1"}</definedName>
    <definedName name="wrn.PrintAll." hidden="1">{#N/A,#N/A,TRUE,"Summary";#N/A,#N/A,TRUE,"IS";#N/A,#N/A,TRUE,"Adj";#N/A,#N/A,TRUE,"BS";#N/A,#N/A,TRUE,"CF";#N/A,#N/A,TRUE,"Debt";#N/A,#N/A,TRUE,"IRR"}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ummaryReport." hidden="1">{"Header",#N/A,TRUE,"Summary";"ProjectInfo",#N/A,TRUE,"Total Value"}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xkdslkjfjaksla" hidden="1">{"EVA",#N/A,FALSE,"EVA";"WACC",#N/A,FALSE,"WACC"}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hidden="1">{#N/A,#N/A,FALSE,"buildings"}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급여인상안." hidden="1">{#N/A,#N/A,FALSE,"계약직(여)"}</definedName>
    <definedName name="wrn.기술료._.비교." hidden="1">{#N/A,#N/A,FALSE,"기술료 비교"}</definedName>
    <definedName name="wrn.불량금액." hidden="1">{#N/A,#N/A,FALSE,"9612"}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에실대비.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wrn.예실대비.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추정." hidden="1">{#N/A,#N/A,FALSE,"월추정감가상각비";#N/A,#N/A,FALSE,"main_prog"}</definedName>
    <definedName name="wrn.자재코드집." hidden="1">{#N/A,#N/A,FALSE,"Sheet1"}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전부인쇄." hidden="1">{#N/A,#N/A,FALSE,"단축1";#N/A,#N/A,FALSE,"단축2";#N/A,#N/A,FALSE,"단축3";#N/A,#N/A,FALSE,"장축";#N/A,#N/A,FALSE,"4WD"}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제조원가." hidden="1">{#N/A,#N/A,FALSE,"9612"}</definedName>
    <definedName name="wrn.제품수불." hidden="1">{#N/A,#N/A,FALSE,"9612"}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채권채무조회서." hidden="1">{#N/A,#N/A,FALSE,"채권채무";#N/A,#N/A,FALSE,"control sheet"}</definedName>
    <definedName name="wrn.총괄._.수정." localSheetId="7" hidden="1">{#N/A,#N/A,FALSE,"총괄수정"}</definedName>
    <definedName name="wrn.총괄._.수정." localSheetId="8" hidden="1">{#N/A,#N/A,FALSE,"총괄수정"}</definedName>
    <definedName name="wrn.총괄._.수정." localSheetId="10" hidden="1">{#N/A,#N/A,FALSE,"총괄수정"}</definedName>
    <definedName name="wrn.총괄._.수정." localSheetId="9" hidden="1">{#N/A,#N/A,FALSE,"총괄수정"}</definedName>
    <definedName name="wrn.총괄._.수정." hidden="1">{#N/A,#N/A,FALSE,"총괄수정"}</definedName>
    <definedName name="wrn.총괄kd선적계획." hidden="1">{#N/A,#N/A,FALSE,"총괄KD선적계획"}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항강판." hidden="1">{"현수",#N/A,FALSE,"월추정감가상각비"}</definedName>
    <definedName name="wrn.함영민." hidden="1">{#N/A,#N/A,FALSE,"범우구미";#N/A,#N/A,FALSE,"세한케미칼";#N/A,#N/A,FALSE,"세명화학";#N/A,#N/A,FALSE,"신영케미칼";#N/A,#N/A,FALSE,"일석상사"}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rn.회선임차현황." hidden="1">{#N/A,#N/A,FALSE,"회선임차현황"}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ty">{"'용역비'!$A$4:$C$8"}</definedName>
    <definedName name="wrtyrtyrt">{"'용역비'!$A$4:$C$8"}</definedName>
    <definedName name="wrtywrtywr">{"'용역비'!$A$4:$C$8"}</definedName>
    <definedName name="wuy">{"'용역비'!$A$4:$C$8"}</definedName>
    <definedName name="wvu.시간대별예약.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WW">#REF!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w" hidden="1">{#N/A,#N/A,FALSE,"UNIT";#N/A,#N/A,FALSE,"UNIT";#N/A,#N/A,FALSE,"계정"}</definedName>
    <definedName name="wwww" hidden="1">{#N/A,#N/A,FALSE,"기술료 비교"}</definedName>
    <definedName name="wwwww" hidden="1">{#N/A,#N/A,FALSE,"UNIT";#N/A,#N/A,FALSE,"UNIT";#N/A,#N/A,FALSE,"계정"}</definedName>
    <definedName name="wwwwww" hidden="1">{#N/A,#N/A,FALSE,"UNIT";#N/A,#N/A,FALSE,"UNIT";#N/A,#N/A,FALSE,"계정"}</definedName>
    <definedName name="wwwwwww" hidden="1">{#N/A,#N/A,FALSE,"UNIT";#N/A,#N/A,FALSE,"UNIT";#N/A,#N/A,FALSE,"계정"}</definedName>
    <definedName name="wwwwwwww" hidden="1">{#N/A,#N/A,FALSE,"UNIT";#N/A,#N/A,FALSE,"UNIT";#N/A,#N/A,FALSE,"계정"}</definedName>
    <definedName name="wwwwwwwwdw" hidden="1">{#N/A,#N/A,FALSE,"UNIT";#N/A,#N/A,FALSE,"UNIT";#N/A,#N/A,FALSE,"계정"}</definedName>
    <definedName name="wwwwwwwww" hidden="1">{#N/A,#N/A,FALSE,"UNIT";#N/A,#N/A,FALSE,"UNIT";#N/A,#N/A,FALSE,"계정"}</definedName>
    <definedName name="wwwwwwwwwwww" hidden="1">{#N/A,#N/A,FALSE,"UNIT";#N/A,#N/A,FALSE,"UNIT";#N/A,#N/A,FALSE,"계정"}</definedName>
    <definedName name="wwwwwwwwwwwwwww" hidden="1">{#N/A,#N/A,FALSE,"UNIT";#N/A,#N/A,FALSE,"UNIT";#N/A,#N/A,FALSE,"계정"}</definedName>
    <definedName name="wxy" hidden="1">{#N/A,#N/A,FALSE,"단축1";#N/A,#N/A,FALSE,"단축2";#N/A,#N/A,FALSE,"단축3";#N/A,#N/A,FALSE,"장축";#N/A,#N/A,FALSE,"4WD"}</definedName>
    <definedName name="W행">#REF!</definedName>
    <definedName name="x" localSheetId="7" hidden="1">{#N/A,#N/A,FALSE,"Aging Summary";#N/A,#N/A,FALSE,"Ratio Analysis";#N/A,#N/A,FALSE,"Test 120 Day Accts";#N/A,#N/A,FALSE,"Tickmarks"}</definedName>
    <definedName name="x" localSheetId="8" hidden="1">{#N/A,#N/A,FALSE,"Aging Summary";#N/A,#N/A,FALSE,"Ratio Analysis";#N/A,#N/A,FALSE,"Test 120 Day Accts";#N/A,#N/A,FALSE,"Tickmarks"}</definedName>
    <definedName name="x" localSheetId="10" hidden="1">{#N/A,#N/A,FALSE,"Aging Summary";#N/A,#N/A,FALSE,"Ratio Analysis";#N/A,#N/A,FALSE,"Test 120 Day Accts";#N/A,#N/A,FALSE,"Tickmarks"}</definedName>
    <definedName name="x" localSheetId="9" hidden="1">{#N/A,#N/A,FALSE,"Aging Summary";#N/A,#N/A,FALSE,"Ratio Analysis";#N/A,#N/A,FALSE,"Test 120 Day Accts";#N/A,#N/A,FALSE,"Tickmarks"}</definedName>
    <definedName name="X">'[96]비품(94이전)'!#REF!</definedName>
    <definedName name="xc_pc">#REF!</definedName>
    <definedName name="xc_price">#REF!</definedName>
    <definedName name="xd품확일정" hidden="1">{#N/A,#N/A,FALSE,"단축1";#N/A,#N/A,FALSE,"단축2";#N/A,#N/A,FALSE,"단축3";#N/A,#N/A,FALSE,"장축";#N/A,#N/A,FALSE,"4WD"}</definedName>
    <definedName name="XIII._당기순이익">[97]한세A4PL!#REF!</definedName>
    <definedName name="XREF_COLUMN_1" localSheetId="7" hidden="1">#REF!</definedName>
    <definedName name="XREF_COLUMN_1" localSheetId="8" hidden="1">#REF!</definedName>
    <definedName name="XREF_COLUMN_1" localSheetId="10" hidden="1">#REF!</definedName>
    <definedName name="XREF_COLUMN_1" localSheetId="9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localSheetId="7" hidden="1">#REF!</definedName>
    <definedName name="XREF_COLUMN_14" localSheetId="8" hidden="1">#REF!</definedName>
    <definedName name="XREF_COLUMN_14" localSheetId="10" hidden="1">#REF!</definedName>
    <definedName name="XREF_COLUMN_14" localSheetId="9" hidden="1">#REF!</definedName>
    <definedName name="XREF_COLUMN_14" hidden="1">[98]공사미수금!$K$1:$K$65536</definedName>
    <definedName name="XREF_COLUMN_15" localSheetId="7" hidden="1">#REF!</definedName>
    <definedName name="XREF_COLUMN_15" localSheetId="8" hidden="1">#REF!</definedName>
    <definedName name="XREF_COLUMN_15" localSheetId="10" hidden="1">#REF!</definedName>
    <definedName name="XREF_COLUMN_15" localSheetId="9" hidden="1">#REF!</definedName>
    <definedName name="XREF_COLUMN_15" hidden="1">#REF!</definedName>
    <definedName name="XREF_COLUMN_16" hidden="1">#REF!</definedName>
    <definedName name="XREF_COLUMN_17" hidden="1">[99]용역비!$F$1:$F$65536</definedName>
    <definedName name="XREF_COLUMN_18" hidden="1">#REF!</definedName>
    <definedName name="XREF_COLUMN_19" hidden="1">'[100]8340'!#REF!</definedName>
    <definedName name="XREF_COLUMN_2" localSheetId="7" hidden="1">[101]F3!#REF!</definedName>
    <definedName name="XREF_COLUMN_2" localSheetId="8" hidden="1">[101]F3!#REF!</definedName>
    <definedName name="XREF_COLUMN_2" localSheetId="10" hidden="1">[101]F3!#REF!</definedName>
    <definedName name="XREF_COLUMN_2" localSheetId="9" hidden="1">[101]F3!#REF!</definedName>
    <definedName name="XREF_COLUMN_2" hidden="1">#REF!</definedName>
    <definedName name="XREF_COLUMN_22" hidden="1">#REF!</definedName>
    <definedName name="XREF_COLUMN_3" localSheetId="7" hidden="1">[101]F12!#REF!</definedName>
    <definedName name="XREF_COLUMN_3" localSheetId="8" hidden="1">[101]F12!#REF!</definedName>
    <definedName name="XREF_COLUMN_3" localSheetId="10" hidden="1">[101]F12!#REF!</definedName>
    <definedName name="XREF_COLUMN_3" localSheetId="9" hidden="1">[101]F12!#REF!</definedName>
    <definedName name="XREF_COLUMN_3" hidden="1">#REF!</definedName>
    <definedName name="XREF_COLUMN_4" localSheetId="7" hidden="1">[101]F3!#REF!</definedName>
    <definedName name="XREF_COLUMN_4" localSheetId="8" hidden="1">[101]F3!#REF!</definedName>
    <definedName name="XREF_COLUMN_4" localSheetId="10" hidden="1">[101]F3!#REF!</definedName>
    <definedName name="XREF_COLUMN_4" localSheetId="9" hidden="1">[101]F3!#REF!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localSheetId="7" hidden="1">#REF!</definedName>
    <definedName name="XRefActiveRow" localSheetId="8" hidden="1">#REF!</definedName>
    <definedName name="XRefActiveRow" localSheetId="10" hidden="1">#REF!</definedName>
    <definedName name="XRefActiveRow" localSheetId="9" hidden="1">#REF!</definedName>
    <definedName name="XRefActiveRow" hidden="1">#REF!</definedName>
    <definedName name="XRefColumnsCount" localSheetId="7" hidden="1">1</definedName>
    <definedName name="XRefColumnsCount" localSheetId="8" hidden="1">1</definedName>
    <definedName name="XRefColumnsCount" localSheetId="10" hidden="1">1</definedName>
    <definedName name="XRefColumnsCount" localSheetId="9" hidden="1">1</definedName>
    <definedName name="XRefColumnsCount" hidden="1">18</definedName>
    <definedName name="XRefCopy1" localSheetId="7" hidden="1">#REF!</definedName>
    <definedName name="XRefCopy1" localSheetId="8" hidden="1">#REF!</definedName>
    <definedName name="XRefCopy1" localSheetId="10" hidden="1">#REF!</definedName>
    <definedName name="XRefCopy1" localSheetId="9" hidden="1">#REF!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[102]XREF!#REF!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localSheetId="7" hidden="1">[101]F3!#REF!</definedName>
    <definedName name="XRefCopy17" localSheetId="8" hidden="1">[101]F3!#REF!</definedName>
    <definedName name="XRefCopy17" localSheetId="10" hidden="1">[101]F3!#REF!</definedName>
    <definedName name="XRefCopy17" localSheetId="9" hidden="1">[101]F3!#REF!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localSheetId="7" hidden="1">#REF!</definedName>
    <definedName name="XRefCopy1Row" localSheetId="8" hidden="1">#REF!</definedName>
    <definedName name="XRefCopy1Row" localSheetId="10" hidden="1">#REF!</definedName>
    <definedName name="XRefCopy1Row" localSheetId="9" hidden="1">#REF!</definedName>
    <definedName name="XRefCopy1Row" hidden="1">#REF!</definedName>
    <definedName name="XRefCopy2" localSheetId="7" hidden="1">#REF!</definedName>
    <definedName name="XRefCopy2" localSheetId="8" hidden="1">#REF!</definedName>
    <definedName name="XRefCopy2" localSheetId="10" hidden="1">#REF!</definedName>
    <definedName name="XRefCopy2" localSheetId="9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localSheetId="7" hidden="1">#REF!</definedName>
    <definedName name="XRefCopy24" localSheetId="8" hidden="1">#REF!</definedName>
    <definedName name="XRefCopy24" localSheetId="10" hidden="1">#REF!</definedName>
    <definedName name="XRefCopy24" localSheetId="9" hidden="1">#REF!</definedName>
    <definedName name="XRefCopy24" hidden="1">#REF!</definedName>
    <definedName name="XRefCopy24Row" hidden="1">#REF!</definedName>
    <definedName name="XRefCopy25" localSheetId="7" hidden="1">#REF!</definedName>
    <definedName name="XRefCopy25" localSheetId="8" hidden="1">#REF!</definedName>
    <definedName name="XRefCopy25" localSheetId="10" hidden="1">#REF!</definedName>
    <definedName name="XRefCopy25" localSheetId="9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localSheetId="7" hidden="1">#REF!</definedName>
    <definedName name="XRefCopy2Row" localSheetId="8" hidden="1">#REF!</definedName>
    <definedName name="XRefCopy2Row" localSheetId="10" hidden="1">#REF!</definedName>
    <definedName name="XRefCopy2Row" localSheetId="9" hidden="1">#REF!</definedName>
    <definedName name="XRefCopy2Row" hidden="1">#REF!</definedName>
    <definedName name="XRefCopy3" localSheetId="7" hidden="1">#REF!</definedName>
    <definedName name="XRefCopy3" localSheetId="8" hidden="1">#REF!</definedName>
    <definedName name="XRefCopy3" localSheetId="10" hidden="1">#REF!</definedName>
    <definedName name="XRefCopy3" localSheetId="9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localSheetId="7" hidden="1">#REF!</definedName>
    <definedName name="XRefCopy3Row" localSheetId="8" hidden="1">#REF!</definedName>
    <definedName name="XRefCopy3Row" localSheetId="10" hidden="1">#REF!</definedName>
    <definedName name="XRefCopy3Row" localSheetId="9" hidden="1">#REF!</definedName>
    <definedName name="XRefCopy3Row" hidden="1">#REF!</definedName>
    <definedName name="XRefCopy4" localSheetId="7" hidden="1">#REF!</definedName>
    <definedName name="XRefCopy4" localSheetId="8" hidden="1">#REF!</definedName>
    <definedName name="XRefCopy4" localSheetId="10" hidden="1">#REF!</definedName>
    <definedName name="XRefCopy4" localSheetId="9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8" hidden="1">[103]무형!#REF!</definedName>
    <definedName name="XRefCopy48Row" hidden="1">[104]XREF!#REF!</definedName>
    <definedName name="XRefCopy49" hidden="1">[103]무형!#REF!</definedName>
    <definedName name="XRefCopy4Row" hidden="1">#REF!</definedName>
    <definedName name="XRefCopy5" localSheetId="7" hidden="1">#REF!</definedName>
    <definedName name="XRefCopy5" localSheetId="8" hidden="1">#REF!</definedName>
    <definedName name="XRefCopy5" localSheetId="10" hidden="1">#REF!</definedName>
    <definedName name="XRefCopy5" localSheetId="9" hidden="1">#REF!</definedName>
    <definedName name="XRefCopy5" hidden="1">#REF!</definedName>
    <definedName name="XRefCopy5Row" hidden="1">#REF!</definedName>
    <definedName name="XRefCopy6" localSheetId="7" hidden="1">#REF!</definedName>
    <definedName name="XRefCopy6" localSheetId="8" hidden="1">#REF!</definedName>
    <definedName name="XRefCopy6" localSheetId="10" hidden="1">#REF!</definedName>
    <definedName name="XRefCopy6" localSheetId="9" hidden="1">#REF!</definedName>
    <definedName name="XRefCopy6" hidden="1">#REF!</definedName>
    <definedName name="XRefCopy6Row" localSheetId="7" hidden="1">#REF!</definedName>
    <definedName name="XRefCopy6Row" localSheetId="8" hidden="1">#REF!</definedName>
    <definedName name="XRefCopy6Row" localSheetId="10" hidden="1">#REF!</definedName>
    <definedName name="XRefCopy6Row" localSheetId="9" hidden="1">#REF!</definedName>
    <definedName name="XRefCopy6Row" hidden="1">#REF!</definedName>
    <definedName name="XRefCopy7" localSheetId="7" hidden="1">#REF!</definedName>
    <definedName name="XRefCopy7" localSheetId="8" hidden="1">#REF!</definedName>
    <definedName name="XRefCopy7" localSheetId="10" hidden="1">#REF!</definedName>
    <definedName name="XRefCopy7" localSheetId="9" hidden="1">#REF!</definedName>
    <definedName name="XRefCopy7" hidden="1">#REF!</definedName>
    <definedName name="XRefCopy7Row" hidden="1">#REF!</definedName>
    <definedName name="XRefCopy8" localSheetId="7" hidden="1">#REF!</definedName>
    <definedName name="XRefCopy8" localSheetId="8" hidden="1">#REF!</definedName>
    <definedName name="XRefCopy8" localSheetId="10" hidden="1">#REF!</definedName>
    <definedName name="XRefCopy8" localSheetId="9" hidden="1">#REF!</definedName>
    <definedName name="XRefCopy8" hidden="1">#REF!</definedName>
    <definedName name="XRefCopy8Row" localSheetId="7" hidden="1">#REF!</definedName>
    <definedName name="XRefCopy8Row" localSheetId="8" hidden="1">#REF!</definedName>
    <definedName name="XRefCopy8Row" localSheetId="10" hidden="1">#REF!</definedName>
    <definedName name="XRefCopy8Row" localSheetId="9" hidden="1">#REF!</definedName>
    <definedName name="XRefCopy8Row" hidden="1">#REF!</definedName>
    <definedName name="XRefCopy9" localSheetId="7" hidden="1">#REF!</definedName>
    <definedName name="XRefCopy9" localSheetId="8" hidden="1">#REF!</definedName>
    <definedName name="XRefCopy9" localSheetId="10" hidden="1">#REF!</definedName>
    <definedName name="XRefCopy9" localSheetId="9" hidden="1">#REF!</definedName>
    <definedName name="XRefCopy9" hidden="1">#REF!</definedName>
    <definedName name="XRefCopy9Row" hidden="1">#REF!</definedName>
    <definedName name="XRefCopyRangeCount" localSheetId="7" hidden="1">3</definedName>
    <definedName name="XRefCopyRangeCount" localSheetId="8" hidden="1">3</definedName>
    <definedName name="XRefCopyRangeCount" localSheetId="10" hidden="1">3</definedName>
    <definedName name="XRefCopyRangeCount" localSheetId="9" hidden="1">3</definedName>
    <definedName name="XRefCopyRangeCount" hidden="1">65</definedName>
    <definedName name="XRefPaste1" localSheetId="7" hidden="1">#REF!</definedName>
    <definedName name="XRefPaste1" localSheetId="8" hidden="1">#REF!</definedName>
    <definedName name="XRefPaste1" localSheetId="10" hidden="1">#REF!</definedName>
    <definedName name="XRefPaste1" localSheetId="9" hidden="1">#REF!</definedName>
    <definedName name="XRefPaste1" hidden="1">#REF!</definedName>
    <definedName name="XRefPaste10" localSheetId="7" hidden="1">[101]F12!#REF!</definedName>
    <definedName name="XRefPaste10" localSheetId="8" hidden="1">[101]F12!#REF!</definedName>
    <definedName name="XRefPaste10" localSheetId="10" hidden="1">[101]F12!#REF!</definedName>
    <definedName name="XRefPaste10" localSheetId="9" hidden="1">[101]F12!#REF!</definedName>
    <definedName name="XRefPaste10" hidden="1">#REF!</definedName>
    <definedName name="XRefPaste104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localSheetId="7" hidden="1">[101]XREF!#REF!</definedName>
    <definedName name="XRefPaste10Row" localSheetId="8" hidden="1">[101]XREF!#REF!</definedName>
    <definedName name="XRefPaste10Row" localSheetId="10" hidden="1">[101]XREF!#REF!</definedName>
    <definedName name="XRefPaste10Row" localSheetId="9" hidden="1">[101]XREF!#REF!</definedName>
    <definedName name="XRefPaste10Row" hidden="1">#REF!</definedName>
    <definedName name="XRefPaste11" localSheetId="7" hidden="1">#REF!</definedName>
    <definedName name="XRefPaste11" localSheetId="8" hidden="1">#REF!</definedName>
    <definedName name="XRefPaste11" localSheetId="10" hidden="1">#REF!</definedName>
    <definedName name="XRefPaste11" localSheetId="9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localSheetId="7" hidden="1">#REF!</definedName>
    <definedName name="XRefPaste11Row" localSheetId="8" hidden="1">#REF!</definedName>
    <definedName name="XRefPaste11Row" localSheetId="10" hidden="1">#REF!</definedName>
    <definedName name="XRefPaste11Row" localSheetId="9" hidden="1">#REF!</definedName>
    <definedName name="XRefPaste11Row" hidden="1">#REF!</definedName>
    <definedName name="XRefPaste12" localSheetId="7" hidden="1">#REF!</definedName>
    <definedName name="XRefPaste12" localSheetId="8" hidden="1">#REF!</definedName>
    <definedName name="XRefPaste12" localSheetId="10" hidden="1">#REF!</definedName>
    <definedName name="XRefPaste12" localSheetId="9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Row" localSheetId="7" hidden="1">#REF!</definedName>
    <definedName name="XRefPaste12Row" localSheetId="8" hidden="1">#REF!</definedName>
    <definedName name="XRefPaste12Row" localSheetId="10" hidden="1">#REF!</definedName>
    <definedName name="XRefPaste12Row" localSheetId="9" hidden="1">#REF!</definedName>
    <definedName name="XRefPaste12Row" hidden="1">#REF!</definedName>
    <definedName name="XRefPaste13" localSheetId="7" hidden="1">#REF!</definedName>
    <definedName name="XRefPaste13" localSheetId="8" hidden="1">#REF!</definedName>
    <definedName name="XRefPaste13" localSheetId="10" hidden="1">#REF!</definedName>
    <definedName name="XRefPaste13" localSheetId="9" hidden="1">#REF!</definedName>
    <definedName name="XRefPaste13" hidden="1">#REF!</definedName>
    <definedName name="XRefPaste13Row" localSheetId="7" hidden="1">#REF!</definedName>
    <definedName name="XRefPaste13Row" localSheetId="8" hidden="1">#REF!</definedName>
    <definedName name="XRefPaste13Row" localSheetId="10" hidden="1">#REF!</definedName>
    <definedName name="XRefPaste13Row" localSheetId="9" hidden="1">#REF!</definedName>
    <definedName name="XRefPaste13Row" hidden="1">#REF!</definedName>
    <definedName name="XRefPaste14" localSheetId="7" hidden="1">#REF!</definedName>
    <definedName name="XRefPaste14" localSheetId="8" hidden="1">#REF!</definedName>
    <definedName name="XRefPaste14" localSheetId="10" hidden="1">#REF!</definedName>
    <definedName name="XRefPaste14" localSheetId="9" hidden="1">#REF!</definedName>
    <definedName name="XRefPaste14" hidden="1">#REF!</definedName>
    <definedName name="XRefPaste14Row" localSheetId="7" hidden="1">#REF!</definedName>
    <definedName name="XRefPaste14Row" localSheetId="8" hidden="1">#REF!</definedName>
    <definedName name="XRefPaste14Row" localSheetId="10" hidden="1">#REF!</definedName>
    <definedName name="XRefPaste14Row" localSheetId="9" hidden="1">#REF!</definedName>
    <definedName name="XRefPaste14Row" hidden="1">#REF!</definedName>
    <definedName name="XRefPaste15" localSheetId="7" hidden="1">#REF!</definedName>
    <definedName name="XRefPaste15" localSheetId="8" hidden="1">#REF!</definedName>
    <definedName name="XRefPaste15" localSheetId="10" hidden="1">#REF!</definedName>
    <definedName name="XRefPaste15" localSheetId="9" hidden="1">#REF!</definedName>
    <definedName name="XRefPaste15" hidden="1">#REF!</definedName>
    <definedName name="XRefPaste15Row" localSheetId="7" hidden="1">#REF!</definedName>
    <definedName name="XRefPaste15Row" localSheetId="8" hidden="1">#REF!</definedName>
    <definedName name="XRefPaste15Row" localSheetId="10" hidden="1">#REF!</definedName>
    <definedName name="XRefPaste15Row" localSheetId="9" hidden="1">#REF!</definedName>
    <definedName name="XRefPaste15Row" hidden="1">#REF!</definedName>
    <definedName name="XRefPaste16" localSheetId="7" hidden="1">#REF!</definedName>
    <definedName name="XRefPaste16" localSheetId="8" hidden="1">#REF!</definedName>
    <definedName name="XRefPaste16" localSheetId="10" hidden="1">#REF!</definedName>
    <definedName name="XRefPaste16" localSheetId="9" hidden="1">#REF!</definedName>
    <definedName name="XRefPaste16" hidden="1">#REF!</definedName>
    <definedName name="XRefPaste16Row" localSheetId="7" hidden="1">#REF!</definedName>
    <definedName name="XRefPaste16Row" localSheetId="8" hidden="1">#REF!</definedName>
    <definedName name="XRefPaste16Row" localSheetId="10" hidden="1">#REF!</definedName>
    <definedName name="XRefPaste16Row" localSheetId="9" hidden="1">#REF!</definedName>
    <definedName name="XRefPaste16Row" hidden="1">#REF!</definedName>
    <definedName name="XRefPaste17" localSheetId="7" hidden="1">#REF!</definedName>
    <definedName name="XRefPaste17" localSheetId="8" hidden="1">#REF!</definedName>
    <definedName name="XRefPaste17" localSheetId="10" hidden="1">#REF!</definedName>
    <definedName name="XRefPaste17" localSheetId="9" hidden="1">#REF!</definedName>
    <definedName name="XRefPaste17" hidden="1">#REF!</definedName>
    <definedName name="XRefPaste17Row" localSheetId="7" hidden="1">#REF!</definedName>
    <definedName name="XRefPaste17Row" localSheetId="8" hidden="1">#REF!</definedName>
    <definedName name="XRefPaste17Row" localSheetId="10" hidden="1">#REF!</definedName>
    <definedName name="XRefPaste17Row" localSheetId="9" hidden="1">#REF!</definedName>
    <definedName name="XRefPaste17Row" hidden="1">#REF!</definedName>
    <definedName name="XRefPaste18" localSheetId="7" hidden="1">#REF!</definedName>
    <definedName name="XRefPaste18" localSheetId="8" hidden="1">#REF!</definedName>
    <definedName name="XRefPaste18" localSheetId="10" hidden="1">#REF!</definedName>
    <definedName name="XRefPaste18" localSheetId="9" hidden="1">#REF!</definedName>
    <definedName name="XRefPaste18" hidden="1">#REF!</definedName>
    <definedName name="XRefPaste18Row" localSheetId="7" hidden="1">#REF!</definedName>
    <definedName name="XRefPaste18Row" localSheetId="8" hidden="1">#REF!</definedName>
    <definedName name="XRefPaste18Row" localSheetId="10" hidden="1">#REF!</definedName>
    <definedName name="XRefPaste18Row" localSheetId="9" hidden="1">#REF!</definedName>
    <definedName name="XRefPaste18Row" hidden="1">#REF!</definedName>
    <definedName name="XRefPaste19" localSheetId="7" hidden="1">#REF!</definedName>
    <definedName name="XRefPaste19" localSheetId="8" hidden="1">#REF!</definedName>
    <definedName name="XRefPaste19" localSheetId="10" hidden="1">#REF!</definedName>
    <definedName name="XRefPaste19" localSheetId="9" hidden="1">#REF!</definedName>
    <definedName name="XRefPaste19" hidden="1">#REF!</definedName>
    <definedName name="XRefPaste19Row" localSheetId="7" hidden="1">#REF!</definedName>
    <definedName name="XRefPaste19Row" localSheetId="8" hidden="1">#REF!</definedName>
    <definedName name="XRefPaste19Row" localSheetId="10" hidden="1">#REF!</definedName>
    <definedName name="XRefPaste19Row" localSheetId="9" hidden="1">#REF!</definedName>
    <definedName name="XRefPaste19Row" hidden="1">#REF!</definedName>
    <definedName name="XRefPaste1Row" localSheetId="7" hidden="1">[101]XREF!#REF!</definedName>
    <definedName name="XRefPaste1Row" localSheetId="8" hidden="1">[101]XREF!#REF!</definedName>
    <definedName name="XRefPaste1Row" localSheetId="10" hidden="1">[101]XREF!#REF!</definedName>
    <definedName name="XRefPaste1Row" localSheetId="9" hidden="1">[101]XREF!#REF!</definedName>
    <definedName name="XRefPaste1Row" hidden="1">#REF!</definedName>
    <definedName name="XRefPaste2" localSheetId="7" hidden="1">#REF!</definedName>
    <definedName name="XRefPaste2" localSheetId="8" hidden="1">#REF!</definedName>
    <definedName name="XRefPaste2" localSheetId="10" hidden="1">#REF!</definedName>
    <definedName name="XRefPaste2" localSheetId="9" hidden="1">#REF!</definedName>
    <definedName name="XRefPaste2" hidden="1">#REF!</definedName>
    <definedName name="XRefPaste20" localSheetId="7" hidden="1">#REF!</definedName>
    <definedName name="XRefPaste20" localSheetId="8" hidden="1">#REF!</definedName>
    <definedName name="XRefPaste20" localSheetId="10" hidden="1">#REF!</definedName>
    <definedName name="XRefPaste20" localSheetId="9" hidden="1">#REF!</definedName>
    <definedName name="XRefPaste20" hidden="1">#REF!</definedName>
    <definedName name="XRefPaste20Row" localSheetId="7" hidden="1">#REF!</definedName>
    <definedName name="XRefPaste20Row" localSheetId="8" hidden="1">#REF!</definedName>
    <definedName name="XRefPaste20Row" localSheetId="10" hidden="1">#REF!</definedName>
    <definedName name="XRefPaste20Row" localSheetId="9" hidden="1">#REF!</definedName>
    <definedName name="XRefPaste20Row" hidden="1">#REF!</definedName>
    <definedName name="XRefPaste21" localSheetId="7" hidden="1">#REF!</definedName>
    <definedName name="XRefPaste21" localSheetId="8" hidden="1">#REF!</definedName>
    <definedName name="XRefPaste21" localSheetId="10" hidden="1">#REF!</definedName>
    <definedName name="XRefPaste21" localSheetId="9" hidden="1">#REF!</definedName>
    <definedName name="XRefPaste21" hidden="1">#REF!</definedName>
    <definedName name="XRefPaste21Row" localSheetId="7" hidden="1">#REF!</definedName>
    <definedName name="XRefPaste21Row" localSheetId="8" hidden="1">#REF!</definedName>
    <definedName name="XRefPaste21Row" localSheetId="10" hidden="1">#REF!</definedName>
    <definedName name="XRefPaste21Row" localSheetId="9" hidden="1">#REF!</definedName>
    <definedName name="XRefPaste21Row" hidden="1">#REF!</definedName>
    <definedName name="XRefPaste22" localSheetId="7" hidden="1">#REF!</definedName>
    <definedName name="XRefPaste22" localSheetId="8" hidden="1">#REF!</definedName>
    <definedName name="XRefPaste22" localSheetId="10" hidden="1">#REF!</definedName>
    <definedName name="XRefPaste22" localSheetId="9" hidden="1">#REF!</definedName>
    <definedName name="XRefPaste22" hidden="1">#REF!</definedName>
    <definedName name="XRefPaste22Row" localSheetId="7" hidden="1">#REF!</definedName>
    <definedName name="XRefPaste22Row" localSheetId="8" hidden="1">#REF!</definedName>
    <definedName name="XRefPaste22Row" localSheetId="10" hidden="1">#REF!</definedName>
    <definedName name="XRefPaste22Row" localSheetId="9" hidden="1">#REF!</definedName>
    <definedName name="XRefPaste22Row" hidden="1">#REF!</definedName>
    <definedName name="XRefPaste23" localSheetId="7" hidden="1">#REF!</definedName>
    <definedName name="XRefPaste23" localSheetId="8" hidden="1">#REF!</definedName>
    <definedName name="XRefPaste23" localSheetId="10" hidden="1">#REF!</definedName>
    <definedName name="XRefPaste23" localSheetId="9" hidden="1">#REF!</definedName>
    <definedName name="XRefPaste23" hidden="1">#REF!</definedName>
    <definedName name="XRefPaste23Row" localSheetId="7" hidden="1">#REF!</definedName>
    <definedName name="XRefPaste23Row" localSheetId="8" hidden="1">#REF!</definedName>
    <definedName name="XRefPaste23Row" localSheetId="10" hidden="1">#REF!</definedName>
    <definedName name="XRefPaste23Row" localSheetId="9" hidden="1">#REF!</definedName>
    <definedName name="XRefPaste23Row" hidden="1">#REF!</definedName>
    <definedName name="XRefPaste24" localSheetId="7" hidden="1">#REF!</definedName>
    <definedName name="XRefPaste24" localSheetId="8" hidden="1">#REF!</definedName>
    <definedName name="XRefPaste24" localSheetId="10" hidden="1">#REF!</definedName>
    <definedName name="XRefPaste24" localSheetId="9" hidden="1">#REF!</definedName>
    <definedName name="XRefPaste24" hidden="1">#REF!</definedName>
    <definedName name="XRefPaste24Row" localSheetId="7" hidden="1">#REF!</definedName>
    <definedName name="XRefPaste24Row" localSheetId="8" hidden="1">#REF!</definedName>
    <definedName name="XRefPaste24Row" localSheetId="10" hidden="1">#REF!</definedName>
    <definedName name="XRefPaste24Row" localSheetId="9" hidden="1">#REF!</definedName>
    <definedName name="XRefPaste24Row" hidden="1">#REF!</definedName>
    <definedName name="XRefPaste25" localSheetId="7" hidden="1">#REF!</definedName>
    <definedName name="XRefPaste25" localSheetId="8" hidden="1">#REF!</definedName>
    <definedName name="XRefPaste25" localSheetId="10" hidden="1">#REF!</definedName>
    <definedName name="XRefPaste25" localSheetId="9" hidden="1">#REF!</definedName>
    <definedName name="XRefPaste25" hidden="1">#REF!</definedName>
    <definedName name="XRefPaste25Row" localSheetId="7" hidden="1">#REF!</definedName>
    <definedName name="XRefPaste25Row" localSheetId="8" hidden="1">#REF!</definedName>
    <definedName name="XRefPaste25Row" localSheetId="10" hidden="1">#REF!</definedName>
    <definedName name="XRefPaste25Row" localSheetId="9" hidden="1">#REF!</definedName>
    <definedName name="XRefPaste25Row" hidden="1">#REF!</definedName>
    <definedName name="XRefPaste26" localSheetId="7" hidden="1">#REF!</definedName>
    <definedName name="XRefPaste26" localSheetId="8" hidden="1">#REF!</definedName>
    <definedName name="XRefPaste26" localSheetId="10" hidden="1">#REF!</definedName>
    <definedName name="XRefPaste26" localSheetId="9" hidden="1">#REF!</definedName>
    <definedName name="XRefPaste26" hidden="1">#REF!</definedName>
    <definedName name="XRefPaste26Row" localSheetId="7" hidden="1">#REF!</definedName>
    <definedName name="XRefPaste26Row" localSheetId="8" hidden="1">#REF!</definedName>
    <definedName name="XRefPaste26Row" localSheetId="10" hidden="1">#REF!</definedName>
    <definedName name="XRefPaste26Row" localSheetId="9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localSheetId="7" hidden="1">#REF!</definedName>
    <definedName name="XRefPaste2Row" localSheetId="8" hidden="1">#REF!</definedName>
    <definedName name="XRefPaste2Row" localSheetId="10" hidden="1">#REF!</definedName>
    <definedName name="XRefPaste2Row" localSheetId="9" hidden="1">#REF!</definedName>
    <definedName name="XRefPaste2Row" hidden="1">#REF!</definedName>
    <definedName name="XRefPaste3" localSheetId="7" hidden="1">#REF!</definedName>
    <definedName name="XRefPaste3" localSheetId="8" hidden="1">#REF!</definedName>
    <definedName name="XRefPaste3" localSheetId="10" hidden="1">#REF!</definedName>
    <definedName name="XRefPaste3" localSheetId="9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localSheetId="7" hidden="1">#REF!</definedName>
    <definedName name="XRefPaste3Row" localSheetId="8" hidden="1">#REF!</definedName>
    <definedName name="XRefPaste3Row" localSheetId="10" hidden="1">#REF!</definedName>
    <definedName name="XRefPaste3Row" localSheetId="9" hidden="1">#REF!</definedName>
    <definedName name="XRefPaste3Row" hidden="1">#REF!</definedName>
    <definedName name="XRefPaste4" localSheetId="7" hidden="1">#REF!</definedName>
    <definedName name="XRefPaste4" localSheetId="8" hidden="1">#REF!</definedName>
    <definedName name="XRefPaste4" localSheetId="10" hidden="1">#REF!</definedName>
    <definedName name="XRefPaste4" localSheetId="9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[104]XREF!#REF!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localSheetId="7" hidden="1">[101]XREF!#REF!</definedName>
    <definedName name="XRefPaste4Row" localSheetId="8" hidden="1">[101]XREF!#REF!</definedName>
    <definedName name="XRefPaste4Row" localSheetId="10" hidden="1">[101]XREF!#REF!</definedName>
    <definedName name="XRefPaste4Row" localSheetId="9" hidden="1">[101]XREF!#REF!</definedName>
    <definedName name="XRefPaste4Row" hidden="1">#REF!</definedName>
    <definedName name="XRefPaste5" localSheetId="7" hidden="1">#REF!</definedName>
    <definedName name="XRefPaste5" localSheetId="8" hidden="1">#REF!</definedName>
    <definedName name="XRefPaste5" localSheetId="10" hidden="1">#REF!</definedName>
    <definedName name="XRefPaste5" localSheetId="9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2" hidden="1">#REF!</definedName>
    <definedName name="XRefPaste53" hidden="1">#REF!</definedName>
    <definedName name="XRefPaste54" hidden="1">#REF!</definedName>
    <definedName name="XRefPaste55" hidden="1">#REF!</definedName>
    <definedName name="XRefPaste55Row" hidden="1">[103]XREF!#REF!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localSheetId="7" hidden="1">#REF!</definedName>
    <definedName name="XRefPaste5Row" localSheetId="8" hidden="1">#REF!</definedName>
    <definedName name="XRefPaste5Row" localSheetId="10" hidden="1">#REF!</definedName>
    <definedName name="XRefPaste5Row" localSheetId="9" hidden="1">#REF!</definedName>
    <definedName name="XRefPaste5Row" hidden="1">#REF!</definedName>
    <definedName name="XRefPaste6" localSheetId="7" hidden="1">#REF!</definedName>
    <definedName name="XRefPaste6" localSheetId="8" hidden="1">#REF!</definedName>
    <definedName name="XRefPaste6" localSheetId="10" hidden="1">#REF!</definedName>
    <definedName name="XRefPaste6" localSheetId="9" hidden="1">#REF!</definedName>
    <definedName name="XRefPaste6" hidden="1">#REF!</definedName>
    <definedName name="XRefPaste60" hidden="1">#REF!</definedName>
    <definedName name="XRefPaste61" hidden="1">#REF!</definedName>
    <definedName name="XRefPaste6Row" localSheetId="7" hidden="1">#REF!</definedName>
    <definedName name="XRefPaste6Row" localSheetId="8" hidden="1">#REF!</definedName>
    <definedName name="XRefPaste6Row" localSheetId="10" hidden="1">#REF!</definedName>
    <definedName name="XRefPaste6Row" localSheetId="9" hidden="1">#REF!</definedName>
    <definedName name="XRefPaste6Row" hidden="1">#REF!</definedName>
    <definedName name="XRefPaste7" localSheetId="7" hidden="1">#REF!</definedName>
    <definedName name="XRefPaste7" localSheetId="8" hidden="1">#REF!</definedName>
    <definedName name="XRefPaste7" localSheetId="10" hidden="1">#REF!</definedName>
    <definedName name="XRefPaste7" localSheetId="9" hidden="1">#REF!</definedName>
    <definedName name="XRefPaste7" hidden="1">#REF!</definedName>
    <definedName name="XRefPaste77Row" hidden="1">[105]XREF!#REF!</definedName>
    <definedName name="XRefPaste7Row" localSheetId="7" hidden="1">#REF!</definedName>
    <definedName name="XRefPaste7Row" localSheetId="8" hidden="1">#REF!</definedName>
    <definedName name="XRefPaste7Row" localSheetId="10" hidden="1">#REF!</definedName>
    <definedName name="XRefPaste7Row" localSheetId="9" hidden="1">#REF!</definedName>
    <definedName name="XRefPaste7Row" hidden="1">#REF!</definedName>
    <definedName name="XRefPaste8" localSheetId="7" hidden="1">#REF!</definedName>
    <definedName name="XRefPaste8" localSheetId="8" hidden="1">#REF!</definedName>
    <definedName name="XRefPaste8" localSheetId="10" hidden="1">#REF!</definedName>
    <definedName name="XRefPaste8" localSheetId="9" hidden="1">#REF!</definedName>
    <definedName name="XRefPaste8" hidden="1">#REF!</definedName>
    <definedName name="XRefPaste82Row" hidden="1">[105]XREF!#REF!</definedName>
    <definedName name="XRefPaste8Row" localSheetId="7" hidden="1">#REF!</definedName>
    <definedName name="XRefPaste8Row" localSheetId="8" hidden="1">#REF!</definedName>
    <definedName name="XRefPaste8Row" localSheetId="10" hidden="1">#REF!</definedName>
    <definedName name="XRefPaste8Row" localSheetId="9" hidden="1">#REF!</definedName>
    <definedName name="XRefPaste8Row" hidden="1">#REF!</definedName>
    <definedName name="XRefPaste9" localSheetId="7" hidden="1">#REF!</definedName>
    <definedName name="XRefPaste9" localSheetId="8" hidden="1">#REF!</definedName>
    <definedName name="XRefPaste9" localSheetId="10" hidden="1">#REF!</definedName>
    <definedName name="XRefPaste9" localSheetId="9" hidden="1">#REF!</definedName>
    <definedName name="XRefPaste9" hidden="1">#REF!</definedName>
    <definedName name="XRefPaste9Row" localSheetId="7" hidden="1">#REF!</definedName>
    <definedName name="XRefPaste9Row" localSheetId="8" hidden="1">#REF!</definedName>
    <definedName name="XRefPaste9Row" localSheetId="10" hidden="1">#REF!</definedName>
    <definedName name="XRefPaste9Row" localSheetId="9" hidden="1">#REF!</definedName>
    <definedName name="XRefPaste9Row" hidden="1">#REF!</definedName>
    <definedName name="XRefPasteRangeCount" localSheetId="7" hidden="1">39</definedName>
    <definedName name="XRefPasteRangeCount" localSheetId="8" hidden="1">39</definedName>
    <definedName name="XRefPasteRangeCount" localSheetId="10" hidden="1">39</definedName>
    <definedName name="XRefPasteRangeCount" localSheetId="9" hidden="1">39</definedName>
    <definedName name="XRefPasteRangeCount" hidden="1">61</definedName>
    <definedName name="xrefpastes" hidden="1">'[106]Bs. de Uso 2002'!#REF!</definedName>
    <definedName name="XX" hidden="1">[107]출입자명단!$A$1:$D$1</definedName>
    <definedName name="xxxxx" hidden="1">{#N/A,#N/A,FALSE,"UNIT";#N/A,#N/A,FALSE,"UNIT";#N/A,#N/A,FALSE,"계정"}</definedName>
    <definedName name="XZC">#REF!</definedName>
    <definedName name="X행">#REF!</definedName>
    <definedName name="y">{"'용역비'!$A$4:$C$8"}</definedName>
    <definedName name="ya" hidden="1">{#N/A,#N/A,FALSE,"Aging Summary";#N/A,#N/A,FALSE,"Ratio Analysis";#N/A,#N/A,FALSE,"Test 120 Day Accts";#N/A,#N/A,FALSE,"Tickmarks"}</definedName>
    <definedName name="YA001_D">[108]DATA!$D$8</definedName>
    <definedName name="YA002_D">[108]DATA!$D$10</definedName>
    <definedName name="YA003_D">[108]DATA!$D$11</definedName>
    <definedName name="YA006_D">[108]DATA!$D$12</definedName>
    <definedName name="YA007_D">[108]DATA!$D$13</definedName>
    <definedName name="YA009_D">[108]DATA!$D$25</definedName>
    <definedName name="YA010_D">[108]DATA!$D$26</definedName>
    <definedName name="YA011_D">[108]DATA!$D$28</definedName>
    <definedName name="YA012_D">[108]DATA!$D$31</definedName>
    <definedName name="YA014_D">[108]DATA!$D$32</definedName>
    <definedName name="YA015_D">[108]DATA!$D$34</definedName>
    <definedName name="YA017_D">[108]DATA!$D$35</definedName>
    <definedName name="YA018_D">[108]DATA!$D$37</definedName>
    <definedName name="YA019_D">[108]DATA!$D$39</definedName>
    <definedName name="YA021_D">[108]DATA!$D$43</definedName>
    <definedName name="YA022_D">[108]DATA!$D$42</definedName>
    <definedName name="YA023_D">[108]DATA!$D$44</definedName>
    <definedName name="YA024_D">[108]DATA!$D$45</definedName>
    <definedName name="YA026_D">[108]DATA!$D$16</definedName>
    <definedName name="YA029_D">[108]DATA!$D$51</definedName>
    <definedName name="YA030_D">[108]DATA!$D$53</definedName>
    <definedName name="YA031_D">[108]DATA!$D$52</definedName>
    <definedName name="YA032_D">[108]DATA!$D$54</definedName>
    <definedName name="YA033_D">[108]DATA!$D$55</definedName>
    <definedName name="YA034_D">[108]DATA!$D$56</definedName>
    <definedName name="YA035_D">[108]DATA!$D$57</definedName>
    <definedName name="YA036_D">[108]DATA!$D$58</definedName>
    <definedName name="YA037_D">[108]DATA!$D$59</definedName>
    <definedName name="YA038_D">[108]DATA!$D$60</definedName>
    <definedName name="YA044_D">[108]DATA!$D$62</definedName>
    <definedName name="YA045_D">[108]DATA!$D$63</definedName>
    <definedName name="YA047_D">[108]DATA!$D$61</definedName>
    <definedName name="YA053_D">[108]DATA!$D$68</definedName>
    <definedName name="YA070_D">[108]DATA!$D$9</definedName>
    <definedName name="YA074_D">[108]DATA!$D$40</definedName>
    <definedName name="YA076_D">[108]DATA!$D$27</definedName>
    <definedName name="YA079_D">[108]DATA!$D$29</definedName>
    <definedName name="YA081_D">[108]DATA!$D$30</definedName>
    <definedName name="YA083_D">[108]DATA!$D$38</definedName>
    <definedName name="YA090_D">[108]DATA!$D$14</definedName>
    <definedName name="YA091_D">[108]DATA!$D$33</definedName>
    <definedName name="YA100_D">[108]DATA!$D$18</definedName>
    <definedName name="YA101_D">[108]DATA!$D$19</definedName>
    <definedName name="YA102_D">[108]DATA!$D$20</definedName>
    <definedName name="YA103_D">[108]DATA!$D$21</definedName>
    <definedName name="YA104_D">[108]DATA!$D$22</definedName>
    <definedName name="YA105_D">[108]DATA!$D$36</definedName>
    <definedName name="YA106_D">[108]DATA!$D$69</definedName>
    <definedName name="YA107_D">[108]DATA!$D$70</definedName>
    <definedName name="YB120_D">[108]DATA!$D$23</definedName>
    <definedName name="YC100_D">[108]DATA!$D$48</definedName>
    <definedName name="YC101_D">[108]DATA!$D$49</definedName>
    <definedName name="YC101_SUM">[109]T02!$F$48</definedName>
    <definedName name="YE208_D">[108]DATA!$D$64</definedName>
    <definedName name="YE210_D">[108]DATA!$D$65</definedName>
    <definedName name="YE215_D">[108]DATA!$D$66</definedName>
    <definedName name="YE220_D">[108]DATA!$D$67</definedName>
    <definedName name="year">#REF!</definedName>
    <definedName name="YEAREND">#REF!</definedName>
    <definedName name="YesNo">#REF!</definedName>
    <definedName name="YFU">{"'용역비'!$A$4:$C$8"}</definedName>
    <definedName name="yh" hidden="1">{#N/A,#N/A,FALSE,"Aging Summary";#N/A,#N/A,FALSE,"Ratio Analysis";#N/A,#N/A,FALSE,"Test 120 Day Accts";#N/A,#N/A,FALSE,"Tickmarks"}</definedName>
    <definedName name="Yield" hidden="1">{#N/A,#N/A,FALSE,"98소지이동TOTvs99.1 (2)";#N/A,#N/A,FALSE,"TOTAL";#N/A,#N/A,FALSE,"98소지이동TOTvs99.1(b) (2)"}</definedName>
    <definedName name="YIL">#REF!</definedName>
    <definedName name="YKY" hidden="1">#REF!</definedName>
    <definedName name="YL">{"'용역비'!$A$4:$C$8"}</definedName>
    <definedName name="YP">#REF!</definedName>
    <definedName name="YR_BOND">OFFSET([35]RATE!$J$3,0,0,COUNTA([35]RATE!$J$1:$J$65536))</definedName>
    <definedName name="ytyy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yu">{"'용역비'!$A$4:$C$8"}</definedName>
    <definedName name="yue">#REF!</definedName>
    <definedName name="YUK">{"'용역비'!$A$4:$C$8"}</definedName>
    <definedName name="YY">#REF!</definedName>
    <definedName name="YYY" hidden="1">{#N/A,#N/A,TRUE,"Y생산";#N/A,#N/A,TRUE,"Y판매";#N/A,#N/A,TRUE,"Y총물량";#N/A,#N/A,TRUE,"Y능력";#N/A,#N/A,TRUE,"YKD"}</definedName>
    <definedName name="yyyy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Z">[110]Sheet3!$B$2:$Y$69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_B2172A22_A087_11D6_A4E5_008013D50C77_.wvu.PrintArea" hidden="1">#REF!</definedName>
    <definedName name="Z_DC41D810_DAD8_11D2_A4E1_00105AF280E4_.wvu.Cols" hidden="1">#REF!,#REF!,#REF!,#REF!,#REF!</definedName>
    <definedName name="Z_DC41D810_DAD8_11D2_A4E1_00105AF280E4_.wvu.PrintTitles" hidden="1">#REF!</definedName>
    <definedName name="Z_E8FEE9A5_163A_11D2_AED0_0000E81DA68C_.wvu.Rows" hidden="1">#REF!</definedName>
    <definedName name="za">#REF!</definedName>
    <definedName name="zbz">[33]수율생산!#REF!</definedName>
    <definedName name="ZDCVVCZD">#REF!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ERO">#REF!</definedName>
    <definedName name="ZX">#N/A</definedName>
    <definedName name="zxcb">[33]수율생산!#REF!</definedName>
    <definedName name="ZXCCCCCCZ">#REF!</definedName>
    <definedName name="ZXXCZ">#REF!</definedName>
    <definedName name="ZZ">#N/A</definedName>
    <definedName name="zzxcbs">[33]수율생산!#REF!</definedName>
    <definedName name="zzz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ㄱ" localSheetId="7" hidden="1">{#N/A,#N/A,FALSE,"Aging Summary";#N/A,#N/A,FALSE,"Ratio Analysis";#N/A,#N/A,FALSE,"Test 120 Day Accts";#N/A,#N/A,FALSE,"Tickmarks"}</definedName>
    <definedName name="ㄱ" localSheetId="8" hidden="1">{#N/A,#N/A,FALSE,"Aging Summary";#N/A,#N/A,FALSE,"Ratio Analysis";#N/A,#N/A,FALSE,"Test 120 Day Accts";#N/A,#N/A,FALSE,"Tickmarks"}</definedName>
    <definedName name="ㄱ" localSheetId="10" hidden="1">{#N/A,#N/A,FALSE,"Aging Summary";#N/A,#N/A,FALSE,"Ratio Analysis";#N/A,#N/A,FALSE,"Test 120 Day Accts";#N/A,#N/A,FALSE,"Tickmarks"}</definedName>
    <definedName name="ㄱ" localSheetId="9" hidden="1">{#N/A,#N/A,FALSE,"Aging Summary";#N/A,#N/A,FALSE,"Ratio Analysis";#N/A,#N/A,FALSE,"Test 120 Day Accts";#N/A,#N/A,FALSE,"Tickmarks"}</definedName>
    <definedName name="ㄱ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ㄱㄱ" hidden="1">{#N/A,#N/A,FALSE,"UNIT";#N/A,#N/A,FALSE,"UNIT";#N/A,#N/A,FALSE,"계정"}</definedName>
    <definedName name="ㄱㄱㄱ" localSheetId="7" hidden="1">{#N/A,#N/A,FALSE,"Aging Summary";#N/A,#N/A,FALSE,"Ratio Analysis";#N/A,#N/A,FALSE,"Test 120 Day Accts";#N/A,#N/A,FALSE,"Tickmarks"}</definedName>
    <definedName name="ㄱㄱㄱ" localSheetId="8" hidden="1">{#N/A,#N/A,FALSE,"Aging Summary";#N/A,#N/A,FALSE,"Ratio Analysis";#N/A,#N/A,FALSE,"Test 120 Day Accts";#N/A,#N/A,FALSE,"Tickmarks"}</definedName>
    <definedName name="ㄱㄱㄱ" localSheetId="10" hidden="1">{#N/A,#N/A,FALSE,"Aging Summary";#N/A,#N/A,FALSE,"Ratio Analysis";#N/A,#N/A,FALSE,"Test 120 Day Accts";#N/A,#N/A,FALSE,"Tickmarks"}</definedName>
    <definedName name="ㄱㄱㄱ" localSheetId="9" hidden="1">{#N/A,#N/A,FALSE,"Aging Summary";#N/A,#N/A,FALSE,"Ratio Analysis";#N/A,#N/A,FALSE,"Test 120 Day Accts";#N/A,#N/A,FALSE,"Tickmarks"}</definedName>
    <definedName name="ㄱㄱㄱ" hidden="1">{#N/A,#N/A,FALSE,"UNIT";#N/A,#N/A,FALSE,"UNIT";#N/A,#N/A,FALSE,"계정"}</definedName>
    <definedName name="ㄱㄱㄱㄱ" hidden="1">{#N/A,#N/A,FALSE,"지침";#N/A,#N/A,FALSE,"환경분석";#N/A,#N/A,FALSE,"Sheet16"}</definedName>
    <definedName name="ㄱㄱㄱㄱㄱ" hidden="1">{#N/A,#N/A,FALSE,"UNIT";#N/A,#N/A,FALSE,"UNIT";#N/A,#N/A,FALSE,"계정"}</definedName>
    <definedName name="ㄱㄱㄱㄱㄱㄱ">{"'용역비'!$A$4:$C$8"}</definedName>
    <definedName name="ㄱㄿ" hidden="1">{#N/A,#N/A,FALSE,"Sheet1"}</definedName>
    <definedName name="ㄱㅇ" hidden="1">{#N/A,#N/A,FALSE,"단축1";#N/A,#N/A,FALSE,"단축2";#N/A,#N/A,FALSE,"단축3";#N/A,#N/A,FALSE,"장축";#N/A,#N/A,FALSE,"4WD"}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hidden="1">{#N/A,#N/A,FALSE,"1.CRITERIA";#N/A,#N/A,FALSE,"2.IS";#N/A,#N/A,FALSE,"3.BS";#N/A,#N/A,FALSE,"4.PER PL";#N/A,#N/A,FALSE,"5.INVESTMENT";#N/A,#N/A,FALSE,"6.공문";#N/A,#N/A,FALSE,"7.netinvest"}</definedName>
    <definedName name="가1" hidden="1">{#N/A,#N/A,TRUE,"Y생산";#N/A,#N/A,TRUE,"Y판매";#N/A,#N/A,TRUE,"Y총물량";#N/A,#N/A,TRUE,"Y능력";#N/A,#N/A,TRUE,"YKD"}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가가가">#REF!</definedName>
    <definedName name="가결산" hidden="1">{#N/A,#N/A,TRUE,"Summary";#N/A,#N/A,TRUE,"IS";#N/A,#N/A,TRUE,"Adj";#N/A,#N/A,TRUE,"BS";#N/A,#N/A,TRUE,"CF";#N/A,#N/A,TRUE,"Debt";#N/A,#N/A,TRUE,"IRR"}</definedName>
    <definedName name="가기긱" hidden="1">{"'미착금액'!$A$4:$G$14"}</definedName>
    <definedName name="가나" localSheetId="7" hidden="1">[111]Sheet2!#REF!</definedName>
    <definedName name="가나" localSheetId="8" hidden="1">[111]Sheet2!#REF!</definedName>
    <definedName name="가나" localSheetId="10" hidden="1">[111]Sheet2!#REF!</definedName>
    <definedName name="가나" localSheetId="9" hidden="1">[111]Sheet2!#REF!</definedName>
    <definedName name="가나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비" hidden="1">#REF!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전">#REF!</definedName>
    <definedName name="가족수당">#REF!</definedName>
    <definedName name="가지급">#REF!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간" hidden="1">{#N/A,#N/A,FALSE,"UNIT";#N/A,#N/A,FALSE,"UNIT";#N/A,#N/A,FALSE,"계정"}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가">#REF!</definedName>
    <definedName name="감가1" localSheetId="7">BLCH</definedName>
    <definedName name="감가1" localSheetId="10">BLCH</definedName>
    <definedName name="감가1" localSheetId="9">BLCH</definedName>
    <definedName name="감가1">BLCH</definedName>
    <definedName name="감가상각" localSheetId="7">BLCH</definedName>
    <definedName name="감가상각" localSheetId="10">BLCH</definedName>
    <definedName name="감가상각" localSheetId="9">BLCH</definedName>
    <definedName name="감가상각">BLCH</definedName>
    <definedName name="감가상각1" localSheetId="7">BLCH</definedName>
    <definedName name="감가상각1" localSheetId="10">BLCH</definedName>
    <definedName name="감가상각1" localSheetId="9">BLCH</definedName>
    <definedName name="감가상각1">BLCH</definedName>
    <definedName name="감가상각명세서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감가상각비">#REF!</definedName>
    <definedName name="감사일">[112]일반!$C$6</definedName>
    <definedName name="갔" hidden="1">{#N/A,#N/A,FALSE,"Sheet5"}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강산1231" localSheetId="7">BlankMacro1</definedName>
    <definedName name="강산1231" localSheetId="10">BlankMacro1</definedName>
    <definedName name="강산1231" localSheetId="9">BlankMacro1</definedName>
    <definedName name="강산1231">BlankMacro1</definedName>
    <definedName name="강산에가나" localSheetId="7">BlankMacro1</definedName>
    <definedName name="강산에가나" localSheetId="10">BlankMacro1</definedName>
    <definedName name="강산에가나" localSheetId="9">BlankMacro1</definedName>
    <definedName name="강산에가나">BlankMacro1</definedName>
    <definedName name="개_보_수_증_축_공_사_비">[113]정공공사!#REF!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사업본" hidden="1">#REF!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요2">[114]정공공사!#REF!</definedName>
    <definedName name="객">#REF!</definedName>
    <definedName name="객담">#REF!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_래_선_명">'[24]control sheet'!$B$10</definedName>
    <definedName name="거래선명">'[24]control sheet'!$B$10:$B$84</definedName>
    <definedName name="거래처" hidden="1">[115]저장품!#REF!</definedName>
    <definedName name="거북이">[116]주간계획!#REF!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거지">#REF!</definedName>
    <definedName name="건물">{"'손익현황'!$A$1:$J$29"}</definedName>
    <definedName name="건물임.">{"'손익현황'!$A$1:$J$29"}</definedName>
    <definedName name="건설가계정">#REF!</definedName>
    <definedName name="건설급여">[117]인건비!$D$22</definedName>
    <definedName name="건축공사집계표">#REF!</definedName>
    <definedName name="건축팀별" hidden="1">{#N/A,#N/A,FALSE,"지침";#N/A,#N/A,FALSE,"환경분석";#N/A,#N/A,FALSE,"Sheet16"}</definedName>
    <definedName name="결">#REF!</definedName>
    <definedName name="결10">#REF!</definedName>
    <definedName name="결산">'[118]결-9-1'!$B$8</definedName>
    <definedName name="결산10">#REF!</definedName>
    <definedName name="결산공문">#REF!</definedName>
    <definedName name="결산다시" hidden="1">{#N/A,#N/A,FALSE,"BS";#N/A,#N/A,FALSE,"IS";#N/A,#N/A,FALSE,"결손금처리";#N/A,#N/A,FALSE,"cashflow"}</definedName>
    <definedName name="결산부속명세서">#REF!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수정">#REF!</definedName>
    <definedName name="결산양식">#REF!</definedName>
    <definedName name="결산일">[119]총괄!$D$4</definedName>
    <definedName name="결산일정">#REF!</definedName>
    <definedName name="결인쇄">[120]잉여금!#REF!,[120]잉여금!#REF!,[120]잉여금!#REF!,[120]잉여금!#REF!,[120]잉여금!#REF!,[120]잉여금!#REF!,[120]잉여금!#REF!,[120]잉여금!$A$11:$H$35</definedName>
    <definedName name="경비">#REF!</definedName>
    <definedName name="경비.본">#REF!</definedName>
    <definedName name="경상연구개발비">'[121]재공품(9월)'!$A$13:$F$73</definedName>
    <definedName name="경영지" hidden="1">{#N/A,#N/A,FALSE,"BS";#N/A,#N/A,FALSE,"PL";#N/A,#N/A,FALSE,"처분";#N/A,#N/A,FALSE,"현금";#N/A,#N/A,FALSE,"매출";#N/A,#N/A,FALSE,"원가";#N/A,#N/A,FALSE,"경영"}</definedName>
    <definedName name="경영지표" hidden="1">{#N/A,#N/A,FALSE,"BS";#N/A,#N/A,FALSE,"PL";#N/A,#N/A,FALSE,"처분";#N/A,#N/A,FALSE,"현금";#N/A,#N/A,FALSE,"매출";#N/A,#N/A,FALSE,"원가";#N/A,#N/A,FALSE,"경영"}</definedName>
    <definedName name="경제전망">#REF!</definedName>
    <definedName name="경합금2과운연계획" hidden="1">{#N/A,#N/A,TRUE,"Y생산";#N/A,#N/A,TRUE,"Y판매";#N/A,#N/A,TRUE,"Y총물량";#N/A,#N/A,TRUE,"Y능력";#N/A,#N/A,TRUE,"YKD"}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수" hidden="1">{#N/A,#N/A,FALSE,"지침";#N/A,#N/A,FALSE,"환경분석";#N/A,#N/A,FALSE,"Sheet16"}</definedName>
    <definedName name="계약" hidden="1">{#N/A,#N/A,FALSE,"계약직(여)"}</definedName>
    <definedName name="계전기" hidden="1">{#N/A,#N/A,FALSE,"UNIT";#N/A,#N/A,FALSE,"UNIT";#N/A,#N/A,FALSE,"계정"}</definedName>
    <definedName name="계정과목">#REF!</definedName>
    <definedName name="계정명세서" hidden="1">{#N/A,#N/A,FALSE,"Sheet5"}</definedName>
    <definedName name="계획" hidden="1">{#N/A,#N/A,FALSE,"UNIT";#N/A,#N/A,FALSE,"UNIT";#N/A,#N/A,FALSE,"계정"}</definedName>
    <definedName name="계획1" hidden="1">{#N/A,#N/A,FALSE,"UNIT";#N/A,#N/A,FALSE,"UNIT";#N/A,#N/A,FALSE,"계정"}</definedName>
    <definedName name="고" hidden="1">'[122]99선급비용'!#REF!</definedName>
    <definedName name="고용보험">'[123]인건비예산(정규직)'!$IQ$28:$IQ$276</definedName>
    <definedName name="고용보험임">'[123]인건비예산(정규직)'!$IQ$18:$IQ$27</definedName>
    <definedName name="고정비비교자세히" hidden="1">#REF!</definedName>
    <definedName name="고정자산">#REF!</definedName>
    <definedName name="고정자산1">OFFSET(#REF!,0,0,COUNTA(#REF!),7)</definedName>
    <definedName name="고정자산처분">#REF!</definedName>
    <definedName name="공">{"'손익현황'!$A$1:$J$29"}</definedName>
    <definedName name="공______사______명">#REF!</definedName>
    <definedName name="공___사____원____가">#REF!</definedName>
    <definedName name="공___종">#REF!</definedName>
    <definedName name="공_사_개_요">#REF!</definedName>
    <definedName name="工_事_槪_要">#REF!</definedName>
    <definedName name="공300">#REF!</definedName>
    <definedName name="工A14">'[124]其他应收款明细及帐龄分析(表5)'!#REF!</definedName>
    <definedName name="공과잡비">#REF!</definedName>
    <definedName name="공구">{"'손익현황'!$A$1:$J$29"}</definedName>
    <definedName name="공구기구">{"'손익현황'!$A$1:$J$29"}</definedName>
    <definedName name="공모23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비" localSheetId="7">BlankMacro1</definedName>
    <definedName name="공비" localSheetId="10">BlankMacro1</definedName>
    <definedName name="공비" localSheetId="9">BlankMacro1</definedName>
    <definedName name="공비">BlankMacro1</definedName>
    <definedName name="공수">#REF!</definedName>
    <definedName name="공작" hidden="1">{#N/A,#N/A,FALSE,"단축1";#N/A,#N/A,FALSE,"단축2";#N/A,#N/A,FALSE,"단축3";#N/A,#N/A,FALSE,"장축";#N/A,#N/A,FALSE,"4WD"}</definedName>
    <definedName name="공정별">{"'Sheet1'!$A$1:$H$36"}</definedName>
    <definedName name="공제내역">#REF!</definedName>
    <definedName name="공통경비">#REF!</definedName>
    <definedName name="공통일위">#REF!</definedName>
    <definedName name="工会经费Book">#REF!</definedName>
    <definedName name="과세">#REF!</definedName>
    <definedName name="과세2">#REF!</definedName>
    <definedName name="과세표준">#REF!</definedName>
    <definedName name="관계회사">{"'9월'!$F$38"}</definedName>
    <definedName name="관계회사2">{"'9월'!$F$38"}</definedName>
    <definedName name="關係會社外上買入金明細書">#REF!</definedName>
    <definedName name="관리" hidden="1">[125]손익계산서!$B$68:$B$77</definedName>
    <definedName name="관리3" localSheetId="7">BlankMacro1</definedName>
    <definedName name="관리3" localSheetId="10">BlankMacro1</definedName>
    <definedName name="관리3" localSheetId="9">BlankMacro1</definedName>
    <definedName name="관리3">BlankMacro1</definedName>
    <definedName name="관리지표2" hidden="1">{#N/A,#N/A,TRUE,"Y생산";#N/A,#N/A,TRUE,"Y판매";#N/A,#N/A,TRUE,"Y총물량";#N/A,#N/A,TRUE,"Y능력";#N/A,#N/A,TRUE,"YKD"}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할_소관_세무서">[126]회사정보!$C$18</definedName>
    <definedName name="광주">[127]TB!#REF!</definedName>
    <definedName name="교비">#REF!</definedName>
    <definedName name="교통비">#REF!</definedName>
    <definedName name="교통비1">#REF!</definedName>
    <definedName name="교통비용">#REF!</definedName>
    <definedName name="교통비용1">#REF!</definedName>
    <definedName name="구">{"'손익현황'!$A$1:$J$29"}</definedName>
    <definedName name="구구">#REF!</definedName>
    <definedName name="구로">[127]TB!#REF!</definedName>
    <definedName name="구분">OFFSET([69]등록정보!$A$2,0,0,COUNTA([69]등록정보!$A$1:$A$65536)-1,1)</definedName>
    <definedName name="구월">#REF!</definedName>
    <definedName name="구월급여">'[123]인건비예산(정규직)'!$GI$28:$GI$276</definedName>
    <definedName name="구월급여임">'[123]인건비예산(정규직)'!$GI$18:$GI$27</definedName>
    <definedName name="구월상여">'[123]인건비예산(정규직)'!$GJ$28:$GJ$276</definedName>
    <definedName name="구월상여임">'[123]인건비예산(정규직)'!$GJ$18:$GJ$27</definedName>
    <definedName name="구월잔액">'[128]12'!#REF!</definedName>
    <definedName name="구지급율">[129]자료!$B$3:$C$83</definedName>
    <definedName name="구축물">{"'손익현황'!$A$1:$J$29"}</definedName>
    <definedName name="구축물임">{"'손익현황'!$A$1:$J$29"}</definedName>
    <definedName name="국내교육훈련비">'[123]인건비예산(정규직)'!$IV$28:$IV$276</definedName>
    <definedName name="국대">[130]여신!#REF!</definedName>
    <definedName name="국민연금">'[123]인건비예산(정규직)'!$IN$28:$IN$276</definedName>
    <definedName name="국민연금임">'[123]인건비예산(정규직)'!$IN$18:$IN$27</definedName>
    <definedName name="국순당" hidden="1">{#N/A,#N/A,FALSE,"Aging Summary";#N/A,#N/A,FALSE,"Ratio Analysis";#N/A,#N/A,FALSE,"Test 120 Day Accts";#N/A,#N/A,FALSE,"Tickmarks"}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근거2" hidden="1">{#N/A,#N/A,FALSE,"단축1";#N/A,#N/A,FALSE,"단축2";#N/A,#N/A,FALSE,"단축3";#N/A,#N/A,FALSE,"장축";#N/A,#N/A,FALSE,"4WD"}</definedName>
    <definedName name="근속수당">#REF!</definedName>
    <definedName name="근속수당1">#REF!</definedName>
    <definedName name="근속수당2">#REF!</definedName>
    <definedName name="근속수당이">#REF!</definedName>
    <definedName name="근속수당일">#REF!</definedName>
    <definedName name="근속일">#REF!</definedName>
    <definedName name="금">#REF!</definedName>
    <definedName name="금월" hidden="1">{#N/A,#N/A,TRUE,"Y생산";#N/A,#N/A,TRUE,"Y판매";#N/A,#N/A,TRUE,"Y총물량";#N/A,#N/A,TRUE,"Y능력";#N/A,#N/A,TRUE,"YKD"}</definedName>
    <definedName name="금형" hidden="1">{#N/A,#N/A,FALSE,"단축1";#N/A,#N/A,FALSE,"단축2";#N/A,#N/A,FALSE,"단축3";#N/A,#N/A,FALSE,"장축";#N/A,#N/A,FALSE,"4WD"}</definedName>
    <definedName name="금형사진" hidden="1">{#N/A,#N/A,FALSE,"단축1";#N/A,#N/A,FALSE,"단축2";#N/A,#N/A,FALSE,"단축3";#N/A,#N/A,FALSE,"장축";#N/A,#N/A,FALSE,"4WD"}</definedName>
    <definedName name="금형승인양식1" hidden="1">{#N/A,#N/A,FALSE,"단축1";#N/A,#N/A,FALSE,"단축2";#N/A,#N/A,FALSE,"단축3";#N/A,#N/A,FALSE,"장축";#N/A,#N/A,FALSE,"4WD"}</definedName>
    <definedName name="급료">#REF!</definedName>
    <definedName name="급료.본">#REF!</definedName>
    <definedName name="급여관리">#REF!</definedName>
    <definedName name="급여명세">'[131]1002'!$A$1:$I$34</definedName>
    <definedName name="급여인상안" hidden="1">{#N/A,#N/A,FALSE,"계약직(여)"}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계장치">{"'손익현황'!$A$1:$J$29"}</definedName>
    <definedName name="기기" hidden="1">{#N/A,#N/A,FALSE,"UNIT";#N/A,#N/A,FALSE,"UNIT";#N/A,#N/A,FALSE,"계정"}</definedName>
    <definedName name="기말">#REF!</definedName>
    <definedName name="기말원재료">[132]대차대조표!$C$25</definedName>
    <definedName name="기말재공품">#REF!</definedName>
    <definedName name="기말저장품">[132]대차대조표!$C$26</definedName>
    <definedName name="기말제품재고액">#REF!</definedName>
    <definedName name="기말중점검토" hidden="1">{#N/A,#N/A,FALSE,"BS";#N/A,#N/A,FALSE,"PL";#N/A,#N/A,FALSE,"처분";#N/A,#N/A,FALSE,"현금";#N/A,#N/A,FALSE,"매출";#N/A,#N/A,FALSE,"원가";#N/A,#N/A,FALSE,"경영"}</definedName>
    <definedName name="기말환율">#REF!</definedName>
    <definedName name="기본">[133]경영계획!#REF!</definedName>
    <definedName name="기본급">#REF!</definedName>
    <definedName name="기본목표">[133]경영계획!#REF!</definedName>
    <definedName name="기산일">#REF!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갑">#REF!</definedName>
    <definedName name="기안을">#REF!</definedName>
    <definedName name="기양근">#REF!</definedName>
    <definedName name="기얻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기존" hidden="1">{#N/A,#N/A,FALSE,"UNIT";#N/A,#N/A,FALSE,"UNIT";#N/A,#N/A,FALSE,"계정"}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기준일">#REF!</definedName>
    <definedName name="기초원재교">[132]대차대조표!#REF!</definedName>
    <definedName name="기초원재료">[132]대차대조표!$E$25</definedName>
    <definedName name="기초재공품">[132]대차대조표!$E$24</definedName>
    <definedName name="기초저장품">[132]대차대조표!$E$26</definedName>
    <definedName name="기초제품재고액">#REF!</definedName>
    <definedName name="기타">#REF!</definedName>
    <definedName name="기타매출">#REF!</definedName>
    <definedName name="기타매출원가">[132]제조원가!$C$50</definedName>
    <definedName name="기타수당">#REF!</definedName>
    <definedName name="김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김권두" hidden="1">{#N/A,#N/A,FALSE,"Sheet5"}</definedName>
    <definedName name="김권수" hidden="1">{#N/A,#N/A,FALSE,"Sheet5"}</definedName>
    <definedName name="김대업" hidden="1">{#N/A,#N/A,FALSE,"기술료 비교"}</definedName>
    <definedName name="김도윤" hidden="1">{#N/A,#N/A,TRUE,"Y생산";#N/A,#N/A,TRUE,"Y판매";#N/A,#N/A,TRUE,"Y총물량";#N/A,#N/A,TRUE,"Y능력";#N/A,#N/A,TRUE,"YKD"}</definedName>
    <definedName name="김명호SW">#REF!</definedName>
    <definedName name="김아ㅏ" hidden="1">{#N/A,#N/A,FALSE,"지침";#N/A,#N/A,FALSE,"환경분석";#N/A,#N/A,FALSE,"Sheet16"}</definedName>
    <definedName name="김영삼" hidden="1">{#N/A,#N/A,FALSE,"지침";#N/A,#N/A,FALSE,"환경분석";#N/A,#N/A,FALSE,"Sheet16"}</definedName>
    <definedName name="김영숙">#REF!</definedName>
    <definedName name="김종묵" hidden="1">{#N/A,#N/A,FALSE,"기술료 비교"}</definedName>
    <definedName name="김종신">{"'Sheet1'!$A$1:$H$36"}</definedName>
    <definedName name="김희란">{"'Sheet1'!$A$1:$H$36"}</definedName>
    <definedName name="ㄳ" hidden="1">{#N/A,#N/A,FALSE,"UNIT";#N/A,#N/A,FALSE,"UNIT";#N/A,#N/A,FALSE,"계정"}</definedName>
    <definedName name="ㄳㄳㄳㄳ">{"'용역비'!$A$4:$C$8"}</definedName>
    <definedName name="ㄳㄷㄳ" hidden="1">{#N/A,#N/A,FALSE,"단축1";#N/A,#N/A,FALSE,"단축2";#N/A,#N/A,FALSE,"단축3";#N/A,#N/A,FALSE,"장축";#N/A,#N/A,FALSE,"4WD"}</definedName>
    <definedName name="ㄴ" localSheetId="7" hidden="1">{#N/A,#N/A,FALSE,"Aging Summary";#N/A,#N/A,FALSE,"Ratio Analysis";#N/A,#N/A,FALSE,"Test 120 Day Accts";#N/A,#N/A,FALSE,"Tickmarks"}</definedName>
    <definedName name="ㄴ" localSheetId="8" hidden="1">{#N/A,#N/A,FALSE,"Aging Summary";#N/A,#N/A,FALSE,"Ratio Analysis";#N/A,#N/A,FALSE,"Test 120 Day Accts";#N/A,#N/A,FALSE,"Tickmarks"}</definedName>
    <definedName name="ㄴ" localSheetId="10" hidden="1">{#N/A,#N/A,FALSE,"Aging Summary";#N/A,#N/A,FALSE,"Ratio Analysis";#N/A,#N/A,FALSE,"Test 120 Day Accts";#N/A,#N/A,FALSE,"Tickmarks"}</definedName>
    <definedName name="ㄴ" localSheetId="9" hidden="1">{#N/A,#N/A,FALSE,"Aging Summary";#N/A,#N/A,FALSE,"Ratio Analysis";#N/A,#N/A,FALSE,"Test 120 Day Accts";#N/A,#N/A,FALSE,"Tickmarks"}</definedName>
    <definedName name="ㄴ">[0]!ㄴ</definedName>
    <definedName name="ㄴㄴ" hidden="1">{#N/A,#N/A,FALSE,"UNIT";#N/A,#N/A,FALSE,"UNIT";#N/A,#N/A,FALSE,"계정"}</definedName>
    <definedName name="ㄴㄴㄴ">{"'4월수지'!$A$1:$AE$45"}</definedName>
    <definedName name="ㄴㄴㄴㄴ" hidden="1">{#N/A,#N/A,FALSE,"UNIT";#N/A,#N/A,FALSE,"UNIT";#N/A,#N/A,FALSE,"계정"}</definedName>
    <definedName name="ㄴㄴㄴㄴㄴ">{"'2 혼례가구(1)'!$C$10"}</definedName>
    <definedName name="ㄴㄴㅁ" hidden="1">#REF!</definedName>
    <definedName name="ㄴㄴㅇ" hidden="1">[134]출입자명단!$A$1:$D$1</definedName>
    <definedName name="ㄴ내역" hidden="1">{#N/A,#N/A,FALSE,"단축1";#N/A,#N/A,FALSE,"단축2";#N/A,#N/A,FALSE,"단축3";#N/A,#N/A,FALSE,"장축";#N/A,#N/A,FALSE,"4WD"}</definedName>
    <definedName name="ㄴ류율ㅇ" hidden="1">{#N/A,#N/A,FALSE,"Yield";#N/A,#N/A,FALSE,"Loss1";#N/A,#N/A,FALSE,"Loss2";#N/A,#N/A,FALSE,"Hour-Labor(배분)";#N/A,#N/A,FALSE,"Capital Expenditure";#N/A,#N/A,FALSE,"Productivity"}</definedName>
    <definedName name="ㄴㅁ" hidden="1">{#N/A,#N/A,FALSE,"UNIT";#N/A,#N/A,FALSE,"UNIT";#N/A,#N/A,FALSE,"계정"}</definedName>
    <definedName name="ㄴㅁㅁㄴ">'[135]96월별PL'!$S$190:$AI$216</definedName>
    <definedName name="ㄴㅁㅁㅁ">#REF!</definedName>
    <definedName name="ㄴㅁㅇㄻㄴㅇㄹ" localSheetId="7">[37]!ㄴㅁㅇㄻㄴㅇㄹ</definedName>
    <definedName name="ㄴㅁㅇㄻㄴㅇㄹ" localSheetId="10">[37]!ㄴㅁㅇㄻㄴㅇㄹ</definedName>
    <definedName name="ㄴㅁㅇㄻㄴㅇㄹ" localSheetId="9">[37]!ㄴㅁㅇㄻㄴㅇㄹ</definedName>
    <definedName name="ㄴㅁㅇㄻㄴㅇㄹ">[37]!ㄴㅁㅇㄻㄴㅇㄹ</definedName>
    <definedName name="ㄴㅇ">[0]!ㄴㅇ</definedName>
    <definedName name="ㄴㅇㄴㅇ">#REF!</definedName>
    <definedName name="ㄴㅇㄵ">#REF!</definedName>
    <definedName name="ㄴㅇㄹ" hidden="1">{#N/A,#N/A,FALSE,"UNIT";#N/A,#N/A,FALSE,"UNIT";#N/A,#N/A,FALSE,"계정"}</definedName>
    <definedName name="ㄴㅇㄹㅇㄴㄹ" hidden="1">{#N/A,#N/A,FALSE,"단축1";#N/A,#N/A,FALSE,"단축2";#N/A,#N/A,FALSE,"단축3";#N/A,#N/A,FALSE,"장축";#N/A,#N/A,FALSE,"4WD"}</definedName>
    <definedName name="ㄴㅇ라" hidden="1">{#N/A,#N/A,FALSE,"계약직(여)"}</definedName>
    <definedName name="ㄴㅇㅇ" hidden="1">{#N/A,#N/A,FALSE,"UNIT";#N/A,#N/A,FALSE,"UNIT";#N/A,#N/A,FALSE,"계정"}</definedName>
    <definedName name="ㄴㅇㅇㄴ" localSheetId="7">BLCH</definedName>
    <definedName name="ㄴㅇㅇㄴ" localSheetId="10">BLCH</definedName>
    <definedName name="ㄴㅇㅇㄴ" localSheetId="9">BLCH</definedName>
    <definedName name="ㄴㅇㅇㄴ">BLCH</definedName>
    <definedName name="ㄴㅇㅊㄹㄴㅇㄹ" hidden="1">{#N/A,#N/A,FALSE,"단축1";#N/A,#N/A,FALSE,"단축2";#N/A,#N/A,FALSE,"단축3";#N/A,#N/A,FALSE,"장축";#N/A,#N/A,FALSE,"4WD"}</definedName>
    <definedName name="나" hidden="1">{#N/A,#N/A,FALSE,"1.CRITERIA";#N/A,#N/A,FALSE,"2.IS";#N/A,#N/A,FALSE,"3.BS";#N/A,#N/A,FALSE,"4.PER PL";#N/A,#N/A,FALSE,"5.INVESTMENT";#N/A,#N/A,FALSE,"6.공문";#N/A,#N/A,FALSE,"7.netinvest"}</definedName>
    <definedName name="나나나" hidden="1">{"'미착금액'!$A$4:$G$14"}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>#REF!</definedName>
    <definedName name="남" hidden="1">{#N/A,#N/A,FALSE,"Sheet5"}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용연수">#REF!</definedName>
    <definedName name="내용연수2">#REF!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네" hidden="1">{#N/A,#N/A,FALSE,"Sheet5"}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년">'[96]비품(94이전)'!#REF!</definedName>
    <definedName name="년도1">#REF!</definedName>
    <definedName name="년말감액예상">{"'Sheet1'!$A$1:$H$36"}</definedName>
    <definedName name="년제조" hidden="1">'[122]99선급비용'!#REF!</definedName>
    <definedName name="년차수">#REF!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무비">#REF!</definedName>
    <definedName name="노무비1">[136]수목표준대가!$J$1:$J$65536</definedName>
    <definedName name="노무합계">#REF!</definedName>
    <definedName name="누" hidden="1">{#N/A,#N/A,FALSE,"Sheet5"}</definedName>
    <definedName name="누적" hidden="1">{#N/A,#N/A,FALSE,"Sheet1"}</definedName>
    <definedName name="뉴">{"'Sheet1'!$A$1:$H$36"}</definedName>
    <definedName name="니" hidden="1">{#N/A,#N/A,FALSE,"Sheet5"}</definedName>
    <definedName name="ㄷ" localSheetId="7" hidden="1">{#N/A,#N/A,FALSE,"Aging Summary";#N/A,#N/A,FALSE,"Ratio Analysis";#N/A,#N/A,FALSE,"Test 120 Day Accts";#N/A,#N/A,FALSE,"Tickmarks"}</definedName>
    <definedName name="ㄷ" localSheetId="8" hidden="1">{#N/A,#N/A,FALSE,"Aging Summary";#N/A,#N/A,FALSE,"Ratio Analysis";#N/A,#N/A,FALSE,"Test 120 Day Accts";#N/A,#N/A,FALSE,"Tickmarks"}</definedName>
    <definedName name="ㄷ" localSheetId="10" hidden="1">{#N/A,#N/A,FALSE,"Aging Summary";#N/A,#N/A,FALSE,"Ratio Analysis";#N/A,#N/A,FALSE,"Test 120 Day Accts";#N/A,#N/A,FALSE,"Tickmarks"}</definedName>
    <definedName name="ㄷ" localSheetId="9" hidden="1">{#N/A,#N/A,FALSE,"Aging Summary";#N/A,#N/A,FALSE,"Ratio Analysis";#N/A,#N/A,FALSE,"Test 120 Day Accts";#N/A,#N/A,FALSE,"Tickmarks"}</definedName>
    <definedName name="ㄷ" hidden="1">{#N/A,#N/A,FALSE,"BS";#N/A,#N/A,FALSE,"PL";#N/A,#N/A,FALSE,"처분";#N/A,#N/A,FALSE,"현금";#N/A,#N/A,FALSE,"매출";#N/A,#N/A,FALSE,"원가";#N/A,#N/A,FALSE,"경영"}</definedName>
    <definedName name="ㄷ6ㅓ">{"'용역비'!$A$4:$C$8"}</definedName>
    <definedName name="ㄷㄱㄷㄱ" hidden="1">{#N/A,#N/A,FALSE,"단축1";#N/A,#N/A,FALSE,"단축2";#N/A,#N/A,FALSE,"단축3";#N/A,#N/A,FALSE,"장축";#N/A,#N/A,FALSE,"4WD"}</definedName>
    <definedName name="ㄷㄱㄷㄱㄷㄱ">{"'용역비'!$A$4:$C$8"}</definedName>
    <definedName name="ㄷㄷ" hidden="1">{#N/A,#N/A,FALSE,"BS";#N/A,#N/A,FALSE,"PL";#N/A,#N/A,FALSE,"처분";#N/A,#N/A,FALSE,"현금";#N/A,#N/A,FALSE,"매출";#N/A,#N/A,FALSE,"원가";#N/A,#N/A,FALSE,"경영"}</definedName>
    <definedName name="ㄷㄷㄱㄱ">{"'용역비'!$A$4:$C$8"}</definedName>
    <definedName name="ㄷㄷㄷ" hidden="1">{#N/A,#N/A,FALSE,"UNIT";#N/A,#N/A,FALSE,"UNIT";#N/A,#N/A,FALSE,"계정"}</definedName>
    <definedName name="ㄷㄷㄷㄷ" hidden="1">{#N/A,#N/A,FALSE,"UNIT";#N/A,#N/A,FALSE,"UNIT";#N/A,#N/A,FALSE,"계정"}</definedName>
    <definedName name="ㄷㄷㄷㄷㄷ" hidden="1">#REF!</definedName>
    <definedName name="ㄷㄷㄷㄹㅇ" hidden="1">{#N/A,#N/A,FALSE,"Sheet1"}</definedName>
    <definedName name="ㄷㅇ" hidden="1">{#N/A,#N/A,TRUE,"Y생산";#N/A,#N/A,TRUE,"Y판매";#N/A,#N/A,TRUE,"Y총물량";#N/A,#N/A,TRUE,"Y능력";#N/A,#N/A,TRUE,"YKD"}</definedName>
    <definedName name="ㄷㅈ" localSheetId="7" hidden="1">#REF!</definedName>
    <definedName name="ㄷㅈ" localSheetId="8" hidden="1">#REF!</definedName>
    <definedName name="ㄷㅈ" localSheetId="10" hidden="1">#REF!</definedName>
    <definedName name="ㄷㅈ" localSheetId="9" hidden="1">#REF!</definedName>
    <definedName name="ㄷㅈ" hidden="1">#REF!</definedName>
    <definedName name="ㄷㅈㄷ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ㄷㅍㅂ">{"'용역비'!$A$4:$C$8"}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다라" hidden="1">{#N/A,#N/A,FALSE,"단축1";#N/A,#N/A,FALSE,"단축2";#N/A,#N/A,FALSE,"단축3";#N/A,#N/A,FALSE,"장축";#N/A,#N/A,FALSE,"4WD"}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단가">#REF!</definedName>
    <definedName name="단가2000">#REF!</definedName>
    <definedName name="단가기준" hidden="1">{#N/A,#N/A,TRUE,"Y생산";#N/A,#N/A,TRUE,"Y판매";#N/A,#N/A,TRUE,"Y총물량";#N/A,#N/A,TRUE,"Y능력";#N/A,#N/A,TRUE,"YKD"}</definedName>
    <definedName name="단가표">'[137]4월계획'!#REF!</definedName>
    <definedName name="단기" hidden="1">{#N/A,#N/A,TRUE,"Y생산";#N/A,#N/A,TRUE,"Y판매";#N/A,#N/A,TRUE,"Y총물량";#N/A,#N/A,TRUE,"Y능력";#N/A,#N/A,TRUE,"YKD"}</definedName>
    <definedName name="단기차입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단기차입금1" localSheetId="7" hidden="1">'[138]단기차입금(200006)'!#REF!</definedName>
    <definedName name="단기차입금1" localSheetId="8" hidden="1">'[138]단기차입금(200006)'!#REF!</definedName>
    <definedName name="단기차입금1" localSheetId="10" hidden="1">'[138]단기차입금(200006)'!#REF!</definedName>
    <definedName name="단기차입금1" localSheetId="9" hidden="1">'[138]단기차입금(200006)'!#REF!</definedName>
    <definedName name="단기차입금1" hidden="1">'[138]단기차입금(200006)'!#REF!</definedName>
    <definedName name="단열공사">#REF!</definedName>
    <definedName name="단위">'[139].3 Report'!$E$4</definedName>
    <definedName name="單位_百萬원">[140]대차대조표!#REF!</definedName>
    <definedName name="單位阡원_阡￥">#REF!</definedName>
    <definedName name="단체퇴직보험">#REF!</definedName>
    <definedName name="단퇴.共">[63]공표손익!#REF!</definedName>
    <definedName name="담당">#REF!</definedName>
    <definedName name="담당공인회계사">#REF!</definedName>
    <definedName name="당" hidden="1">{#N/A,#N/A,FALSE,"96자동차사 계획";#N/A,#N/A,FALSE,"96자동차사 계획"}</definedName>
    <definedName name="당기">#REF!</definedName>
    <definedName name="당기고정부채">#REF!</definedName>
    <definedName name="당기고정자산">#REF!</definedName>
    <definedName name="당기당좌자산">#REF!</definedName>
    <definedName name="당기대손금">#REF!</definedName>
    <definedName name="당기무형자산">#REF!</definedName>
    <definedName name="당기부채자본총계">#REF!</definedName>
    <definedName name="당기부채총계">#REF!</definedName>
    <definedName name="당기상각액">#REF!</definedName>
    <definedName name="당기순이익">#REF!</definedName>
    <definedName name="당기순이익2">[141]손익!#REF!</definedName>
    <definedName name="당기유동부채">#REF!</definedName>
    <definedName name="당기유동자산">#REF!</definedName>
    <definedName name="당기유형자산">#REF!</definedName>
    <definedName name="당기이익잉여금">#REF!</definedName>
    <definedName name="당기자본금">#REF!</definedName>
    <definedName name="당기자본잉여금">#REF!</definedName>
    <definedName name="당기자본조정">#REF!</definedName>
    <definedName name="당기자본총계">#REF!</definedName>
    <definedName name="당기자산총계">#REF!</definedName>
    <definedName name="당기재고자산">#REF!</definedName>
    <definedName name="당기제품제조원가">[142]제조원가!$C$49</definedName>
    <definedName name="당기투자자산">#REF!</definedName>
    <definedName name="당월">#REF!</definedName>
    <definedName name="당좌자산">[143]COBS!$G$4</definedName>
    <definedName name="대" hidden="1">{#N/A,#N/A,FALSE,"98소지이동TOTvs99.1 (2)";#N/A,#N/A,FALSE,"TOTAL";#N/A,#N/A,FALSE,"98소지이동TOTvs99.1(b) (2)"}</definedName>
    <definedName name="대_표_자_명">[144]회사정보!$C$7</definedName>
    <definedName name="대1">OFFSET(#REF!,0,0,COUNTA(#REF!),7)</definedName>
    <definedName name="대2">OFFSET(#REF!,0,0,COUNTA(#REF!),7)</definedName>
    <definedName name="대구">[127]TB!#REF!</definedName>
    <definedName name="대련" hidden="1">{#N/A,#N/A,FALSE,"UNIT";#N/A,#N/A,FALSE,"UNIT";#N/A,#N/A,FALSE,"계정"}</definedName>
    <definedName name="대변">#REF!</definedName>
    <definedName name="대부" hidden="1">{#N/A,#N/A,FALSE,"단축1";#N/A,#N/A,FALSE,"단축2";#N/A,#N/A,FALSE,"단축3";#N/A,#N/A,FALSE,"장축";#N/A,#N/A,FALSE,"4WD"}</definedName>
    <definedName name="대상자명단">#REF!</definedName>
    <definedName name="대손상각" hidden="1">{#N/A,#N/A,FALSE,"BS";#N/A,#N/A,FALSE,"PL";#N/A,#N/A,FALSE,"처분";#N/A,#N/A,FALSE,"현금";#N/A,#N/A,FALSE,"매출";#N/A,#N/A,FALSE,"원가";#N/A,#N/A,FALSE,"경영"}</definedName>
    <definedName name="대손충당금">#REF!</definedName>
    <definedName name="대원" hidden="1">#REF!</definedName>
    <definedName name="대원3" hidden="1">#REF!</definedName>
    <definedName name="대원4" hidden="1">#REF!</definedName>
    <definedName name="대전">[127]TB!#REF!</definedName>
    <definedName name="대차">#REF!</definedName>
    <definedName name="대차대조표.." hidden="1">#REF!</definedName>
    <definedName name="대책">{"'4월수지'!$A$1:$AE$45"}</definedName>
    <definedName name="대책서" hidden="1">{#N/A,#N/A,FALSE,"단축1";#N/A,#N/A,FALSE,"단축2";#N/A,#N/A,FALSE,"단축3";#N/A,#N/A,FALSE,"장축";#N/A,#N/A,FALSE,"4WD"}</definedName>
    <definedName name="대체">#REF!</definedName>
    <definedName name="대표자_주민등록번호">[126]회사정보!$C$11</definedName>
    <definedName name="대표자명">'[24]control sheet'!$C$10:$C$84</definedName>
    <definedName name="대회">#REF!</definedName>
    <definedName name="던" hidden="1">{#N/A,#N/A,FALSE,"Sheet5"}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도______급______액">#REF!</definedName>
    <definedName name="도장">#REF!</definedName>
    <definedName name="도장공사">#REF!</definedName>
    <definedName name="돌" hidden="1">{#N/A,#N/A,FALSE,"Sheet5"}</definedName>
    <definedName name="동국" hidden="1">{#N/A,#N/A,FALSE,"해외크레임";#N/A,#N/A,FALSE,"ACCENT현황";#N/A,#N/A,FALSE,"AVANTE";#N/A,#N/A,FALSE,"SONATA(3)";#N/A,#N/A,FALSE,"국내크레임"}</definedName>
    <definedName name="동남">#REF!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ㄹ" localSheetId="7" hidden="1">{#N/A,#N/A,FALSE,"Aging Summary";#N/A,#N/A,FALSE,"Ratio Analysis";#N/A,#N/A,FALSE,"Test 120 Day Accts";#N/A,#N/A,FALSE,"Tickmarks"}</definedName>
    <definedName name="ㄹ" localSheetId="8" hidden="1">{#N/A,#N/A,FALSE,"Aging Summary";#N/A,#N/A,FALSE,"Ratio Analysis";#N/A,#N/A,FALSE,"Test 120 Day Accts";#N/A,#N/A,FALSE,"Tickmarks"}</definedName>
    <definedName name="ㄹ" localSheetId="10" hidden="1">{#N/A,#N/A,FALSE,"Aging Summary";#N/A,#N/A,FALSE,"Ratio Analysis";#N/A,#N/A,FALSE,"Test 120 Day Accts";#N/A,#N/A,FALSE,"Tickmarks"}</definedName>
    <definedName name="ㄹ" localSheetId="9" hidden="1">{#N/A,#N/A,FALSE,"Aging Summary";#N/A,#N/A,FALSE,"Ratio Analysis";#N/A,#N/A,FALSE,"Test 120 Day Accts";#N/A,#N/A,FALSE,"Tickmarks"}</definedName>
    <definedName name="ㄹ" hidden="1">{#N/A,#N/A,FALSE,"UNIT";#N/A,#N/A,FALSE,"UNIT";#N/A,#N/A,FALSE,"계정"}</definedName>
    <definedName name="ㄹ25">#REF!</definedName>
    <definedName name="ㄹ32">#REF!</definedName>
    <definedName name="ㄹㄴㅇㄹㄴㅇㄹㄴㄱㄴㅇ" hidden="1">{#N/A,#N/A,FALSE,"지침";#N/A,#N/A,FALSE,"환경분석";#N/A,#N/A,FALSE,"Sheet16"}</definedName>
    <definedName name="ㄹㄶㅀ" hidden="1">{#N/A,#N/A,FALSE,"회선임차현황"}</definedName>
    <definedName name="ㄹㄹ" hidden="1">{#N/A,#N/A,FALSE,"BS";#N/A,#N/A,FALSE,"PL";#N/A,#N/A,FALSE,"처분";#N/A,#N/A,FALSE,"현금";#N/A,#N/A,FALSE,"매출";#N/A,#N/A,FALSE,"원가";#N/A,#N/A,FALSE,"경영"}</definedName>
    <definedName name="ㄹㄹㄹ" hidden="1">{#N/A,#N/A,FALSE,"UNIT";#N/A,#N/A,FALSE,"UNIT";#N/A,#N/A,FALSE,"계정"}</definedName>
    <definedName name="ㄹㄹㄹㄹ">{"'Sheet1'!$A$1:$H$36"}</definedName>
    <definedName name="ㄹㄹㄹㄹㄹㄹㄹㄹㄹ" hidden="1">{#N/A,#N/A,FALSE,"Sheet1"}</definedName>
    <definedName name="ㄹㄹㅇㅇ">{"'Sheet1'!$A$1:$H$36"}</definedName>
    <definedName name="ㄹㅇ" hidden="1">{#N/A,#N/A,FALSE,"단축1";#N/A,#N/A,FALSE,"단축2";#N/A,#N/A,FALSE,"단축3";#N/A,#N/A,FALSE,"장축";#N/A,#N/A,FALSE,"4WD"}</definedName>
    <definedName name="ㄹㅇㄴㄹ">{"'산출근거'!$B$4:$D$8"}</definedName>
    <definedName name="ㄹㅇ나ㅣㅓㅇㄴㄹ미">OFFSET(#REF!,0,0,COUNTA(#REF!),7)</definedName>
    <definedName name="ㄹㅇㄹㅇ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ㄹㅇㅀㅇㄹ" hidden="1">{#N/A,#N/A,FALSE,"Sheet1"}</definedName>
    <definedName name="ㄹㅇㅎㅎㅎ" hidden="1">{#N/A,#N/A,FALSE,"98소지이동TOTvs99.1 (2)";#N/A,#N/A,FALSE,"TOTAL";#N/A,#N/A,FALSE,"98소지이동TOTvs99.1(b) (2)"}</definedName>
    <definedName name="ㄹㅈㄷ">#REF!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라리" hidden="1">{#N/A,#N/A,FALSE,"1.CRITERIA";#N/A,#N/A,FALSE,"2.IS";#N/A,#N/A,FALSE,"3.BS";#N/A,#N/A,FALSE,"4.PER PL";#N/A,#N/A,FALSE,"5.INVESTMENT";#N/A,#N/A,FALSE,"6.공문";#N/A,#N/A,FALSE,"7.netinvest"}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ㅏㅇ" hidden="1">{#N/A,#N/A,FALSE,"1.CRITERIA";#N/A,#N/A,FALSE,"2.IS";#N/A,#N/A,FALSE,"3.BS";#N/A,#N/A,FALSE,"4.PER PL";#N/A,#N/A,FALSE,"5.INVESTMENT";#N/A,#N/A,FALSE,"6.공문";#N/A,#N/A,FALSE,"7.netinvest"}</definedName>
    <definedName name="러ㅏㅐㅂ" hidden="1">{#N/A,#N/A,FALSE,"Aging Summary";#N/A,#N/A,FALSE,"Ratio Analysis";#N/A,#N/A,FALSE,"Test 120 Day Accts";#N/A,#N/A,FALSE,"Tickmarks"}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리셋">#REF!</definedName>
    <definedName name="리스">#REF!</definedName>
    <definedName name="리스트">#REF!</definedName>
    <definedName name="ㄺㄹ" hidden="1">{#N/A,#N/A,FALSE,"UNIT";#N/A,#N/A,FALSE,"UNIT";#N/A,#N/A,FALSE,"계정"}</definedName>
    <definedName name="ㄻㄹㄴ" hidden="1">{#N/A,#N/A,FALSE,"BS";#N/A,#N/A,FALSE,"PL";#N/A,#N/A,FALSE,"처분";#N/A,#N/A,FALSE,"현금";#N/A,#N/A,FALSE,"매출";#N/A,#N/A,FALSE,"원가";#N/A,#N/A,FALSE,"경영"}</definedName>
    <definedName name="ㅀ">#REF!</definedName>
    <definedName name="ㅁ" localSheetId="7" hidden="1">{#N/A,#N/A,FALSE,"Aging Summary";#N/A,#N/A,FALSE,"Ratio Analysis";#N/A,#N/A,FALSE,"Test 120 Day Accts";#N/A,#N/A,FALSE,"Tickmarks"}</definedName>
    <definedName name="ㅁ" localSheetId="8" hidden="1">{#N/A,#N/A,FALSE,"Aging Summary";#N/A,#N/A,FALSE,"Ratio Analysis";#N/A,#N/A,FALSE,"Test 120 Day Accts";#N/A,#N/A,FALSE,"Tickmarks"}</definedName>
    <definedName name="ㅁ" localSheetId="10" hidden="1">{#N/A,#N/A,FALSE,"Aging Summary";#N/A,#N/A,FALSE,"Ratio Analysis";#N/A,#N/A,FALSE,"Test 120 Day Accts";#N/A,#N/A,FALSE,"Tickmarks"}</definedName>
    <definedName name="ㅁ" localSheetId="9" hidden="1">{#N/A,#N/A,FALSE,"Aging Summary";#N/A,#N/A,FALSE,"Ratio Analysis";#N/A,#N/A,FALSE,"Test 120 Day Accts";#N/A,#N/A,FALSE,"Tickmarks"}</definedName>
    <definedName name="ㅁ">[0]!ㄴㅇ</definedName>
    <definedName name="ㅁ1">#REF!</definedName>
    <definedName name="ㅁ1108">#REF!</definedName>
    <definedName name="ㅁddd">#REF!</definedName>
    <definedName name="ㅁㄴ" hidden="1">{#N/A,#N/A,TRUE,"매출진척-1";#N/A,#N/A,TRUE,"매출진척-2";#N/A,#N/A,TRUE,"제품실적";#N/A,#N/A,TRUE,"RAC";#N/A,#N/A,TRUE,"PAC ";#N/A,#N/A,TRUE,"재고현황";#N/A,#N/A,TRUE,"공지사항"}</definedName>
    <definedName name="ㅁㄴㄴ">{"'Sheet1'!$A$1:$H$36"}</definedName>
    <definedName name="ㅁㄴㅇ" hidden="1">{#N/A,#N/A,FALSE,"UNIT";#N/A,#N/A,FALSE,"UNIT";#N/A,#N/A,FALSE,"계정"}</definedName>
    <definedName name="ㅁㄴㅇㄹ" hidden="1">'[4]2 카드채권(대출포함)'!#REF!</definedName>
    <definedName name="ㅁㄴㅇ리ㅣㅁㄴㅇㄹ">#REF!</definedName>
    <definedName name="ㅁㄴㅇㅁ" hidden="1">{#N/A,#N/A,FALSE,"을지 (4)";#N/A,#N/A,FALSE,"을지 (5)";#N/A,#N/A,FALSE,"을지 (6)"}</definedName>
    <definedName name="ㅁㅁ" hidden="1">{"'5국공정'!$A$1:$E$128"}</definedName>
    <definedName name="ㅁㅁㅁ">#REF!</definedName>
    <definedName name="ㅁㅁㅁㅁ" hidden="1">{"'5국공정'!$A$1:$E$128"}</definedName>
    <definedName name="ㅁㅁㅁㅁㅁ" hidden="1">{#N/A,#N/A,FALSE,"UNIT";#N/A,#N/A,FALSE,"UNIT";#N/A,#N/A,FALSE,"계정"}</definedName>
    <definedName name="ㅁㅁㅁㅁㅁㅁㅁ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ㅁㅁㅁㅁㅁㅁㅁㅁㅁㅁㅁㅁㅁㅁ">{"'용역비'!$A$4:$C$8"}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ㅈㄷ" hidden="1">{#N/A,#N/A,FALSE,"Aging Summary";#N/A,#N/A,FALSE,"Ratio Analysis";#N/A,#N/A,FALSE,"Test 120 Day Accts";#N/A,#N/A,FALSE,"Tickmarks"}</definedName>
    <definedName name="ㅁㅇ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ㅁㅇㅁㅁㄹㅇㄻㅇㄹ" hidden="1">{"'Sheet1'!$A$1:$J$73"}</definedName>
    <definedName name="ㅁㅇㅊㅁㄴㅇㄹ" hidden="1">{#N/A,#N/A,FALSE,"단축1";#N/A,#N/A,FALSE,"단축2";#N/A,#N/A,FALSE,"단축3";#N/A,#N/A,FALSE,"장축";#N/A,#N/A,FALSE,"4WD"}</definedName>
    <definedName name="ㅁㅈㅂㅈㅂ" hidden="1">#REF!</definedName>
    <definedName name="마" hidden="1">{#N/A,#N/A,FALSE,"1.CRITERIA";#N/A,#N/A,FALSE,"2.IS";#N/A,#N/A,FALSE,"3.BS";#N/A,#N/A,FALSE,"4.PER PL";#N/A,#N/A,FALSE,"5.INVESTMENT";#N/A,#N/A,FALSE,"6.공문";#N/A,#N/A,FALSE,"7.netinvest"}</definedName>
    <definedName name="마7">#REF!</definedName>
    <definedName name="마감" hidden="1">{#N/A,#N/A,FALSE,"기술료 비교"}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케팅" hidden="1">{"'5국공정'!$A$1:$E$128"}</definedName>
    <definedName name="마케팅2" hidden="1">{"'5국공정'!$A$1:$E$128"}</definedName>
    <definedName name="만기보장수익율">#REF!</definedName>
    <definedName name="만남" hidden="1">{"'Sheet1'!$A$1:$J$73"}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입채무">#REF!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>#REF!</definedName>
    <definedName name="매출.본">#REF!</definedName>
    <definedName name="매출1">#REF!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구분">#REF!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가1" hidden="1">{#N/A,#N/A,FALSE,"Aging Summary";#N/A,#N/A,FALSE,"Ratio Analysis";#N/A,#N/A,FALSE,"Test 120 Day Accts";#N/A,#N/A,FALSE,"Tickmarks"}</definedName>
    <definedName name="매출채권">#REF!</definedName>
    <definedName name="매출채권비율">{"'손익현황'!$A$1:$J$29"}</definedName>
    <definedName name="매출채권할인내역">#REF!</definedName>
    <definedName name="매출채권할인및융통어음내역">'[145]3-4현'!$B$7:$F$17</definedName>
    <definedName name="매출추정2">#REF!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머지">#N/A</definedName>
    <definedName name="메모">{"'Sheet1'!$A$1:$H$36"}</definedName>
    <definedName name="메모리연">{"'Sheet1'!$A$1:$H$36"}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명세서">#REF!</definedName>
    <definedName name="모" hidden="1">{#N/A,#N/A,FALSE,"UNIT";#N/A,#N/A,FALSE,"UNIT";#N/A,#N/A,FALSE,"계정"}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목공사">#REF!</definedName>
    <definedName name="목차" hidden="1">{#N/A,#N/A,FALSE,"단축1";#N/A,#N/A,FALSE,"단축2";#N/A,#N/A,FALSE,"단축3";#N/A,#N/A,FALSE,"장축";#N/A,#N/A,FALSE,"4WD"}</definedName>
    <definedName name="목표">[133]경영계획!#REF!</definedName>
    <definedName name="몰라" hidden="1">'[146]주주명부&lt;끝&gt;'!$A$5:$A$14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늬분석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형상세">OFFSET(#REF!,0,0,COUNTA(#REF!),7)</definedName>
    <definedName name="무형자산">#REF!</definedName>
    <definedName name="무형자산상각내역서">#REF!</definedName>
    <definedName name="무형자산상세">OFFSET(#REF!,0,0,COUNTA(#REF!),7)</definedName>
    <definedName name="무형자산상세내역">OFFSET(#REF!,0,0,COUNTA(#REF!),7)</definedName>
    <definedName name="문서처리" hidden="1">{#N/A,#N/A,FALSE,"단축1";#N/A,#N/A,FALSE,"단축2";#N/A,#N/A,FALSE,"단축3";#N/A,#N/A,FALSE,"장축";#N/A,#N/A,FALSE,"4WD"}</definedName>
    <definedName name="물가지수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뭐야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뮤" hidden="1">{#N/A,#N/A,FALSE,"기술료 비교"}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경">{"'Sheet1'!$A$1:$H$36"}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수" hidden="1">{"'보고양식'!$A$58:$K$111"}</definedName>
    <definedName name="미수수익" hidden="1">{"'보고양식'!$A$58:$K$111"}</definedName>
    <definedName name="미수수익2" hidden="1">{"'보고양식'!$A$58:$K$111"}</definedName>
    <definedName name="미수익">OFFSET(#REF!,0,0,COUNTA(#REF!),7)</definedName>
    <definedName name="미움" hidden="1">{#N/A,#N/A,FALSE,"98소지이동TOTvs99.1 (2)";#N/A,#N/A,FALSE,"TOTAL";#N/A,#N/A,FALSE,"98소지이동TOTvs99.1(b) (2)"}</definedName>
    <definedName name="미장공사">#REF!</definedName>
    <definedName name="미지" hidden="1">{#N/A,#N/A,FALSE,"UNIT";#N/A,#N/A,FALSE,"UNIT";#N/A,#N/A,FALSE,"계정"}</definedName>
    <definedName name="미지급" hidden="1">{#N/A,#N/A,FALSE,"Sheet1"}</definedName>
    <definedName name="미지급1" hidden="1">#REF!</definedName>
    <definedName name="미지급11" hidden="1">{#N/A,#N/A,FALSE,"Sheet1"}</definedName>
    <definedName name="미지급금">'[24]control sheet'!$J$10:$J$84</definedName>
    <definedName name="미지급명세">{"'보고양식'!$A$58:$K$111"}</definedName>
    <definedName name="미지급비" hidden="1">{#N/A,#N/A,FALSE,"Sheet1"}</definedName>
    <definedName name="미지급비용.." hidden="1">{#N/A,#N/A,FALSE,"Sheet1"}</definedName>
    <definedName name="미지급비용2" hidden="1">{#N/A,#N/A,FALSE,"Sheet1"}</definedName>
    <definedName name="미지급비용분류" hidden="1">{#N/A,#N/A,FALSE,"계약직(여)"}</definedName>
    <definedName name="미착10월" hidden="1">{#N/A,#N/A,FALSE,"BS";#N/A,#N/A,FALSE,"PL";#N/A,#N/A,FALSE,"처분";#N/A,#N/A,FALSE,"현금";#N/A,#N/A,FALSE,"매출";#N/A,#N/A,FALSE,"원가";#N/A,#N/A,FALSE,"경영"}</definedName>
    <definedName name="미착기계" hidden="1">{#N/A,#N/A,FALSE,"9612"}</definedName>
    <definedName name="민자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localSheetId="7" hidden="1">{#N/A,#N/A,FALSE,"Aging Summary";#N/A,#N/A,FALSE,"Ratio Analysis";#N/A,#N/A,FALSE,"Test 120 Day Accts";#N/A,#N/A,FALSE,"Tickmarks"}</definedName>
    <definedName name="ㅂ" localSheetId="8" hidden="1">{#N/A,#N/A,FALSE,"Aging Summary";#N/A,#N/A,FALSE,"Ratio Analysis";#N/A,#N/A,FALSE,"Test 120 Day Accts";#N/A,#N/A,FALSE,"Tickmarks"}</definedName>
    <definedName name="ㅂ" localSheetId="10" hidden="1">{#N/A,#N/A,FALSE,"Aging Summary";#N/A,#N/A,FALSE,"Ratio Analysis";#N/A,#N/A,FALSE,"Test 120 Day Accts";#N/A,#N/A,FALSE,"Tickmarks"}</definedName>
    <definedName name="ㅂ" localSheetId="9" hidden="1">{#N/A,#N/A,FALSE,"Aging Summary";#N/A,#N/A,FALSE,"Ratio Analysis";#N/A,#N/A,FALSE,"Test 120 Day Accts";#N/A,#N/A,FALSE,"Tickmarks"}</definedName>
    <definedName name="ㅂ" hidden="1">#REF!</definedName>
    <definedName name="ㅂㄷㅈㅂㄴㅇㅊ">#REF!</definedName>
    <definedName name="ㅂㅂ">#REF!</definedName>
    <definedName name="ㅂㅂㄷㅈ">#REF!</definedName>
    <definedName name="ㅂㅂㅂ" localSheetId="7" hidden="1">{#N/A,#N/A,FALSE,"총괄수정"}</definedName>
    <definedName name="ㅂㅂㅂ" localSheetId="8" hidden="1">{#N/A,#N/A,FALSE,"총괄수정"}</definedName>
    <definedName name="ㅂㅂㅂ" localSheetId="10" hidden="1">{#N/A,#N/A,FALSE,"총괄수정"}</definedName>
    <definedName name="ㅂㅂㅂ" localSheetId="9" hidden="1">{#N/A,#N/A,FALSE,"총괄수정"}</definedName>
    <definedName name="ㅂㅂㅂ" hidden="1">{#N/A,#N/A,FALSE,"UNIT";#N/A,#N/A,FALSE,"UNIT";#N/A,#N/A,FALSE,"계정"}</definedName>
    <definedName name="ㅂㅂㅂㅂㅂ" hidden="1">{#N/A,#N/A,FALSE,"UNIT";#N/A,#N/A,FALSE,"UNIT";#N/A,#N/A,FALSE,"계정"}</definedName>
    <definedName name="ㅂㅂㅂㅂㅂㅂ">{"'용역비'!$A$4:$C$8"}</definedName>
    <definedName name="ㅂㅈ">#REF!</definedName>
    <definedName name="ㅂㅈㄷㄷㄱㄱ" hidden="1">{#N/A,#N/A,FALSE,"UNIT";#N/A,#N/A,FALSE,"UNIT";#N/A,#N/A,FALSE,"계정"}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" hidden="1">{#N/A,#N/A,FALSE,"단축1";#N/A,#N/A,FALSE,"단축2";#N/A,#N/A,FALSE,"단축3";#N/A,#N/A,FALSE,"장축";#N/A,#N/A,FALSE,"4WD"}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보">#REF!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박왕근" hidden="1">{#N/A,#N/A,FALSE,"98소지이동TOTvs99.1 (2)";#N/A,#N/A,FALSE,"TOTAL";#N/A,#N/A,FALSE,"98소지이동TOTvs99.1(b) (2)"}</definedName>
    <definedName name="반기">#REF!</definedName>
    <definedName name="반납">[147]Sheet1!$B$3:$D$43</definedName>
    <definedName name="반영율">[148]Data!$J$2:$J$12</definedName>
    <definedName name="반제품">[149]Sheet3!$B$7:$H$13</definedName>
    <definedName name="받" hidden="1">{#N/A,#N/A,TRUE,"Y생산";#N/A,#N/A,TRUE,"Y판매";#N/A,#N/A,TRUE,"Y총물량";#N/A,#N/A,TRUE,"Y능력";#N/A,#N/A,TRUE,"YKD"}</definedName>
    <definedName name="받을어음">'[24]control sheet'!$G$10:$G$84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송일자">#REF!</definedName>
    <definedName name="발송지">#REF!</definedName>
    <definedName name="발송회사">#REF!</definedName>
    <definedName name="방수공사">#REF!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관명세" hidden="1">[150]발생집계!$A$4</definedName>
    <definedName name="배당" hidden="1">{#N/A,#N/A,FALSE,"BS";#N/A,#N/A,FALSE,"PL";#N/A,#N/A,FALSE,"처분";#N/A,#N/A,FALSE,"현금";#N/A,#N/A,FALSE,"매출";#N/A,#N/A,FALSE,"원가";#N/A,#N/A,FALSE,"경영"}</definedName>
    <definedName name="배배배" hidden="1">{"'미착금액'!$A$4:$G$14"}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수량집계">{"'산출근거'!$B$4:$D$8"}</definedName>
    <definedName name="백">#REF!</definedName>
    <definedName name="백만원">[139]총괄표!$DN$2</definedName>
    <definedName name="백재욱">{"'Sheet1'!$A$1:$H$36"}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번호">#REF!</definedName>
    <definedName name="범위1">#REF!</definedName>
    <definedName name="법" hidden="1">{"'Sheet1'!$A$1:$J$73"}</definedName>
    <definedName name="법_인_명_상호">[144]회사정보!$C$6</definedName>
    <definedName name="법인명">[151]입력자료!$C$3</definedName>
    <definedName name="법인명_상호명">[152]회사정보!$C$6</definedName>
    <definedName name="법인세주석사항정리" hidden="1">{#N/A,#N/A,FALSE,"UNIT";#N/A,#N/A,FALSE,"UNIT";#N/A,#N/A,FALSE,"계정"}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변.내" hidden="1">{#N/A,#N/A,FALSE,"단축1";#N/A,#N/A,FALSE,"단축2";#N/A,#N/A,FALSE,"단축3";#N/A,#N/A,FALSE,"장축";#N/A,#N/A,FALSE,"4WD"}</definedName>
    <definedName name="변경">#REF!</definedName>
    <definedName name="변경목차" hidden="1">{#N/A,#N/A,FALSE,"단축1";#N/A,#N/A,FALSE,"단축2";#N/A,#N/A,FALSE,"단축3";#N/A,#N/A,FALSE,"장축";#N/A,#N/A,FALSE,"4WD"}</definedName>
    <definedName name="변경월">#REF!</definedName>
    <definedName name="변동" hidden="1">{#N/A,#N/A,FALSE,"Sheet1"}</definedName>
    <definedName name="변동비" hidden="1">{#N/A,#N/A,FALSE,"Sheet1"}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건후생비">'[123]인건비예산(정규직)'!$IU$28:$IU$276</definedName>
    <definedName name="보건후생비임">'[123]인건비예산(정규직)'!$IU$18:$IU$27</definedName>
    <definedName name="보고" hidden="1">{#N/A,#N/A,FALSE,"단축1";#N/A,#N/A,FALSE,"단축2";#N/A,#N/A,FALSE,"단축3";#N/A,#N/A,FALSE,"장축";#N/A,#N/A,FALSE,"4WD"}</definedName>
    <definedName name="보고기준" hidden="1">{#N/A,#N/A,FALSE,"UNIT";#N/A,#N/A,FALSE,"UNIT";#N/A,#N/A,FALSE,"계정"}</definedName>
    <definedName name="보고서인쇄" localSheetId="7">[153]!보고서인쇄</definedName>
    <definedName name="보고서인쇄" localSheetId="10">[153]!보고서인쇄</definedName>
    <definedName name="보고서인쇄" localSheetId="9">[153]!보고서인쇄</definedName>
    <definedName name="보고서인쇄">[153]!보고서인쇄</definedName>
    <definedName name="보관_회수용1">[154]서식시트!#REF!</definedName>
    <definedName name="보관_회수용2">[154]서식시트!#REF!</definedName>
    <definedName name="보관_회수용3">[154]서식시트!#REF!</definedName>
    <definedName name="보관_회수용4">[154]서식시트!#REF!</definedName>
    <definedName name="보관1">[155]사업자등록증!#REF!</definedName>
    <definedName name="보관2">[155]사업자등록증!#REF!</definedName>
    <definedName name="보관장소">[156]Sheet1!$B$4:$H$46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봅" hidden="1">{#N/A,#N/A,FALSE,"Aging Summary";#N/A,#N/A,FALSE,"Ratio Analysis";#N/A,#N/A,FALSE,"Test 120 Day Accts";#N/A,#N/A,FALSE,"Tickmarks"}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증기관">#REF!</definedName>
    <definedName name="报表">#REF!</definedName>
    <definedName name="보험사코드">#REF!</definedName>
    <definedName name="복사">{"'2 혼례가구(1)'!$C$10"}</definedName>
    <definedName name="본사">{"'Sheet1'!$A$1:$H$36"}</definedName>
    <definedName name="본사누계">[127]TB!#REF!</definedName>
    <definedName name="본사손익">#REF!</definedName>
    <definedName name="본사전기">[127]TB!#REF!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봉ㅇㄹ" hidden="1">{#N/A,#N/A,FALSE,"초도품";#N/A,#N/A,FALSE,"초도품 (2)";#N/A,#N/A,FALSE,"초도품 (3)";#N/A,#N/A,FALSE,"초도품 (4)";#N/A,#N/A,FALSE,"초도품 (5)";#N/A,#N/A,FALSE,"초도품 (6)"}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부__가___가__치__세">#REF!</definedName>
    <definedName name="부가세대급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부가세대급금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대공사집계표">#REF!</definedName>
    <definedName name="부대일위대가">#REF!</definedName>
    <definedName name="부도11" hidden="1">#REF!</definedName>
    <definedName name="부도어음">#REF!</definedName>
    <definedName name="부도어음11" hidden="1">#REF!</definedName>
    <definedName name="부도어음12" hidden="1">#REF!</definedName>
    <definedName name="부도어음2000.12" hidden="1">#REF!</definedName>
    <definedName name="부서">#REF!</definedName>
    <definedName name="부속" hidden="1">[157]수정시산표!#REF!</definedName>
    <definedName name="부외부채" hidden="1">{"adj95mult",#N/A,FALSE,"COMPCO";"adj95est",#N/A,FALSE,"COMPCO"}</definedName>
    <definedName name="부재료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평">[127]TB!#REF!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분기외화" hidden="1">{#N/A,#N/A,FALSE,"1.CRITERIA";#N/A,#N/A,FALSE,"2.IS";#N/A,#N/A,FALSE,"3.BS";#N/A,#N/A,FALSE,"4.PER PL";#N/A,#N/A,FALSE,"5.INVESTMENT";#N/A,#N/A,FALSE,"6.공문";#N/A,#N/A,FALSE,"7.netinvest"}</definedName>
    <definedName name="분류">[158]Sheet5!$C$3:$E$21</definedName>
    <definedName name="분양재">OFFSET(#REF!,0,0,COUNTA(#REF!),7)</definedName>
    <definedName name="비" hidden="1">{#N/A,#N/A,FALSE,"1.CRITERIA";#N/A,#N/A,FALSE,"2.IS";#N/A,#N/A,FALSE,"3.BS";#N/A,#N/A,FALSE,"4.PER PL";#N/A,#N/A,FALSE,"5.INVESTMENT";#N/A,#N/A,FALSE,"6.공문";#N/A,#N/A,FALSE,"7.netinvest"}</definedName>
    <definedName name="비______목">#REF!</definedName>
    <definedName name="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비비비" hidden="1">[159]수정시산표!#REF!</definedName>
    <definedName name="비업무용">#REF!</definedName>
    <definedName name="비용지출2">#REF!</definedName>
    <definedName name="비율2" hidden="1">[159]수정시산표!#REF!</definedName>
    <definedName name="비적">#REF!</definedName>
    <definedName name="비품">#REF!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ㅅ" hidden="1">{#N/A,#N/A,FALSE,"BS";#N/A,#N/A,FALSE,"PL";#N/A,#N/A,FALSE,"처분";#N/A,#N/A,FALSE,"현금";#N/A,#N/A,FALSE,"매출";#N/A,#N/A,FALSE,"원가";#N/A,#N/A,FALSE,"경영"}</definedName>
    <definedName name="ㅅㅅ">#REF!</definedName>
    <definedName name="ㅅㅅㅅ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세" hidden="1">{#N/A,#N/A,FALSE,"98소지이동TOTvs99.1 (2)";#N/A,#N/A,FALSE,"TOTAL";#N/A,#N/A,FALSE,"98소지이동TOTvs99.1(b) (2)"}</definedName>
    <definedName name="사">#REF!</definedName>
    <definedName name="사__급___자__재__비">#REF!</definedName>
    <definedName name="사1" localSheetId="7" hidden="1">#REF!</definedName>
    <definedName name="사1" localSheetId="8" hidden="1">#REF!</definedName>
    <definedName name="사1" localSheetId="10" hidden="1">#REF!</definedName>
    <definedName name="사1" localSheetId="9" hidden="1">#REF!</definedName>
    <definedName name="사1" hidden="1">{#N/A,#N/A,FALSE,"지침";#N/A,#N/A,FALSE,"환경분석";#N/A,#N/A,FALSE,"Sheet16"}</definedName>
    <definedName name="사10" localSheetId="7" hidden="1">#REF!</definedName>
    <definedName name="사10" localSheetId="8" hidden="1">#REF!</definedName>
    <definedName name="사10" localSheetId="10" hidden="1">#REF!</definedName>
    <definedName name="사10" localSheetId="9" hidden="1">#REF!</definedName>
    <definedName name="사10" hidden="1">#REF!</definedName>
    <definedName name="사2" localSheetId="7" hidden="1">#REF!</definedName>
    <definedName name="사2" localSheetId="8" hidden="1">#REF!</definedName>
    <definedName name="사2" localSheetId="10" hidden="1">#REF!</definedName>
    <definedName name="사2" localSheetId="9" hidden="1">#REF!</definedName>
    <definedName name="사2" hidden="1">#REF!</definedName>
    <definedName name="사3" localSheetId="7" hidden="1">#REF!</definedName>
    <definedName name="사3" localSheetId="8" hidden="1">#REF!</definedName>
    <definedName name="사3" localSheetId="10" hidden="1">#REF!</definedName>
    <definedName name="사3" localSheetId="9" hidden="1">#REF!</definedName>
    <definedName name="사3" hidden="1">#REF!</definedName>
    <definedName name="사4" localSheetId="7" hidden="1">#REF!</definedName>
    <definedName name="사4" localSheetId="8" hidden="1">#REF!</definedName>
    <definedName name="사4" localSheetId="10" hidden="1">#REF!</definedName>
    <definedName name="사4" localSheetId="9" hidden="1">#REF!</definedName>
    <definedName name="사4" hidden="1">#REF!</definedName>
    <definedName name="사5" localSheetId="7" hidden="1">#REF!</definedName>
    <definedName name="사5" localSheetId="8" hidden="1">#REF!</definedName>
    <definedName name="사5" localSheetId="10" hidden="1">#REF!</definedName>
    <definedName name="사5" localSheetId="9" hidden="1">#REF!</definedName>
    <definedName name="사5" hidden="1">#REF!</definedName>
    <definedName name="사6" localSheetId="7" hidden="1">#REF!</definedName>
    <definedName name="사6" localSheetId="8" hidden="1">#REF!</definedName>
    <definedName name="사6" localSheetId="10" hidden="1">#REF!</definedName>
    <definedName name="사6" localSheetId="9" hidden="1">#REF!</definedName>
    <definedName name="사6" hidden="1">#REF!</definedName>
    <definedName name="사7" localSheetId="7" hidden="1">#REF!</definedName>
    <definedName name="사7" localSheetId="8" hidden="1">#REF!</definedName>
    <definedName name="사7" localSheetId="10" hidden="1">#REF!</definedName>
    <definedName name="사7" localSheetId="9" hidden="1">#REF!</definedName>
    <definedName name="사7" hidden="1">#REF!</definedName>
    <definedName name="사8" localSheetId="7" hidden="1">#REF!</definedName>
    <definedName name="사8" localSheetId="8" hidden="1">#REF!</definedName>
    <definedName name="사8" localSheetId="10" hidden="1">#REF!</definedName>
    <definedName name="사8" localSheetId="9" hidden="1">#REF!</definedName>
    <definedName name="사8" hidden="1">#REF!</definedName>
    <definedName name="사9" localSheetId="7" hidden="1">#REF!</definedName>
    <definedName name="사9" localSheetId="8" hidden="1">#REF!</definedName>
    <definedName name="사9" localSheetId="10" hidden="1">#REF!</definedName>
    <definedName name="사9" localSheetId="9" hidden="1">#REF!</definedName>
    <definedName name="사9" hidden="1">#REF!</definedName>
    <definedName name="사고">{"'4월수지'!$A$1:$AE$45"}</definedName>
    <definedName name="사랑" hidden="1">{#N/A,#N/A,FALSE,"지침";#N/A,#N/A,FALSE,"환경분석";#N/A,#N/A,FALSE,"Sheet16"}</definedName>
    <definedName name="사랑합니다.">'[160]3-4현'!$B$7:$F$17</definedName>
    <definedName name="사양2">#REF!</definedName>
    <definedName name="사업계획" hidden="1">{#N/A,#N/A,FALSE,"기술료 비교"}</definedName>
    <definedName name="사업년도1">[152]회사정보!$C$15</definedName>
    <definedName name="사업년도2">[152]회사정보!$C$16</definedName>
    <definedName name="사업비_현황">#REF!</definedName>
    <definedName name="사업연도__끝">[151]입력자료!$C$11</definedName>
    <definedName name="사업연도_시작">[151]입력자료!$C$10</definedName>
    <definedName name="사업자등록번호">[144]회사정보!$C$8</definedName>
    <definedName name="사업장소재지">[144]회사정보!$C$10</definedName>
    <definedName name="사업활성" hidden="1">{#N/A,#N/A,FALSE,"UNIT";#N/A,#N/A,FALSE,"UNIT";#N/A,#N/A,FALSE,"계정"}</definedName>
    <definedName name="사용명세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월">#REF!</definedName>
    <definedName name="사월급여">'[123]인건비예산(정규직)'!$DC$28:$DC$276</definedName>
    <definedName name="사월급여임">'[123]인건비예산(정규직)'!$DC$18:$DC$27</definedName>
    <definedName name="사월상여">'[123]인건비예산(정규직)'!$DD$28:$DD$276</definedName>
    <definedName name="사월상여임">'[123]인건비예산(정규직)'!$DD$18:$DD$27</definedName>
    <definedName name="사월잔액">'[128]12'!#REF!</definedName>
    <definedName name="사직구장">'[161]96월별PL'!$S$190:$AI$216</definedName>
    <definedName name="사진1" hidden="1">{#N/A,#N/A,FALSE,"단축1";#N/A,#N/A,FALSE,"단축2";#N/A,#N/A,FALSE,"단축3";#N/A,#N/A,FALSE,"장축";#N/A,#N/A,FALSE,"4WD"}</definedName>
    <definedName name="사진이" hidden="1">{#N/A,#N/A,FALSE,"단축1";#N/A,#N/A,FALSE,"단축2";#N/A,#N/A,FALSE,"단축3";#N/A,#N/A,FALSE,"장축";#N/A,#N/A,FALSE,"4WD"}</definedName>
    <definedName name="사채" localSheetId="7" hidden="1">#REF!</definedName>
    <definedName name="사채" localSheetId="8" hidden="1">#REF!</definedName>
    <definedName name="사채" localSheetId="10" hidden="1">#REF!</definedName>
    <definedName name="사채" localSheetId="9" hidden="1">#REF!</definedName>
    <definedName name="사채" hidden="1">#REF!</definedName>
    <definedName name="산업감액">{"'Sheet1'!$A$1:$H$36"}</definedName>
    <definedName name="산재보험">'[123]인건비예산(정규직)'!$IP$28:$IP$276</definedName>
    <definedName name="산재보험임">'[123]인건비예산(정규직)'!$IP$18:$IP$27</definedName>
    <definedName name="삼" hidden="1">{"'Sheet1'!$A$1:$J$73"}</definedName>
    <definedName name="삼삼" hidden="1">{"'Sheet1'!$A$1:$J$73"}</definedName>
    <definedName name="삼월">#REF!</definedName>
    <definedName name="삼월급여">'[123]인건비예산(정규직)'!$CL$28:$CL$276</definedName>
    <definedName name="삼월급여임">'[123]인건비예산(정규직)'!$CL$18:$CL$27</definedName>
    <definedName name="삼월상여">'[123]인건비예산(정규직)'!$CM$28:$CM$276</definedName>
    <definedName name="삼월상여임">'[123]인건비예산(정규직)'!$CM$18:$CM$27</definedName>
    <definedName name="삼월잔액">'[128]12'!#REF!</definedName>
    <definedName name="상국">{"'Sheet1'!$A$1:$H$36"}</definedName>
    <definedName name="상반최인">#REF!</definedName>
    <definedName name="상세">OFFSET(#REF!,0,0,COUNTA(#REF!),7)</definedName>
    <definedName name="상여인원">[162]부서실적!#REF!</definedName>
    <definedName name="상이사항기록">#REF!</definedName>
    <definedName name="상품" hidden="1">{#N/A,#N/A,FALSE,"Sheet5"}</definedName>
    <definedName name="상품원가">#REF!</definedName>
    <definedName name="상품원가.본">#REF!</definedName>
    <definedName name="새t">#REF!</definedName>
    <definedName name="새로운이름" hidden="1">{#N/A,#N/A,FALSE,"UNIT";#N/A,#N/A,FALSE,"UNIT";#N/A,#N/A,FALSE,"계정"}</definedName>
    <definedName name="새새샛" hidden="1">{"'미착금액'!$A$4:$G$14"}</definedName>
    <definedName name="생산">#REF!</definedName>
    <definedName name="생산1" hidden="1">{#N/A,#N/A,FALSE,"군산원가";#N/A,#N/A,FALSE,"팀별월별";#N/A,#N/A,FALSE,"타공정대체";#N/A,#N/A,FALSE,"기타경비";#N/A,#N/A,FALSE,"원료";#N/A,#N/A,FALSE,"연료"}</definedName>
    <definedName name="생산2" hidden="1">{#N/A,#N/A,FALSE,"군산원가";#N/A,#N/A,FALSE,"팀별월별";#N/A,#N/A,FALSE,"타공정대체";#N/A,#N/A,FALSE,"기타경비";#N/A,#N/A,FALSE,"원료";#N/A,#N/A,FALSE,"연료"}</definedName>
    <definedName name="생산3" hidden="1">{#N/A,#N/A,FALSE,"98소지이동TOTvs99.1 (2)";#N/A,#N/A,FALSE,"TOTAL";#N/A,#N/A,FALSE,"98소지이동TOTvs99.1(b) (2)"}</definedName>
    <definedName name="생산4" hidden="1">{#N/A,#N/A,FALSE,"실적요약";#N/A,#N/A,FALSE,"팀별손익";#N/A,#N/A,FALSE,"월별손익";#N/A,#N/A,FALSE,"제품손익";#N/A,#N/A,FALSE,"제품상품손익";#N/A,#N/A,FALSE,"판매";#N/A,#N/A,FALSE,"단가";#N/A,#N/A,FALSE,"재고";#N/A,#N/A,FALSE,"인원";#N/A,#N/A,FALSE,"판매비";#N/A,#N/A,FALSE,"총원가";#N/A,#N/A,FALSE,"총원가(월)";#N/A,#N/A,FALSE,"관리비(팀)";#N/A,#N/A,FALSE,"관리비(월)";#N/A,#N/A,FALSE,"제품원가(종합)"}</definedName>
    <definedName name="생산5" hidden="1">{#N/A,#N/A,FALSE,"군산원가(팀)";#N/A,#N/A,FALSE,"군산원가(월)";#N/A,#N/A,FALSE,"제품원가(군월)";#N/A,#N/A,FALSE,"제품원가(군누)";#N/A,#N/A,FALSE,"원료(군산)";#N/A,#N/A,FALSE,"연료(군산)";#N/A,#N/A,FALSE,"경비(군산)";#N/A,#N/A,FALSE,"제품원가(부월)";#N/A,#N/A,FALSE,"제품원가(부누)";#N/A,#N/A,FALSE,"부산원가";#N/A,#N/A,FALSE,"부산원가(월별)";#N/A,#N/A,FALSE,"원료(부산)";#N/A,#N/A,FALSE,"연료(부산)";#N/A,#N/A,FALSE,"경비(부산)";#N/A,#N/A,FALSE,"제품원가(가월)";#N/A,#N/A,FALSE,"가좌원가(월별)";#N/A,#N/A,FALSE,"경비(가좌)"}</definedName>
    <definedName name="생산6" hidden="1">{#N/A,#N/A,FALSE,"Yield";#N/A,#N/A,FALSE,"Loss1";#N/A,#N/A,FALSE,"Loss2";#N/A,#N/A,FALSE,"Hour-Labor(배분)";#N/A,#N/A,FALSE,"Capital Expenditure";#N/A,#N/A,FALSE,"Productivity"}</definedName>
    <definedName name="생산7" hidden="1">{#N/A,#N/A,FALSE,"98소지이동TOTvs99.1 (2)";#N/A,#N/A,FALSE,"TOTAL";#N/A,#N/A,FALSE,"98소지이동TOTvs99.1(b) (2)"}</definedName>
    <definedName name="생산TON" hidden="1">{#N/A,#N/A,TRUE,"Y생산";#N/A,#N/A,TRUE,"Y판매";#N/A,#N/A,TRUE,"Y총물량";#N/A,#N/A,TRUE,"Y능력";#N/A,#N/A,TRUE,"YKD"}</definedName>
    <definedName name="서" hidden="1">{#N/A,#N/A,FALSE,"기술료 비교"}</definedName>
    <definedName name="서울사무소">[127]TB!#REF!</definedName>
    <definedName name="서울사무소월차">[127]TB!#REF!</definedName>
    <definedName name="서울사무소전기">[127]TB!#REF!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보험">#REF!</definedName>
    <definedName name="선급보험료">OFFSET(#REF!,0,0,COUNTA(#REF!),7)</definedName>
    <definedName name="선급보험료내역서">OFFSET(#REF!,0,0,COUNTA(#REF!),7)</definedName>
    <definedName name="선급비용" hidden="1">#REF!</definedName>
    <definedName name="선수금">'[24]control sheet'!$K$10:$K$84</definedName>
    <definedName name="선우" hidden="1">{"'Sheet1'!$A$1:$J$73"}</definedName>
    <definedName name="설계_342427000감리_862426000__5">[80]조건!#REF!</definedName>
    <definedName name="설계2팀" hidden="1">{#N/A,#N/A,FALSE,"UNIT";#N/A,#N/A,FALSE,"UNIT";#N/A,#N/A,FALSE,"계정"}</definedName>
    <definedName name="설문지" localSheetId="7" hidden="1">#REF!</definedName>
    <definedName name="설문지" localSheetId="8" hidden="1">#REF!</definedName>
    <definedName name="설문지" localSheetId="10" hidden="1">#REF!</definedName>
    <definedName name="설문지" localSheetId="9" hidden="1">#REF!</definedName>
    <definedName name="설문지" hidden="1">#REF!</definedName>
    <definedName name="섭외수당">#REF!</definedName>
    <definedName name="성" hidden="1">{#N/A,#N/A,FALSE,"UNIT";#N/A,#N/A,FALSE,"UNIT";#N/A,#N/A,FALSE,"계정"}</definedName>
    <definedName name="성남">[127]TB!#REF!</definedName>
    <definedName name="성명">#REF!</definedName>
    <definedName name="성장">#REF!</definedName>
    <definedName name="세무조정">#REF!</definedName>
    <definedName name="세부" hidden="1">{#N/A,#N/A,FALSE,"단축1";#N/A,#N/A,FALSE,"단축2";#N/A,#N/A,FALSE,"단축3";#N/A,#N/A,FALSE,"장축";#N/A,#N/A,FALSE,"4WD"}</definedName>
    <definedName name="세부내역2" hidden="1">{#N/A,#N/A,FALSE,"단축1";#N/A,#N/A,FALSE,"단축2";#N/A,#N/A,FALSE,"단축3";#N/A,#N/A,FALSE,"장축";#N/A,#N/A,FALSE,"4WD"}</definedName>
    <definedName name="세부생산계획" hidden="1">{#N/A,#N/A,TRUE,"Y생산";#N/A,#N/A,TRUE,"Y판매";#N/A,#N/A,TRUE,"Y총물량";#N/A,#N/A,TRUE,"Y능력";#N/A,#N/A,TRUE,"YKD"}</definedName>
    <definedName name="세에율">#REF!</definedName>
    <definedName name="세율">#REF!</definedName>
    <definedName name="세율1">[163]공제!$E$60:$F$65</definedName>
    <definedName name="세율2">#REF!</definedName>
    <definedName name="세일주간">#REF!</definedName>
    <definedName name="세전익익" hidden="1">{#N/A,#N/A,FALSE,"지침";#N/A,#N/A,FALSE,"환경분석";#N/A,#N/A,FALSE,"Sheet16"}</definedName>
    <definedName name="세풍토지">#REF!</definedName>
    <definedName name="셀리카" hidden="1">#REF!</definedName>
    <definedName name="小">#REF!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송충당부채" hidden="1">{#N/A,#N/A,TRUE,"매출진척-1";#N/A,#N/A,TRUE,"매출진척-2";#N/A,#N/A,TRUE,"제품실적";#N/A,#N/A,TRUE,"RAC";#N/A,#N/A,TRUE,"PAC ";#N/A,#N/A,TRUE,"재고현황";#N/A,#N/A,TRUE,"공지사항"}</definedName>
    <definedName name="속">#REF!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익">#REF!</definedName>
    <definedName name="손익2">#REF!</definedName>
    <definedName name="손익3" hidden="1">{#N/A,#N/A,FALSE,"UNIT";#N/A,#N/A,FALSE,"UNIT";#N/A,#N/A,FALSE,"계정"}</definedName>
    <definedName name="손익계산서" hidden="1">{#N/A,#N/A,FALSE,"지침";#N/A,#N/A,FALSE,"환경분석";#N/A,#N/A,FALSE,"Sheet16"}</definedName>
    <definedName name="손익계산서1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손익계산서의성">#REF!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목표1">#REF!</definedName>
    <definedName name="손익변경" hidden="1">{#N/A,#N/A,FALSE,"지침";#N/A,#N/A,FALSE,"환경분석";#N/A,#N/A,FALSE,"Sheet16"}</definedName>
    <definedName name="손익예상" hidden="1">{#N/A,#N/A,FALSE,"UNIT";#N/A,#N/A,FALSE,"UNIT";#N/A,#N/A,FALSE,"계정"}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금" hidden="1">{#N/A,#N/A,FALSE,"단축1";#N/A,#N/A,FALSE,"단축2";#N/A,#N/A,FALSE,"단축3";#N/A,#N/A,FALSE,"장축";#N/A,#N/A,FALSE,"4WD"}</definedName>
    <definedName name="수금율_案">#REF!</definedName>
    <definedName name="수금합계">#REF!</definedName>
    <definedName name="수량산출">{"'산출근거'!$B$4:$D$8"}</definedName>
    <definedName name="수로관단위수량">{"'산출근거'!$B$4:$D$8"}</definedName>
    <definedName name="수유LOSS" hidden="1">{#N/A,#N/A,FALSE,"군산원가";#N/A,#N/A,FALSE,"팀별월별";#N/A,#N/A,FALSE,"타공정대체";#N/A,#N/A,FALSE,"기타경비";#N/A,#N/A,FALSE,"원료";#N/A,#N/A,FALSE,"연료"}</definedName>
    <definedName name="수입금액">#REF!</definedName>
    <definedName name="수장공사">#REF!</definedName>
    <definedName name="수정" hidden="1">{#N/A,#N/A,FALSE,"BS";#N/A,#N/A,FALSE,"PL";#N/A,#N/A,FALSE,"처분";#N/A,#N/A,FALSE,"현금";#N/A,#N/A,FALSE,"매출";#N/A,#N/A,FALSE,"원가";#N/A,#N/A,FALSE,"경영"}</definedName>
    <definedName name="수정6누적" hidden="1">{#N/A,#N/A,FALSE,"98소지이동TOTvs99.1 (2)";#N/A,#N/A,FALSE,"TOTAL";#N/A,#N/A,FALSE,"98소지이동TOTvs99.1(b) (2)"}</definedName>
    <definedName name="수정물량" hidden="1">{#N/A,#N/A,TRUE,"Y생산";#N/A,#N/A,TRUE,"Y판매";#N/A,#N/A,TRUE,"Y총물량";#N/A,#N/A,TRUE,"Y능력";#N/A,#N/A,TRUE,"YKD"}</definedName>
    <definedName name="수정분">#REF!</definedName>
    <definedName name="수정사항" localSheetId="7" hidden="1">#REF!</definedName>
    <definedName name="수정사항" localSheetId="8" hidden="1">#REF!</definedName>
    <definedName name="수정사항" localSheetId="10" hidden="1">#REF!</definedName>
    <definedName name="수정사항" localSheetId="9" hidden="1">#REF!</definedName>
    <definedName name="수정사항" hidden="1">#REF!</definedName>
    <definedName name="수정사항1" hidden="1">{#N/A,#N/A,FALSE,"BS";#N/A,#N/A,FALSE,"PL";#N/A,#N/A,FALSE,"처분";#N/A,#N/A,FALSE,"현금";#N/A,#N/A,FALSE,"매출";#N/A,#N/A,FALSE,"원가";#N/A,#N/A,FALSE,"경영"}</definedName>
    <definedName name="수정ㅇㅇㅇㅇ">{"'손익현황'!$A$1:$J$29"}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정후잔액" hidden="1">{#N/A,#N/A,FALSE,"BS";#N/A,#N/A,FALSE,"PL";#N/A,#N/A,FALSE,"처분";#N/A,#N/A,FALSE,"현금";#N/A,#N/A,FALSE,"매출";#N/A,#N/A,FALSE,"원가";#N/A,#N/A,FALSE,"경영"}</definedName>
    <definedName name="수지">#REF!</definedName>
    <definedName name="수행자">[112]일반!$C$7</definedName>
    <definedName name="순">#REF!</definedName>
    <definedName name="순공사비_현황">#REF!</definedName>
    <definedName name="순현재가치">#REF!</definedName>
    <definedName name="숨기기" localSheetId="7">[164]!숨기기</definedName>
    <definedName name="숨기기" localSheetId="10">[164]!숨기기</definedName>
    <definedName name="숨기기" localSheetId="9">[164]!숨기기</definedName>
    <definedName name="숨기기">[164]!숨기기</definedName>
    <definedName name="시" hidden="1">{#N/A,#N/A,FALSE,"초도품";#N/A,#N/A,FALSE,"초도품 (2)";#N/A,#N/A,FALSE,"초도품 (3)";#N/A,#N/A,FALSE,"초도품 (4)";#N/A,#N/A,FALSE,"초도품 (5)";#N/A,#N/A,FALSE,"초도품 (6)"}</definedName>
    <definedName name="시간" hidden="1">{#N/A,#N/A,TRUE,"Y생산";#N/A,#N/A,TRUE,"Y판매";#N/A,#N/A,TRUE,"Y총물량";#N/A,#N/A,TRUE,"Y능력";#N/A,#N/A,TRUE,"YKD"}</definedName>
    <definedName name="시간외수당">#REF!</definedName>
    <definedName name="시산">#REF!</definedName>
    <definedName name="试算平衡表_期间2010年第12期">#REF!</definedName>
    <definedName name="시설투자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시시시">#REF!</definedName>
    <definedName name="시월1">'[165]재공품(10월)'!$B$4:$J$71</definedName>
    <definedName name="시월급여">'[123]인건비예산(정규직)'!$GZ$28:$GZ$276</definedName>
    <definedName name="시월급여임">'[123]인건비예산(정규직)'!$GZ$18:$GZ$27</definedName>
    <definedName name="시월상여">'[123]인건비예산(정규직)'!$HA$28:$HA$276</definedName>
    <definedName name="시월상여임">'[123]인건비예산(정규직)'!$HA$18:$HA$27</definedName>
    <definedName name="시트자료1" localSheetId="7" hidden="1">#REF!</definedName>
    <definedName name="시트자료1" localSheetId="8" hidden="1">#REF!</definedName>
    <definedName name="시트자료1" localSheetId="10" hidden="1">#REF!</definedName>
    <definedName name="시트자료1" localSheetId="9" hidden="1">#REF!</definedName>
    <definedName name="시트자료1" hidden="1">#REF!</definedName>
    <definedName name="시트자료2" localSheetId="7" hidden="1">#REF!</definedName>
    <definedName name="시트자료2" localSheetId="8" hidden="1">#REF!</definedName>
    <definedName name="시트자료2" localSheetId="10" hidden="1">#REF!</definedName>
    <definedName name="시트자료2" localSheetId="9" hidden="1">#REF!</definedName>
    <definedName name="시트자료2" hidden="1">#REF!</definedName>
    <definedName name="시트자료3" localSheetId="7" hidden="1">#REF!</definedName>
    <definedName name="시트자료3" localSheetId="8" hidden="1">#REF!</definedName>
    <definedName name="시트자료3" localSheetId="10" hidden="1">#REF!</definedName>
    <definedName name="시트자료3" localSheetId="9" hidden="1">#REF!</definedName>
    <definedName name="시트자료3" hidden="1">#REF!</definedName>
    <definedName name="시트자료4" localSheetId="7" hidden="1">#REF!</definedName>
    <definedName name="시트자료4" localSheetId="8" hidden="1">#REF!</definedName>
    <definedName name="시트자료4" localSheetId="10" hidden="1">#REF!</definedName>
    <definedName name="시트자료4" localSheetId="9" hidden="1">#REF!</definedName>
    <definedName name="시트자료4" hidden="1">#REF!</definedName>
    <definedName name="식품">#REF!</definedName>
    <definedName name="신AT종합" hidden="1">{#N/A,#N/A,FALSE,"단축1";#N/A,#N/A,FALSE,"단축2";#N/A,#N/A,FALSE,"단축3";#N/A,#N/A,FALSE,"장축";#N/A,#N/A,FALSE,"4WD"}</definedName>
    <definedName name="신B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신부1">#REF!</definedName>
    <definedName name="신부2">#REF!</definedName>
    <definedName name="신비1">#REF!</definedName>
    <definedName name="신비2">#REF!</definedName>
    <definedName name="신세대종합" hidden="1">{#N/A,#N/A,FALSE,"단축1";#N/A,#N/A,FALSE,"단축2";#N/A,#N/A,FALSE,"단축3";#N/A,#N/A,FALSE,"장축";#N/A,#N/A,FALSE,"4WD"}</definedName>
    <definedName name="신수1">#REF!</definedName>
    <definedName name="신수2">#REF!</definedName>
    <definedName name="신신자">#REF!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자">#REF!</definedName>
    <definedName name="신자1">#REF!</definedName>
    <definedName name="신자2">#REF!</definedName>
    <definedName name="신장">[166]주간계획!#REF!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">#REF!</definedName>
    <definedName name="實績">#REF!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적집계" hidden="1">{#N/A,#N/A,FALSE,"단축1";#N/A,#N/A,FALSE,"단축2";#N/A,#N/A,FALSE,"단축3";#N/A,#N/A,FALSE,"장축";#N/A,#N/A,FALSE,"4WD"}</definedName>
    <definedName name="실행예산서">#REF!</definedName>
    <definedName name="실험" hidden="1">{#N/A,#N/A,FALSE,"BS";#N/A,#N/A,FALSE,"PL";#N/A,#N/A,FALSE,"처분";#N/A,#N/A,FALSE,"현금";#N/A,#N/A,FALSE,"매출";#N/A,#N/A,FALSE,"원가";#N/A,#N/A,FALSE,"경영"}</definedName>
    <definedName name="십월">#REF!</definedName>
    <definedName name="십월잔액">'[128]12'!#REF!</definedName>
    <definedName name="십이급여">'[167]급여(0412)'!$B$2:$C$165</definedName>
    <definedName name="십이상여">'[167]상여(12)'!$B$2:$C$106</definedName>
    <definedName name="십이월">#REF!</definedName>
    <definedName name="십이월급여">'[123]인건비예산(정규직)'!$IH$28:$IH$276</definedName>
    <definedName name="십이월급여임">'[123]인건비예산(정규직)'!$IH$18:$IH$27</definedName>
    <definedName name="십이월상">'[168]0312상'!$A$1:$B$99</definedName>
    <definedName name="십이월상여">'[123]인건비예산(정규직)'!$II$28:$II$276</definedName>
    <definedName name="십이월상여임">'[123]인건비예산(정규직)'!$II$18:$II$27</definedName>
    <definedName name="십일급여">'[167]급여(0411)'!$B$2:$C$166</definedName>
    <definedName name="십일월">#REF!</definedName>
    <definedName name="십일월급여">'[123]인건비예산(정규직)'!$HQ$28:$HQ$276</definedName>
    <definedName name="십일월급여임">'[123]인건비예산(정규직)'!$HQ$18:$HQ$27</definedName>
    <definedName name="십일월상여">'[123]인건비예산(정규직)'!$HR$28:$HR$276</definedName>
    <definedName name="십일월상여임">'[123]인건비예산(정규직)'!$HR$18:$HR$27</definedName>
    <definedName name="십일월잔액">'[128]12'!#REF!</definedName>
    <definedName name="ㅇ" localSheetId="7" hidden="1">{#N/A,#N/A,FALSE,"Aging Summary";#N/A,#N/A,FALSE,"Ratio Analysis";#N/A,#N/A,FALSE,"Test 120 Day Accts";#N/A,#N/A,FALSE,"Tickmarks"}</definedName>
    <definedName name="ㅇ" localSheetId="8" hidden="1">{#N/A,#N/A,FALSE,"Aging Summary";#N/A,#N/A,FALSE,"Ratio Analysis";#N/A,#N/A,FALSE,"Test 120 Day Accts";#N/A,#N/A,FALSE,"Tickmarks"}</definedName>
    <definedName name="ㅇ" localSheetId="10" hidden="1">{#N/A,#N/A,FALSE,"Aging Summary";#N/A,#N/A,FALSE,"Ratio Analysis";#N/A,#N/A,FALSE,"Test 120 Day Accts";#N/A,#N/A,FALSE,"Tickmarks"}</definedName>
    <definedName name="ㅇ" localSheetId="9" hidden="1">{#N/A,#N/A,FALSE,"Aging Summary";#N/A,#N/A,FALSE,"Ratio Analysis";#N/A,#N/A,FALSE,"Test 120 Day Accts";#N/A,#N/A,FALSE,"Tickmarks"}</definedName>
    <definedName name="ㅇ" hidden="1">{#N/A,#N/A,FALSE,"BS";#N/A,#N/A,FALSE,"PL";#N/A,#N/A,FALSE,"처분";#N/A,#N/A,FALSE,"현금";#N/A,#N/A,FALSE,"매출";#N/A,#N/A,FALSE,"원가";#N/A,#N/A,FALSE,"경영"}</definedName>
    <definedName name="ㅇ140">#REF!</definedName>
    <definedName name="ㅇ62">#REF!</definedName>
    <definedName name="ㅇㄴㄷㅀㅅ" hidden="1">{#N/A,#N/A,FALSE,"총괄수정"}</definedName>
    <definedName name="ㅇㄴㄹ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ㅇㅇ" hidden="1">{#N/A,#N/A,FALSE,"UNIT";#N/A,#N/A,FALSE,"UNIT";#N/A,#N/A,FALSE,"계정"}</definedName>
    <definedName name="ㅇㄶ">#REF!</definedName>
    <definedName name="ㅇㄹ" hidden="1">{#N/A,#N/A,FALSE,"UNIT";#N/A,#N/A,FALSE,"UNIT";#N/A,#N/A,FALSE,"계정"}</definedName>
    <definedName name="ㅇㄹㄴ" hidden="1">{#N/A,#N/A,FALSE,"98소지이동TOTvs99.1 (2)";#N/A,#N/A,FALSE,"TOTAL";#N/A,#N/A,FALSE,"98소지이동TOTvs99.1(b) (2)"}</definedName>
    <definedName name="ㅇㄹㄴㄹㄴ" hidden="1">{#N/A,#N/A,FALSE,"지침";#N/A,#N/A,FALSE,"환경분석";#N/A,#N/A,FALSE,"Sheet16"}</definedName>
    <definedName name="ㅇㄹㄴㅇㄹㅇㄹㅇ" localSheetId="7">BlankMacro1</definedName>
    <definedName name="ㅇㄹㄴㅇㄹㅇㄹㅇ" localSheetId="10">BlankMacro1</definedName>
    <definedName name="ㅇㄹㄴㅇㄹㅇㄹㅇ" localSheetId="9">BlankMacro1</definedName>
    <definedName name="ㅇㄹㄴㅇㄹㅇㄹㅇ">BlankMacro1</definedName>
    <definedName name="ㅇㄹㄹ" hidden="1">{#N/A,#N/A,FALSE,"98소지이동TOTvs99.1 (2)";#N/A,#N/A,FALSE,"TOTAL";#N/A,#N/A,FALSE,"98소지이동TOTvs99.1(b) (2)"}</definedName>
    <definedName name="ㅇㄹㅇ" hidden="1">{#N/A,#N/A,FALSE,"지침";#N/A,#N/A,FALSE,"환경분석";#N/A,#N/A,FALSE,"Sheet16"}</definedName>
    <definedName name="ㅇㄹㅇㄴ" hidden="1">{#N/A,#N/A,FALSE,"BS";#N/A,#N/A,FALSE,"PL";#N/A,#N/A,FALSE,"처분";#N/A,#N/A,FALSE,"현금";#N/A,#N/A,FALSE,"매출";#N/A,#N/A,FALSE,"원가";#N/A,#N/A,FALSE,"경영"}</definedName>
    <definedName name="ㅇㄹㅇㄴㄹ">#REF!</definedName>
    <definedName name="ㅇㄻㄴㅇㄻㄴ">#REF!</definedName>
    <definedName name="ㅇㅇ" hidden="1">{#N/A,#N/A,FALSE,"UNIT";#N/A,#N/A,FALSE,"UNIT";#N/A,#N/A,FALSE,"계정"}</definedName>
    <definedName name="ㅇㅇㄴㄴㄴㄴ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ㄹㅇㄹㄹㅇ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{#N/A,#N/A,FALSE,"지침";#N/A,#N/A,FALSE,"환경분석";#N/A,#N/A,FALSE,"Sheet16"}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ㅇㅇㅇㅇㅇㅇㅇㅇ">{"'2 혼례가구(1)'!$C$10"}</definedName>
    <definedName name="ㅇ여ㅗ흐ㅓㅇ휸" hidden="1">{#N/A,#N/A,FALSE,"98소지이동TOTvs99.1 (2)";#N/A,#N/A,FALSE,"TOTAL";#N/A,#N/A,FALSE,"98소지이동TOTvs99.1(b) (2)"}</definedName>
    <definedName name="ㅇㅎㅇㅎ">{"'용역비'!$A$4:$C$8"}</definedName>
    <definedName name="ㅇㅎ오" hidden="1">{#N/A,#N/A,FALSE,"단축1";#N/A,#N/A,FALSE,"단축2";#N/A,#N/A,FALSE,"단축3";#N/A,#N/A,FALSE,"장축";#N/A,#N/A,FALSE,"4WD"}</definedName>
    <definedName name="아" hidden="1">{#N/A,#N/A,FALSE,"Aging Summary";#N/A,#N/A,FALSE,"Ratio Analysis";#N/A,#N/A,FALSE,"Test 120 Day Accts";#N/A,#N/A,FALSE,"Tickmarks"}</definedName>
    <definedName name="아논" hidden="1">{#N/A,#N/A,FALSE,"채권채무";#N/A,#N/A,FALSE,"control sheet"}</definedName>
    <definedName name="아리랑" localSheetId="7">BlankMacro1</definedName>
    <definedName name="아리랑" localSheetId="10">BlankMacro1</definedName>
    <definedName name="아리랑" localSheetId="9">BlankMacro1</definedName>
    <definedName name="아리랑">BlankMacro1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조하아" hidden="1">{#N/A,#N/A,FALSE,"UNIT";#N/A,#N/A,FALSE,"UNIT";#N/A,#N/A,FALSE,"계정"}</definedName>
    <definedName name="아파트">#REF!</definedName>
    <definedName name="아파트벽식">#REF!</definedName>
    <definedName name="아ㅏ아아아아아" hidden="1">{#N/A,#N/A,FALSE,"UNIT";#N/A,#N/A,FALSE,"UNIT";#N/A,#N/A,FALSE,"계정"}</definedName>
    <definedName name="안" hidden="1">{#N/A,#N/A,FALSE,"UNIT";#N/A,#N/A,FALSE,"UNIT";#N/A,#N/A,FALSE,"계정"}</definedName>
    <definedName name="안___전__점__검__비">#REF!</definedName>
    <definedName name="안건" hidden="1">{#N/A,#N/A,FALSE,"BS";#N/A,#N/A,FALSE,"PL";#N/A,#N/A,FALSE,"처분";#N/A,#N/A,FALSE,"현금";#N/A,#N/A,FALSE,"매출";#N/A,#N/A,FALSE,"원가";#N/A,#N/A,FALSE,"경영"}</definedName>
    <definedName name="안녕">#REF!</definedName>
    <definedName name="안녕1">#REF!</definedName>
    <definedName name="안녕3">#REF!</definedName>
    <definedName name="안녕하" hidden="1">'[169]96수표어음'!#REF!</definedName>
    <definedName name="안녕하1" hidden="1">'[169]96수표어음'!#REF!</definedName>
    <definedName name="안전" hidden="1">{#N/A,#N/A,FALSE,"98소지이동TOTvs99.1 (2)";#N/A,#N/A,FALSE,"TOTAL";#N/A,#N/A,FALSE,"98소지이동TOTvs99.1(b) (2)"}</definedName>
    <definedName name="안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안현모" hidden="1">{#N/A,#N/A,FALSE,"단축1";#N/A,#N/A,FALSE,"단축2";#N/A,#N/A,FALSE,"단축3";#N/A,#N/A,FALSE,"장축";#N/A,#N/A,FALSE,"4WD"}</definedName>
    <definedName name="알았어요..">{"'손익현황'!$A$1:$J$29"}</definedName>
    <definedName name="암석산근">{"'용역비'!$A$4:$C$8"}</definedName>
    <definedName name="암석설간">{"'용역비'!$A$4:$C$8"}</definedName>
    <definedName name="야" hidden="1">{#N/A,#N/A,FALSE,"BS";#N/A,#N/A,FALSE,"PL";#N/A,#N/A,FALSE,"처분";#N/A,#N/A,FALSE,"현금";#N/A,#N/A,FALSE,"매출";#N/A,#N/A,FALSE,"원가";#N/A,#N/A,FALSE,"경영"}</definedName>
    <definedName name="야근">#REF!</definedName>
    <definedName name="양" hidden="1">{#N/A,#N/A,FALSE,"UNIT";#N/A,#N/A,FALSE,"UNIT";#N/A,#N/A,FALSE,"계정"}</definedName>
    <definedName name="양산">[127]TB!#REF!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어">#REF!</definedName>
    <definedName name="어아">#REF!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차입금" localSheetId="7" hidden="1">#REF!</definedName>
    <definedName name="어음차입금" localSheetId="8" hidden="1">#REF!</definedName>
    <definedName name="어음차입금" localSheetId="10" hidden="1">#REF!</definedName>
    <definedName name="어음차입금" localSheetId="9" hidden="1">#REF!</definedName>
    <definedName name="어음차입금" hidden="1">#REF!</definedName>
    <definedName name="엄" hidden="1">{#N/A,#N/A,FALSE,"Aging Summary";#N/A,#N/A,FALSE,"Ratio Analysis";#N/A,#N/A,FALSE,"Test 120 Day Accts";#N/A,#N/A,FALSE,"Tickmarks"}</definedName>
    <definedName name="엄마" hidden="1">{#N/A,#N/A,FALSE,"단축1";#N/A,#N/A,FALSE,"단축2";#N/A,#N/A,FALSE,"단축3";#N/A,#N/A,FALSE,"장축";#N/A,#N/A,FALSE,"4WD"}</definedName>
    <definedName name="엄은숙" hidden="1">{#N/A,#N/A,FALSE,"Aging Summary";#N/A,#N/A,FALSE,"Ratio Analysis";#N/A,#N/A,FALSE,"Test 120 Day Accts";#N/A,#N/A,FALSE,"Tickmarks"}</definedName>
    <definedName name="엄은숙꺼" hidden="1">#N/A</definedName>
    <definedName name="업_태">[144]회사정보!$C$14</definedName>
    <definedName name="업무연락">'[170]9703'!#REF!</definedName>
    <definedName name="업무협의식대">'[123]인건비예산(정규직)'!$IS$28:$IS$276</definedName>
    <definedName name="업체방문" hidden="1">{#N/A,#N/A,FALSE,"단축1";#N/A,#N/A,FALSE,"단축2";#N/A,#N/A,FALSE,"단축3";#N/A,#N/A,FALSE,"장축";#N/A,#N/A,FALSE,"4WD"}</definedName>
    <definedName name="업체별" localSheetId="7" hidden="1">{#N/A,#N/A,FALSE,"총괄수정"}</definedName>
    <definedName name="업체별" localSheetId="8" hidden="1">{#N/A,#N/A,FALSE,"총괄수정"}</definedName>
    <definedName name="업체별" localSheetId="10" hidden="1">{#N/A,#N/A,FALSE,"총괄수정"}</definedName>
    <definedName name="업체별" localSheetId="9" hidden="1">{#N/A,#N/A,FALSE,"총괄수정"}</definedName>
    <definedName name="업체별" hidden="1">{#N/A,#N/A,FALSE,"총괄수정"}</definedName>
    <definedName name="에누리">#REF!</definedName>
    <definedName name="에누리.본">#REF!</definedName>
    <definedName name="에이" hidden="1">{#N/A,#N/A,TRUE,"Y생산";#N/A,#N/A,TRUE,"Y판매";#N/A,#N/A,TRUE,"Y총물량";#N/A,#N/A,TRUE,"Y능력";#N/A,#N/A,TRUE,"YKD"}</definedName>
    <definedName name="에천트BEP" hidden="1">{#N/A,#N/A,FALSE,"UNIT";#N/A,#N/A,FALSE,"UNIT";#N/A,#N/A,FALSE,"계정"}</definedName>
    <definedName name="여" hidden="1">{#N/A,#N/A,FALSE,"BS";#N/A,#N/A,FALSE,"PL";#N/A,#N/A,FALSE,"처분";#N/A,#N/A,FALSE,"현금";#N/A,#N/A,FALSE,"매출";#N/A,#N/A,FALSE,"원가";#N/A,#N/A,FALSE,"경영"}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연간예상" hidden="1">{#N/A,#N/A,FALSE,"UNIT";#N/A,#N/A,FALSE,"UNIT";#N/A,#N/A,FALSE,"계정"}</definedName>
    <definedName name="연구개발비">[62]경영계획!#REF!</definedName>
    <definedName name="연구소계" hidden="1">{"'5국공정'!$A$1:$E$128"}</definedName>
    <definedName name="연도별추정손익계산서1q" localSheetId="7" hidden="1">{#N/A,#N/A,FALSE,"총괄수정"}</definedName>
    <definedName name="연도별추정손익계산서1q" localSheetId="8" hidden="1">{#N/A,#N/A,FALSE,"총괄수정"}</definedName>
    <definedName name="연도별추정손익계산서1q" localSheetId="10" hidden="1">{#N/A,#N/A,FALSE,"총괄수정"}</definedName>
    <definedName name="연도별추정손익계산서1q" localSheetId="9" hidden="1">{#N/A,#N/A,FALSE,"총괄수정"}</definedName>
    <definedName name="연도별추정손익계산서1q" hidden="1">{#N/A,#N/A,FALSE,"총괄수정"}</definedName>
    <definedName name="연말">#REF!</definedName>
    <definedName name="연말01">#REF!</definedName>
    <definedName name="연말1">#REF!</definedName>
    <definedName name="연말손익" hidden="1">{#N/A,#N/A,FALSE,"UNIT";#N/A,#N/A,FALSE,"UNIT";#N/A,#N/A,FALSE,"계정"}</definedName>
    <definedName name="연말정산01">#REF!</definedName>
    <definedName name="연습">#REF!</definedName>
    <definedName name="연월차수당">#REF!</definedName>
    <definedName name="연장">#REF!</definedName>
    <definedName name="연장06">#REF!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비">#REF!</definedName>
    <definedName name="영비.본">[63]공표손익!#REF!</definedName>
    <definedName name="영성기업" hidden="1">{#N/A,#N/A,FALSE,"범우구미";#N/A,#N/A,FALSE,"세한케미칼";#N/A,#N/A,FALSE,"세명화학";#N/A,#N/A,FALSE,"신영케미칼";#N/A,#N/A,FALSE,"일석상사"}</definedName>
    <definedName name="영수">#REF!</definedName>
    <definedName name="영수.본">[63]공표손익!#REF!</definedName>
    <definedName name="영업">#REF!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{"adj95mult",#N/A,FALSE,"COMPCO";"adj95est",#N/A,FALSE,"COMPCO"}</definedName>
    <definedName name="영업외비용" localSheetId="7" hidden="1">{#N/A,#N/A,FALSE,"Aging Summary";#N/A,#N/A,FALSE,"Ratio Analysis";#N/A,#N/A,FALSE,"Test 120 Day Accts";#N/A,#N/A,FALSE,"Tickmarks"}</definedName>
    <definedName name="영업외비용" localSheetId="8" hidden="1">{#N/A,#N/A,FALSE,"Aging Summary";#N/A,#N/A,FALSE,"Ratio Analysis";#N/A,#N/A,FALSE,"Test 120 Day Accts";#N/A,#N/A,FALSE,"Tickmarks"}</definedName>
    <definedName name="영업외비용" localSheetId="10" hidden="1">{#N/A,#N/A,FALSE,"Aging Summary";#N/A,#N/A,FALSE,"Ratio Analysis";#N/A,#N/A,FALSE,"Test 120 Day Accts";#N/A,#N/A,FALSE,"Tickmarks"}</definedName>
    <definedName name="영업외비용" localSheetId="9" hidden="1">{#N/A,#N/A,FALSE,"Aging Summary";#N/A,#N/A,FALSE,"Ratio Analysis";#N/A,#N/A,FALSE,"Test 120 Day Accts";#N/A,#N/A,FALSE,"Tickmarks"}</definedName>
    <definedName name="영업외비용" hidden="1">{#N/A,#N/A,FALSE,"BS";#N/A,#N/A,FALSE,"PL";#N/A,#N/A,FALSE,"처분";#N/A,#N/A,FALSE,"현금";#N/A,#N/A,FALSE,"매출";#N/A,#N/A,FALSE,"원가";#N/A,#N/A,FALSE,"경영"}</definedName>
    <definedName name="영업외수" hidden="1">[171]추가예산!#REF!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현금" hidden="1">{#N/A,#N/A,FALSE,"지침";#N/A,#N/A,FALSE,"환경분석";#N/A,#N/A,FALSE,"Sheet16"}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산" hidden="1">{#N/A,#N/A,FALSE,"단축1";#N/A,#N/A,FALSE,"단축2";#N/A,#N/A,FALSE,"단축3";#N/A,#N/A,FALSE,"장축";#N/A,#N/A,FALSE,"4WD"}</definedName>
    <definedName name="예산단가">[172]원판매입!$B$12:$D$27</definedName>
    <definedName name="예산서발행">#REF!</definedName>
    <definedName name="예상마감">{"'9월'!$F$38"}</definedName>
    <definedName name="오" hidden="1">{#N/A,#N/A,FALSE,"Sheet5"}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광석" hidden="1">#REF!</definedName>
    <definedName name="오성협" hidden="1">{#N/A,#N/A,TRUE,"Y생산";#N/A,#N/A,TRUE,"Y판매";#N/A,#N/A,TRUE,"Y총물량";#N/A,#N/A,TRUE,"Y능력";#N/A,#N/A,TRUE,"YKD"}</definedName>
    <definedName name="오월">#REF!</definedName>
    <definedName name="오월급여">'[123]인건비예산(정규직)'!$DT$28:$DT$276</definedName>
    <definedName name="오월급여임">'[123]인건비예산(정규직)'!$DT$18:$DT$27</definedName>
    <definedName name="오월상여">'[123]인건비예산(정규직)'!$DU$28:$DU$276</definedName>
    <definedName name="오월상여임">'[123]인건비예산(정규직)'!$DU$18:$DU$27</definedName>
    <definedName name="오월잔액">'[128]12'!#REF!</definedName>
    <definedName name="왔" hidden="1">{#N/A,#N/A,FALSE,"Sheet5"}</definedName>
    <definedName name="왜이러나" localSheetId="7">BLCH</definedName>
    <definedName name="왜이러나" localSheetId="10">BLCH</definedName>
    <definedName name="왜이러나" localSheetId="9">BLCH</definedName>
    <definedName name="왜이러나">BLCH</definedName>
    <definedName name="외상매입금">'[24]control sheet'!$I$10:$I$84</definedName>
    <definedName name="외상매출금">'[24]control sheet'!$F$10:$F$84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주">[158]Sheet2!$A$5:$B$67</definedName>
    <definedName name="외주가공비">'[173]외주가공비(''05~''07.12)'!$L$3:$M$153</definedName>
    <definedName name="외주계획" hidden="1">{#N/A,#N/A,TRUE,"Y생산";#N/A,#N/A,TRUE,"Y판매";#N/A,#N/A,TRUE,"Y총물량";#N/A,#N/A,TRUE,"Y능력";#N/A,#N/A,TRUE,"YKD"}</definedName>
    <definedName name="외화자산부채환산주석" localSheetId="7">BlankMacro1</definedName>
    <definedName name="외화자산부채환산주석" localSheetId="10">BlankMacro1</definedName>
    <definedName name="외화자산부채환산주석" localSheetId="9">BlankMacro1</definedName>
    <definedName name="외화자산부채환산주석">BlankMacro1</definedName>
    <definedName name="외환차손" hidden="1">#REF!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요약f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용도차" hidden="1">{#N/A,#N/A,FALSE,"단축1";#N/A,#N/A,FALSE,"단축2";#N/A,#N/A,FALSE,"단축3";#N/A,#N/A,FALSE,"장축";#N/A,#N/A,FALSE,"4WD"}</definedName>
    <definedName name="용역인건비14">'[123]인건비예산(용역)'!$R$8:$R$140</definedName>
    <definedName name="용역인건비14잡급">'[123]인건비예산(용역)'!$S$8:$S$140</definedName>
    <definedName name="용역인건비14회식대">'[123]인건비예산(용역)'!$T$8:$T$140</definedName>
    <definedName name="용역인건비24">'[123]인건비예산(용역)'!$AG$8:$AG$140</definedName>
    <definedName name="용역인건비24잡급">'[123]인건비예산(용역)'!$AH$8:$AH$140</definedName>
    <definedName name="용역인건비24회식대">'[123]인건비예산(용역)'!$AI$8:$AI$140</definedName>
    <definedName name="용역인건비34">'[123]인건비예산(용역)'!$AV$8:$AV$140</definedName>
    <definedName name="용역인건비34잡급">'[123]인건비예산(용역)'!$AW$8:$AW$140</definedName>
    <definedName name="용역인건비34회식대">'[123]인건비예산(용역)'!$AX$8:$AX$140</definedName>
    <definedName name="용역인건비44">'[123]인건비예산(용역)'!$BK$8:$BK$140</definedName>
    <definedName name="용역인건비44잡급">'[123]인건비예산(용역)'!$BL$8:$BL$140</definedName>
    <definedName name="용역인건비44회식대">'[123]인건비예산(용역)'!$BM$8:$BM$140</definedName>
    <definedName name="용접">#REF!</definedName>
    <definedName name="우">#REF!</definedName>
    <definedName name="우리">[87]주간계획!#REF!</definedName>
    <definedName name="우리사주" hidden="1">{"'Sheet1'!$A$1:$J$73"}</definedName>
    <definedName name="우리사주조합" hidden="1">{"'Sheet1'!$A$1:$J$73"}</definedName>
    <definedName name="우리ㅣ거거" hidden="1">{"'Sheet1'!$A$1:$J$73"}</definedName>
    <definedName name="우편번호">'[24]control sheet'!$E$10:$E$84</definedName>
    <definedName name="운영" hidden="1">{#N/A,#N/A,FALSE,"Sheet5"}</definedName>
    <definedName name="운영급여">[117]인건비!$D$55</definedName>
    <definedName name="운용리스" hidden="1">{"'매출'!$A$1:$I$22"}</definedName>
    <definedName name="운용리스1" hidden="1">{"'매출'!$A$1:$I$22"}</definedName>
    <definedName name="원">#REF!</definedName>
    <definedName name="원가" localSheetId="7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원가" localSheetId="8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원가" localSheetId="10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원가" localSheetId="9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1">'[123]인건비예산(정규직)'!$T$28:$T$276</definedName>
    <definedName name="원가1임">'[123]인건비예산(정규직)'!$T$18:$T$27</definedName>
    <definedName name="원가2">'[174]인력(정규직)'!#REF!</definedName>
    <definedName name="원가2임">'[174]인력(정규직)'!#REF!</definedName>
    <definedName name="원가3">'[123]인건비예산(용역)'!$E$8:$E$140</definedName>
    <definedName name="원가명세서" hidden="1">{#N/A,#N/A,FALSE,"BS";#N/A,#N/A,FALSE,"PL";#N/A,#N/A,FALSE,"처분";#N/A,#N/A,FALSE,"현금";#N/A,#N/A,FALSE,"매출";#N/A,#N/A,FALSE,"원가";#N/A,#N/A,FALSE,"경영"}</definedName>
    <definedName name="원가분개">[127]TB!#REF!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시">#REF!</definedName>
    <definedName name="원자재">[158]Sheet3!$A$3:$E$363</definedName>
    <definedName name="원자재재고">'[173]PJT별 원자재 기말재고 현황'!$A$6:$C$372</definedName>
    <definedName name="원자재종합" hidden="1">{#N/A,#N/A,FALSE,"단축1";#N/A,#N/A,FALSE,"단축2";#N/A,#N/A,FALSE,"단축3";#N/A,#N/A,FALSE,"장축";#N/A,#N/A,FALSE,"4WD"}</definedName>
    <definedName name="원재료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판단가">#REF!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간">#REF!</definedName>
    <definedName name="월간매출">#REF!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내역">{"'Sheet1'!$A$1:$H$36"}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자금" hidden="1">#REF!</definedName>
    <definedName name="월차공제">#REF!</definedName>
    <definedName name="월차수">#REF!</definedName>
    <definedName name="위치도">[175]주간계획!#REF!</definedName>
    <definedName name="유가증권">#REF!</definedName>
    <definedName name="유가증권평가" hidden="1">[176]지역개발!#REF!</definedName>
    <definedName name="유동부채참조" hidden="1">{#N/A,#N/A,FALSE,"채권채무";#N/A,#N/A,FALSE,"control sheet"}</definedName>
    <definedName name="유동성사채" localSheetId="7" hidden="1">#REF!</definedName>
    <definedName name="유동성사채" localSheetId="8" hidden="1">#REF!</definedName>
    <definedName name="유동성사채" localSheetId="10" hidden="1">#REF!</definedName>
    <definedName name="유동성사채" localSheetId="9" hidden="1">#REF!</definedName>
    <definedName name="유동성사채" hidden="1">#REF!</definedName>
    <definedName name="유월">#REF!</definedName>
    <definedName name="유월급여">'[123]인건비예산(정규직)'!$EK$28:$EK$276</definedName>
    <definedName name="유월급여임">'[123]인건비예산(정규직)'!$EK$18:$EK$27</definedName>
    <definedName name="유월상여">'[123]인건비예산(정규직)'!$EL$28:$EL$276</definedName>
    <definedName name="유월상여임">'[123]인건비예산(정규직)'!$EL$18:$EL$27</definedName>
    <definedName name="유월잔액">'[128]12'!#REF!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첨">{"'Sheet1'!$A$1:$H$36"}</definedName>
    <definedName name="유통">#REF!</definedName>
    <definedName name="유형" hidden="1">{#N/A,#N/A,TRUE,"Y생산";#N/A,#N/A,TRUE,"Y판매";#N/A,#N/A,TRUE,"Y총물량";#N/A,#N/A,TRUE,"Y능력";#N/A,#N/A,TRUE,"YKD"}</definedName>
    <definedName name="유형고정자산" hidden="1">{#N/A,#N/A,FALSE,"9612"}</definedName>
    <definedName name="유형자산." hidden="1">{#N/A,#N/A,FALSE,"채권채무";#N/A,#N/A,FALSE,"control sheet"}</definedName>
    <definedName name="유형자산재계산" hidden="1">#REF!</definedName>
    <definedName name="육월상여">'[167]상여(06)'!$B$2:$C$105</definedName>
    <definedName name="윤년">[129]자료!$J$3:$K$14</definedName>
    <definedName name="윤태호">'[128]12'!#REF!</definedName>
    <definedName name="율">'[96]비품(94이전)'!#REF!</definedName>
    <definedName name="율리1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의료보험">'[123]인건비예산(정규직)'!$IO$28:$IO$276</definedName>
    <definedName name="의료보험임">'[123]인건비예산(정규직)'!$IO$18:$IO$27</definedName>
    <definedName name="의류">#REF!</definedName>
    <definedName name="이">[34]Dec!$A$5:$W$540</definedName>
    <definedName name="이______________윤">#REF!</definedName>
    <definedName name="이______전______비">#REF!</definedName>
    <definedName name="이광흐ㅣ2" hidden="1">{#N/A,#N/A,FALSE,"98소지이동TOTvs99.1 (2)";#N/A,#N/A,FALSE,"TOTAL";#N/A,#N/A,FALSE,"98소지이동TOTvs99.1(b) (2)"}</definedName>
    <definedName name="이광희" hidden="1">{#N/A,#N/A,FALSE,"Yield";#N/A,#N/A,FALSE,"Loss1";#N/A,#N/A,FALSE,"Loss2";#N/A,#N/A,FALSE,"Hour-Labor(배분)";#N/A,#N/A,FALSE,"Capital Expenditure";#N/A,#N/A,FALSE,"Productivity"}</definedName>
    <definedName name="이근우" hidden="1">{#N/A,#N/A,FALSE,"BS";#N/A,#N/A,FALSE,"PL";#N/A,#N/A,FALSE,"처분";#N/A,#N/A,FALSE,"현금";#N/A,#N/A,FALSE,"매출";#N/A,#N/A,FALSE,"원가";#N/A,#N/A,FALSE,"경영"}</definedName>
    <definedName name="이동">#REF!</definedName>
    <definedName name="이란" hidden="1">{#N/A,#N/A,FALSE,"단축1";#N/A,#N/A,FALSE,"단축2";#N/A,#N/A,FALSE,"단축3";#N/A,#N/A,FALSE,"장축";#N/A,#N/A,FALSE,"4WD"}</definedName>
    <definedName name="이런">{"'보고양식'!$A$58:$K$111"}</definedName>
    <definedName name="이름">{"'Sheet1'!$A$1:$H$36"}</definedName>
    <definedName name="이름충돌" hidden="1">{#N/A,#N/A,FALSE,"UNIT";#N/A,#N/A,FALSE,"UNIT";#N/A,#N/A,FALSE,"계정"}</definedName>
    <definedName name="이미" hidden="1">{#N/A,#N/A,FALSE,"98소지이동TOTvs99.1 (2)";#N/A,#N/A,FALSE,"TOTAL";#N/A,#N/A,FALSE,"98소지이동TOTvs99.1(b) (2)"}</definedName>
    <definedName name="이미리" hidden="1">{#N/A,#N/A,FALSE,"98소지이동TOTvs99.1 (2)";#N/A,#N/A,FALSE,"TOTAL";#N/A,#N/A,FALSE,"98소지이동TOTvs99.1(b) (2)"}</definedName>
    <definedName name="이사회" hidden="1">{"adj95mult",#N/A,FALSE,"COMPCO";"adj95est",#N/A,FALSE,"COMPCO"}</definedName>
    <definedName name="이성일" hidden="1">{"'5국공정'!$A$1:$E$128"}</definedName>
    <definedName name="이슈" hidden="1">{#N/A,#N/A,FALSE,"지침";#N/A,#N/A,FALSE,"환경분석";#N/A,#N/A,FALSE,"Sheet16"}</definedName>
    <definedName name="이여도" hidden="1">{#N/A,#N/A,FALSE,"98소지이동TOTvs99.1 (2)";#N/A,#N/A,FALSE,"TOTAL";#N/A,#N/A,FALSE,"98소지이동TOTvs99.1(b) (2)"}</definedName>
    <definedName name="이영봉" hidden="1">{#N/A,#N/A,FALSE,"BS";#N/A,#N/A,FALSE,"PL";#N/A,#N/A,FALSE,"처분";#N/A,#N/A,FALSE,"현금";#N/A,#N/A,FALSE,"매출";#N/A,#N/A,FALSE,"원가";#N/A,#N/A,FALSE,"경영"}</definedName>
    <definedName name="이월">#REF!</definedName>
    <definedName name="이월급여">'[123]인건비예산(정규직)'!$BU$28:$BU$276</definedName>
    <definedName name="이월급여임">'[123]인건비예산(정규직)'!$BU$18:$BU$27</definedName>
    <definedName name="이월상여">'[123]인건비예산(정규직)'!$BV$28:$BV$276</definedName>
    <definedName name="이월상여임">'[123]인건비예산(정규직)'!$BV$18:$BV$27</definedName>
    <definedName name="이익">[97]한세A4PL!#REF!</definedName>
    <definedName name="이익잉여금처분">#REF!</definedName>
    <definedName name="이익잉여금처분계산서" hidden="1">{#N/A,#N/A,FALSE,"현장 NCR 분석";#N/A,#N/A,FALSE,"현장품질감사";#N/A,#N/A,FALSE,"현장품질감사"}</definedName>
    <definedName name="이자율">#REF!</definedName>
    <definedName name="이중">{"'2 혼례가구(1)'!$C$10"}</definedName>
    <definedName name="이천생산">{"'Sheet1'!$A$1:$H$36"}</definedName>
    <definedName name="이천자동화팀">{"'Sheet1'!$A$1:$H$36"}</definedName>
    <definedName name="이ㅏㅓ" hidden="1">{#N/A,#N/A,FALSE,"1.CRITERIA";#N/A,#N/A,FALSE,"2.IS";#N/A,#N/A,FALSE,"3.BS";#N/A,#N/A,FALSE,"4.PER PL";#N/A,#N/A,FALSE,"5.INVESTMENT";#N/A,#N/A,FALSE,"6.공문";#N/A,#N/A,FALSE,"7.netinvest"}</definedName>
    <definedName name="인" localSheetId="7" hidden="1">{#N/A,#N/A,FALSE,"총괄수정"}</definedName>
    <definedName name="인" localSheetId="8" hidden="1">{#N/A,#N/A,FALSE,"총괄수정"}</definedName>
    <definedName name="인" localSheetId="10" hidden="1">{#N/A,#N/A,FALSE,"총괄수정"}</definedName>
    <definedName name="인" localSheetId="9" hidden="1">{#N/A,#N/A,FALSE,"총괄수정"}</definedName>
    <definedName name="인" hidden="1">{#N/A,#N/A,FALSE,"Sheet1"}</definedName>
    <definedName name="인당" localSheetId="7" hidden="1">{#N/A,#N/A,FALSE,"총괄수정"}</definedName>
    <definedName name="인당" localSheetId="8" hidden="1">{#N/A,#N/A,FALSE,"총괄수정"}</definedName>
    <definedName name="인당" localSheetId="10" hidden="1">{#N/A,#N/A,FALSE,"총괄수정"}</definedName>
    <definedName name="인당" localSheetId="9" hidden="1">{#N/A,#N/A,FALSE,"총괄수정"}</definedName>
    <definedName name="인당" hidden="1">{#N/A,#N/A,FALSE,"총괄수정"}</definedName>
    <definedName name="인사팀">#REF!</definedName>
    <definedName name="인쇄">[120]대차대조표!#REF!,[120]대차대조표!$A$10:$H$134</definedName>
    <definedName name="인쇄01">#REF!</definedName>
    <definedName name="인쇄02">#REF!</definedName>
    <definedName name="인쇄03">#REF!</definedName>
    <definedName name="인쇄04">'[177]차량(구)'!$A$1:$IV$3</definedName>
    <definedName name="인쇄05">#REF!</definedName>
    <definedName name="인쇄BU" hidden="1">{#N/A,#N/A,FALSE,"지침";#N/A,#N/A,FALSE,"환경분석";#N/A,#N/A,FALSE,"Sheet16"}</definedName>
    <definedName name="인쇄범위">#REF!</definedName>
    <definedName name="인쇄영역">#REF!</definedName>
    <definedName name="인쇄제목">#REF!</definedName>
    <definedName name="인원">[178]인원_20001101!$A$1:$H$126</definedName>
    <definedName name="인원1" hidden="1">{#N/A,#N/A,FALSE,"98소지이동TOTvs99.1 (2)";#N/A,#N/A,FALSE,"TOTAL";#N/A,#N/A,FALSE,"98소지이동TOTvs99.1(b) (2)"}</definedName>
    <definedName name="인원2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인원2002년1월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인원충원사유" hidden="1">{#N/A,#N/A,FALSE,"계약직(여)"}</definedName>
    <definedName name="일__반___관__리__비">#REF!</definedName>
    <definedName name="일반관리비" hidden="1">{#N/A,#N/A,FALSE,"Sheet1"}</definedName>
    <definedName name="일시적차이대사" localSheetId="7" hidden="1">{#N/A,#N/A,FALSE,"총괄수정"}</definedName>
    <definedName name="일시적차이대사" localSheetId="8" hidden="1">{#N/A,#N/A,FALSE,"총괄수정"}</definedName>
    <definedName name="일시적차이대사" localSheetId="10" hidden="1">{#N/A,#N/A,FALSE,"총괄수정"}</definedName>
    <definedName name="일시적차이대사" localSheetId="9" hidden="1">{#N/A,#N/A,FALSE,"총괄수정"}</definedName>
    <definedName name="일시적차이대사" hidden="1">{#N/A,#N/A,FALSE,"총괄수정"}</definedName>
    <definedName name="일시적차이및이월결손금1q" localSheetId="7" hidden="1">{#N/A,#N/A,FALSE,"총괄수정"}</definedName>
    <definedName name="일시적차이및이월결손금1q" localSheetId="8" hidden="1">{#N/A,#N/A,FALSE,"총괄수정"}</definedName>
    <definedName name="일시적차이및이월결손금1q" localSheetId="10" hidden="1">{#N/A,#N/A,FALSE,"총괄수정"}</definedName>
    <definedName name="일시적차이및이월결손금1q" localSheetId="9" hidden="1">{#N/A,#N/A,FALSE,"총괄수정"}</definedName>
    <definedName name="일시적차이및이월결손금1q" hidden="1">{#N/A,#N/A,FALSE,"총괄수정"}</definedName>
    <definedName name="일월">#REF!</definedName>
    <definedName name="일월급여">'[123]인건비예산(정규직)'!$BD$28:$BD$276</definedName>
    <definedName name="일월급여임">'[123]인건비예산(정규직)'!$BD$18:$BD$27</definedName>
    <definedName name="일월상여">'[123]인건비예산(정규직)'!$BE$28:$BE$276</definedName>
    <definedName name="일월상여임">'[123]인건비예산(정규직)'!$BE$18:$BE$27</definedName>
    <definedName name="일위" hidden="1">#REF!</definedName>
    <definedName name="일정97" localSheetId="7" hidden="1">#REF!</definedName>
    <definedName name="일정97" localSheetId="8" hidden="1">#REF!</definedName>
    <definedName name="일정97" localSheetId="10" hidden="1">#REF!</definedName>
    <definedName name="일정97" localSheetId="9" hidden="1">#REF!</definedName>
    <definedName name="일정97" hidden="1">#REF!</definedName>
    <definedName name="임대미수" hidden="1">#REF!</definedName>
    <definedName name="임대보증금" hidden="1">{#N/A,#N/A,FALSE,"BS";#N/A,#N/A,FALSE,"PL";#N/A,#N/A,FALSE,"처분";#N/A,#N/A,FALSE,"현금";#N/A,#N/A,FALSE,"매출";#N/A,#N/A,FALSE,"원가";#N/A,#N/A,FALSE,"경영"}</definedName>
    <definedName name="임대보증금_수금_案">#REF!</definedName>
    <definedName name="임시">#REF!</definedName>
    <definedName name="임원활동비">'[123]인건비예산(정규직)'!$IR$18:$IR$27</definedName>
    <definedName name="잉">[179]영업.일!#REF!</definedName>
    <definedName name="잉여금" hidden="1">{#N/A,#N/A,FALSE,"BS";#N/A,#N/A,FALSE,"PL";#N/A,#N/A,FALSE,"처분";#N/A,#N/A,FALSE,"현금";#N/A,#N/A,FALSE,"매출";#N/A,#N/A,FALSE,"원가";#N/A,#N/A,FALSE,"경영"}</definedName>
    <definedName name="잉여금처분">OFFSET(#REF!,0,0,COUNTA(#REF!),7)</definedName>
    <definedName name="잉여금처분계산서상당기순이익">[50]RE!#REF!</definedName>
    <definedName name="ㅈ" localSheetId="7" hidden="1">{#N/A,#N/A,FALSE,"Aging Summary";#N/A,#N/A,FALSE,"Ratio Analysis";#N/A,#N/A,FALSE,"Test 120 Day Accts";#N/A,#N/A,FALSE,"Tickmarks"}</definedName>
    <definedName name="ㅈ" localSheetId="8" hidden="1">{#N/A,#N/A,FALSE,"Aging Summary";#N/A,#N/A,FALSE,"Ratio Analysis";#N/A,#N/A,FALSE,"Test 120 Day Accts";#N/A,#N/A,FALSE,"Tickmarks"}</definedName>
    <definedName name="ㅈ" localSheetId="10" hidden="1">{#N/A,#N/A,FALSE,"Aging Summary";#N/A,#N/A,FALSE,"Ratio Analysis";#N/A,#N/A,FALSE,"Test 120 Day Accts";#N/A,#N/A,FALSE,"Tickmarks"}</definedName>
    <definedName name="ㅈ" localSheetId="9" hidden="1">{#N/A,#N/A,FALSE,"Aging Summary";#N/A,#N/A,FALSE,"Ratio Analysis";#N/A,#N/A,FALSE,"Test 120 Day Accts";#N/A,#N/A,FALSE,"Tickmarks"}</definedName>
    <definedName name="ㅈ" hidden="1">{#N/A,#N/A,FALSE,"BS";#N/A,#N/A,FALSE,"PL";#N/A,#N/A,FALSE,"처분";#N/A,#N/A,FALSE,"현금";#N/A,#N/A,FALSE,"매출";#N/A,#N/A,FALSE,"원가";#N/A,#N/A,FALSE,"경영"}</definedName>
    <definedName name="ㅈ고모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ㄷ">#REF!</definedName>
    <definedName name="ㅈㄷㄱㄷㄱㄷ">{"'용역비'!$A$4:$C$8"}</definedName>
    <definedName name="ㅈㄷㅈㄷ12ㄷ">#REF!</definedName>
    <definedName name="ㅈㄹ" hidden="1">{#N/A,#N/A,FALSE,"초도품";#N/A,#N/A,FALSE,"초도품 (2)";#N/A,#N/A,FALSE,"초도품 (3)";#N/A,#N/A,FALSE,"초도품 (4)";#N/A,#N/A,FALSE,"초도품 (5)";#N/A,#N/A,FALSE,"초도품 (6)"}</definedName>
    <definedName name="ㅈㅇ">{"'용역비'!$A$4:$C$8"}</definedName>
    <definedName name="ㅈㅈ" hidden="1">{#N/A,"수불부",FALSE,"사급자재수불서";#N/A,"수불부",FALSE,"사급자재수불서"}</definedName>
    <definedName name="ㅈㅈㅈ" hidden="1">{#N/A,#N/A,FALSE,"단축1";#N/A,#N/A,FALSE,"단축2";#N/A,#N/A,FALSE,"단축3";#N/A,#N/A,FALSE,"장축";#N/A,#N/A,FALSE,"4WD"}</definedName>
    <definedName name="ㅈㅈㅈㅂㅂ">#REF!</definedName>
    <definedName name="ㅈㅈㅈㅈ" hidden="1">{#N/A,#N/A,TRUE,"Y생산";#N/A,#N/A,TRUE,"Y판매";#N/A,#N/A,TRUE,"Y총물량";#N/A,#N/A,TRUE,"Y능력";#N/A,#N/A,TRUE,"YKD"}</definedName>
    <definedName name="ㅈㅈㅈㅈㅈ">#REF!</definedName>
    <definedName name="ㅈㅈㅈㅈㅈㅈ">{"'용역비'!$A$4:$C$8"}</definedName>
    <definedName name="자" hidden="1">{#N/A,#N/A,FALSE,"UNIT";#N/A,#N/A,FALSE,"UNIT";#N/A,#N/A,FALSE,"계정"}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금" hidden="1">{"'Sheet1'!$A$1:$J$73"}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수지계획">[180]MACRO2!$A$1</definedName>
    <definedName name="자기" hidden="1">{#N/A,#N/A,FALSE,"단축1";#N/A,#N/A,FALSE,"단축2";#N/A,#N/A,FALSE,"단축3";#N/A,#N/A,FALSE,"장축";#N/A,#N/A,FALSE,"4WD"}</definedName>
    <definedName name="자기계발비">[181]DB!#REF!</definedName>
    <definedName name="자동">#REF!</definedName>
    <definedName name="자동화" hidden="1">{#N/A,#N/A,FALSE,"UNIT";#N/A,#N/A,FALSE,"UNIT";#N/A,#N/A,FALSE,"계정"}</definedName>
    <definedName name="자동화팀">{"'Sheet1'!$A$1:$H$36"}</definedName>
    <definedName name="자라" hidden="1">{#N/A,#N/A,FALSE,"단축1";#N/A,#N/A,FALSE,"단축2";#N/A,#N/A,FALSE,"단축3";#N/A,#N/A,FALSE,"장축";#N/A,#N/A,FALSE,"4WD"}</definedName>
    <definedName name="자료">#REF!</definedName>
    <definedName name="자료연구비">#REF!</definedName>
    <definedName name="자리">{"'Sheet1'!$A$1:$H$36"}</definedName>
    <definedName name="자본" hidden="1">{#N/A,#N/A,FALSE,"Aging Summary";#N/A,#N/A,FALSE,"Ratio Analysis";#N/A,#N/A,FALSE,"Test 120 Day Accts";#N/A,#N/A,FALSE,"Tickmarks"}</definedName>
    <definedName name="자본금" localSheetId="7" hidden="1">{#N/A,#N/A,FALSE,"Aging Summary";#N/A,#N/A,FALSE,"Ratio Analysis";#N/A,#N/A,FALSE,"Test 120 Day Accts";#N/A,#N/A,FALSE,"Tickmarks"}</definedName>
    <definedName name="자본금" localSheetId="8" hidden="1">{#N/A,#N/A,FALSE,"Aging Summary";#N/A,#N/A,FALSE,"Ratio Analysis";#N/A,#N/A,FALSE,"Test 120 Day Accts";#N/A,#N/A,FALSE,"Tickmarks"}</definedName>
    <definedName name="자본금" localSheetId="10" hidden="1">{#N/A,#N/A,FALSE,"Aging Summary";#N/A,#N/A,FALSE,"Ratio Analysis";#N/A,#N/A,FALSE,"Test 120 Day Accts";#N/A,#N/A,FALSE,"Tickmarks"}</definedName>
    <definedName name="자본금" localSheetId="9" hidden="1">{#N/A,#N/A,FALSE,"Aging Summary";#N/A,#N/A,FALSE,"Ratio Analysis";#N/A,#N/A,FALSE,"Test 120 Day Accts";#N/A,#N/A,FALSE,"Tickmarks"}</definedName>
    <definedName name="자본금">BlankMacro1</definedName>
    <definedName name="자본금_을">#REF!</definedName>
    <definedName name="자본반기" hidden="1">[182]시산표!#REF!</definedName>
    <definedName name="자본방" hidden="1">{#N/A,#N/A,FALSE,"Aging Summary";#N/A,#N/A,FALSE,"Ratio Analysis";#N/A,#N/A,FALSE,"Test 120 Day Accts";#N/A,#N/A,FALSE,"Tickmarks"}</definedName>
    <definedName name="자본잉여금" localSheetId="7">BlankMacro1</definedName>
    <definedName name="자본잉여금" localSheetId="10">BlankMacro1</definedName>
    <definedName name="자본잉여금" localSheetId="9">BlankMacro1</definedName>
    <definedName name="자본잉여금">BlankMacro1</definedName>
    <definedName name="자본적" hidden="1">{#N/A,#N/A,FALSE,"98소지이동TOTvs99.1 (2)";#N/A,#N/A,FALSE,"TOTAL";#N/A,#N/A,FALSE,"98소지이동TOTvs99.1(b) (2)"}</definedName>
    <definedName name="자산">#REF!</definedName>
    <definedName name="자산항목___건물">#REF!</definedName>
    <definedName name="자산현금유입">#REF!,#REF!,#REF!,#REF!</definedName>
    <definedName name="자산현금유출">#REF!,#REF!,#REF!,#REF!</definedName>
    <definedName name="자재기준" hidden="1">{#N/A,#N/A,TRUE,"Y생산";#N/A,#N/A,TRUE,"Y판매";#N/A,#N/A,TRUE,"Y총물량";#N/A,#N/A,TRUE,"Y능력";#N/A,#N/A,TRUE,"YKD"}</definedName>
    <definedName name="작성조서" hidden="1">{#N/A,#N/A,FALSE,"BS";#N/A,#N/A,FALSE,"PL";#N/A,#N/A,FALSE,"처분";#N/A,#N/A,FALSE,"현금";#N/A,#N/A,FALSE,"매출";#N/A,#N/A,FALSE,"원가";#N/A,#N/A,FALSE,"경영"}</definedName>
    <definedName name="작업" hidden="1">{#N/A,#N/A,FALSE,"군산원가";#N/A,#N/A,FALSE,"팀별월별";#N/A,#N/A,FALSE,"타공정대체";#N/A,#N/A,FALSE,"기타경비";#N/A,#N/A,FALSE,"원료";#N/A,#N/A,FALSE,"연료"}</definedName>
    <definedName name="잔액" hidden="1">#REF!</definedName>
    <definedName name="잡공사">#REF!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익2" localSheetId="7" hidden="1">{#N/A,#N/A,FALSE,"BS";#N/A,#N/A,FALSE,"PL";#N/A,#N/A,FALSE,"처분";#N/A,#N/A,FALSE,"현금";#N/A,#N/A,FALSE,"매출";#N/A,#N/A,FALSE,"원가";#N/A,#N/A,FALSE,"경영"}</definedName>
    <definedName name="잡손익2" localSheetId="8" hidden="1">{#N/A,#N/A,FALSE,"BS";#N/A,#N/A,FALSE,"PL";#N/A,#N/A,FALSE,"처분";#N/A,#N/A,FALSE,"현금";#N/A,#N/A,FALSE,"매출";#N/A,#N/A,FALSE,"원가";#N/A,#N/A,FALSE,"경영"}</definedName>
    <definedName name="잡손익2" localSheetId="10" hidden="1">{#N/A,#N/A,FALSE,"BS";#N/A,#N/A,FALSE,"PL";#N/A,#N/A,FALSE,"처분";#N/A,#N/A,FALSE,"현금";#N/A,#N/A,FALSE,"매출";#N/A,#N/A,FALSE,"원가";#N/A,#N/A,FALSE,"경영"}</definedName>
    <definedName name="잡손익2" localSheetId="9" hidden="1">{#N/A,#N/A,FALSE,"BS";#N/A,#N/A,FALSE,"PL";#N/A,#N/A,FALSE,"처분";#N/A,#N/A,FALSE,"현금";#N/A,#N/A,FALSE,"매출";#N/A,#N/A,FALSE,"원가";#N/A,#N/A,FALSE,"경영"}</definedName>
    <definedName name="잡손익2" hidden="1">{#N/A,#N/A,FALSE,"BS";#N/A,#N/A,FALSE,"PL";#N/A,#N/A,FALSE,"처분";#N/A,#N/A,FALSE,"현금";#N/A,#N/A,FALSE,"매출";#N/A,#N/A,FALSE,"원가";#N/A,#N/A,FALSE,"경영"}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장VP" hidden="1">{#N/A,#N/A,FALSE,"UNIT";#N/A,#N/A,FALSE,"UNIT";#N/A,#N/A,FALSE,"계정"}</definedName>
    <definedName name="장기성예금06" hidden="1">#REF!</definedName>
    <definedName name="장기차입금" hidden="1">{#N/A,#N/A,FALSE,"BS";#N/A,#N/A,FALSE,"PL";#N/A,#N/A,FALSE,"처분";#N/A,#N/A,FALSE,"현금";#N/A,#N/A,FALSE,"매출";#N/A,#N/A,FALSE,"원가";#N/A,#N/A,FALSE,"경영"}</definedName>
    <definedName name="장기투자유가증권" hidden="1">[183]수정시산표!#REF!</definedName>
    <definedName name="장부가액">#REF!</definedName>
    <definedName name="장부가액합계">#REF!</definedName>
    <definedName name="장예">[130]수신!#REF!</definedName>
    <definedName name="재" hidden="1">{#N/A,#N/A,FALSE,"UNIT";#N/A,#N/A,FALSE,"UNIT";#N/A,#N/A,FALSE,"계정"}</definedName>
    <definedName name="재거" hidden="1">{#N/A,#N/A,FALSE,"UNIT";#N/A,#N/A,FALSE,"UNIT";#N/A,#N/A,FALSE,"계정"}</definedName>
    <definedName name="재고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실사">[121]감액대상LIST!$B$3:$P$55</definedName>
    <definedName name="재고자산">[143]COBS!$G$19</definedName>
    <definedName name="재고자산수량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공포함" hidden="1">{#N/A,#N/A,FALSE,"Sheet5"}</definedName>
    <definedName name="재공품">[149]Sheet3!$B$19:$I$79</definedName>
    <definedName name="재료">#REF!</definedName>
    <definedName name="재료비점검" hidden="1">{#N/A,#N/A,FALSE,"UNIT";#N/A,#N/A,FALSE,"UNIT";#N/A,#N/A,FALSE,"계정"}</definedName>
    <definedName name="재재재" hidden="1">{"'미착금액'!$A$4:$G$14"}</definedName>
    <definedName name="저장" hidden="1">{#N/A,#N/A,FALSE,"Sheet5"}</definedName>
    <definedName name="저장1" hidden="1">{#N/A,#N/A,FALSE,"Sheet5"}</definedName>
    <definedName name="저장2" hidden="1">{#N/A,#N/A,FALSE,"Sheet5"}</definedName>
    <definedName name="저장품수불" hidden="1">{#N/A,#N/A,FALSE,"Sheet5"}</definedName>
    <definedName name="저저" hidden="1">{#N/A,#N/A,FALSE,"UNIT";#N/A,#N/A,FALSE,"UNIT";#N/A,#N/A,FALSE,"계정"}</definedName>
    <definedName name="적립">#REF!</definedName>
    <definedName name="적치" hidden="1">{#N/A,#N/A,FALSE,"군산원가";#N/A,#N/A,FALSE,"팀별월별";#N/A,#N/A,FALSE,"타공정대체";#N/A,#N/A,FALSE,"기타경비";#N/A,#N/A,FALSE,"원료";#N/A,#N/A,FALSE,"연료"}</definedName>
    <definedName name="전기고정부채">#REF!</definedName>
    <definedName name="전기고정자산">#REF!</definedName>
    <definedName name="전기당좌자산">#REF!</definedName>
    <definedName name="전기말대손금">#REF!</definedName>
    <definedName name="전기무형자산">#REF!</definedName>
    <definedName name="전기부채자본총계">#REF!</definedName>
    <definedName name="전기부채총계">#REF!</definedName>
    <definedName name="전기유동부채">#REF!</definedName>
    <definedName name="전기유동자산">#REF!</definedName>
    <definedName name="전기유형자산">#REF!</definedName>
    <definedName name="전기이익잉여금">#REF!</definedName>
    <definedName name="전기자본금">#REF!</definedName>
    <definedName name="전기자본잉여금">#REF!</definedName>
    <definedName name="전기자본조정">#REF!</definedName>
    <definedName name="전기자본총계">#REF!</definedName>
    <definedName name="전기자산총계">#REF!</definedName>
    <definedName name="전기재고자산">#REF!</definedName>
    <definedName name="전기제품제조원가">[132]제조원가!$E$51</definedName>
    <definedName name="전기투자자산">#REF!</definedName>
    <definedName name="전도금">'[79]95년'!#REF!</definedName>
    <definedName name="전산실야간짝수">#REF!</definedName>
    <definedName name="전산실야간홀수">#REF!</definedName>
    <definedName name="전산장비">{"'Sheet1'!$A$1:$H$36"}</definedName>
    <definedName name="전숙진">#REF!</definedName>
    <definedName name="전입액">#REF!</definedName>
    <definedName name="전자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전자CF" hidden="1">{#N/A,#N/A,FALSE,"지침";#N/A,#N/A,FALSE,"환경분석";#N/A,#N/A,FALSE,"Sheet16"}</definedName>
    <definedName name="전장1" hidden="1">{#N/A,#N/A,FALSE,"단축1";#N/A,#N/A,FALSE,"단축2";#N/A,#N/A,FALSE,"단축3";#N/A,#N/A,FALSE,"장축";#N/A,#N/A,FALSE,"4WD"}</definedName>
    <definedName name="전체범위">#REF!</definedName>
    <definedName name="전체비용">{"'9월'!$F$38"}</definedName>
    <definedName name="전체비용2">{"'9월'!$F$38"}</definedName>
    <definedName name="전체현황" hidden="1">{#N/A,#N/A,FALSE,"단축1";#N/A,#N/A,FALSE,"단축2";#N/A,#N/A,FALSE,"단축3";#N/A,#N/A,FALSE,"장축";#N/A,#N/A,FALSE,"4WD"}</definedName>
    <definedName name="전화가입">#REF!</definedName>
    <definedName name="전화번호">{"'Sheet1'!$A$1:$H$36"}</definedName>
    <definedName name="전환사채">{"'4월수지'!$A$1:$AE$45"}</definedName>
    <definedName name="접대비갑">#REF!</definedName>
    <definedName name="접대비을">#REF!</definedName>
    <definedName name="접대비지출내역">#REF!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미아" hidden="1">{#N/A,#N/A,FALSE,"BS";#N/A,#N/A,FALSE,"PL";#N/A,#N/A,FALSE,"처분";#N/A,#N/A,FALSE,"현금";#N/A,#N/A,FALSE,"매출";#N/A,#N/A,FALSE,"원가";#N/A,#N/A,FALSE,"경영"}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표1999" hidden="1">{#N/A,#N/A,FALSE,"BS";#N/A,#N/A,FALSE,"PL";#N/A,#N/A,FALSE,"처분";#N/A,#N/A,FALSE,"현금";#N/A,#N/A,FALSE,"매출";#N/A,#N/A,FALSE,"원가";#N/A,#N/A,FALSE,"경영"}</definedName>
    <definedName name="정산표2" hidden="1">{#N/A,#N/A,FALSE,"BS";#N/A,#N/A,FALSE,"PL";#N/A,#N/A,FALSE,"처분";#N/A,#N/A,FALSE,"현금";#N/A,#N/A,FALSE,"매출";#N/A,#N/A,FALSE,"원가";#N/A,#N/A,FALSE,"경영"}</definedName>
    <definedName name="정산표PL">{"'Sheet1'!$A$1:$H$36"}</definedName>
    <definedName name="제" hidden="1">{#N/A,#N/A,FALSE,"Sheet5"}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목">#REF!</definedName>
    <definedName name="제상">#REF!</definedName>
    <definedName name="제상2">#REF!</definedName>
    <definedName name="제조" localSheetId="7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제조" localSheetId="8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제조" localSheetId="10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제조" localSheetId="9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조경비">#REF!</definedName>
    <definedName name="제조비">[184]제조!$B$10:$BB$39</definedName>
    <definedName name="제조원가명세서">#REF!</definedName>
    <definedName name="제조원가명세서_2002">[185]Sheet1!#REF!</definedName>
    <definedName name="제조원가명세표" localSheetId="7">BlankMacro1</definedName>
    <definedName name="제조원가명세표" localSheetId="10">BlankMacro1</definedName>
    <definedName name="제조원가명세표" localSheetId="9">BlankMacro1</definedName>
    <definedName name="제조원가명세표">BlankMacro1</definedName>
    <definedName name="제지1">#REF!</definedName>
    <definedName name="제지2">#REF!</definedName>
    <definedName name="제충당금준비금" hidden="1">{#N/A,#N/A,FALSE,"BS";#N/A,#N/A,FALSE,"PL";#N/A,#N/A,FALSE,"처분";#N/A,#N/A,FALSE,"현금";#N/A,#N/A,FALSE,"매출";#N/A,#N/A,FALSE,"원가";#N/A,#N/A,FALSE,"경영"}</definedName>
    <definedName name="제품" hidden="1">{#N/A,#N/A,FALSE,"9612"}</definedName>
    <definedName name="제품군">#REF!</definedName>
    <definedName name="제품별사업전략" hidden="1">{#N/A,#N/A,FALSE,"UNIT";#N/A,#N/A,FALSE,"UNIT";#N/A,#N/A,FALSE,"계정"}</definedName>
    <definedName name="제품원가">#REF!</definedName>
    <definedName name="제품원가.본">#REF!</definedName>
    <definedName name="제품평가2" hidden="1">{#N/A,#N/A,FALSE,"BS";#N/A,#N/A,FALSE,"PL";#N/A,#N/A,FALSE,"처분";#N/A,#N/A,FALSE,"현금";#N/A,#N/A,FALSE,"매출";#N/A,#N/A,FALSE,"원가";#N/A,#N/A,FALSE,"경영"}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조사">#REF!</definedName>
    <definedName name="조서번호">'[24]control sheet'!$A$10:$A$84</definedName>
    <definedName name="조식">[34]Dec!$A$1:$X$4783</definedName>
    <definedName name="조적공사">#REF!</definedName>
    <definedName name="조정" localSheetId="7" hidden="1">#REF!</definedName>
    <definedName name="조정" localSheetId="8" hidden="1">#REF!</definedName>
    <definedName name="조정" localSheetId="10" hidden="1">#REF!</definedName>
    <definedName name="조정" localSheetId="9" hidden="1">#REF!</definedName>
    <definedName name="조정" hidden="1">#REF!</definedName>
    <definedName name="조정표지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조직도">#REF!</definedName>
    <definedName name="조합주식2" hidden="1">{#N/A,#N/A,FALSE,"BS";#N/A,#N/A,FALSE,"PL";#N/A,#N/A,FALSE,"처분";#N/A,#N/A,FALSE,"현금";#N/A,#N/A,FALSE,"매출";#N/A,#N/A,FALSE,"원가";#N/A,#N/A,FALSE,"경영"}</definedName>
    <definedName name="조회" hidden="1">{#N/A,#N/A,FALSE,"채권채무";#N/A,#N/A,FALSE,"control sheet"}</definedName>
    <definedName name="조회서" hidden="1">{#N/A,#N/A,FALSE,"채권채무";#N/A,#N/A,FALSE,"control sheet"}</definedName>
    <definedName name="조회서기준일">#REF!</definedName>
    <definedName name="종_목">[144]회사정보!$C$15</definedName>
    <definedName name="종합결의96.11">#REF!</definedName>
    <definedName name="종화" hidden="1">{#N/A,#N/A,FALSE,"지침";#N/A,#N/A,FALSE,"환경분석";#N/A,#N/A,FALSE,"Sheet16"}</definedName>
    <definedName name="좋합" hidden="1">{#N/A,#N/A,FALSE,"단축1";#N/A,#N/A,FALSE,"단축2";#N/A,#N/A,FALSE,"단축3";#N/A,#N/A,FALSE,"장축";#N/A,#N/A,FALSE,"4WD"}</definedName>
    <definedName name="주" hidden="1">{#N/A,#N/A,FALSE,"UNIT";#N/A,#N/A,FALSE,"UNIT";#N/A,#N/A,FALSE,"계정"}</definedName>
    <definedName name="주________소">'[24]control sheet'!$D$10</definedName>
    <definedName name="주200301">'[128]1'!$C$9:$N$39</definedName>
    <definedName name="주200302">'[128]2'!$C$9:$N$40</definedName>
    <definedName name="주간PC양식">#REF!</definedName>
    <definedName name="주란" hidden="1">{#N/A,#N/A,FALSE,"지침";#N/A,#N/A,FALSE,"환경분석";#N/A,#N/A,FALSE,"Sheet16"}</definedName>
    <definedName name="주부신수익권증서_400">#REF!</definedName>
    <definedName name="주소">'[24]control sheet'!$D$10:$D$84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실적">#REF!</definedName>
    <definedName name="주조" hidden="1">#REF!</definedName>
    <definedName name="주주구성" hidden="1">{#N/A,#N/A,FALSE,"BS";#N/A,#N/A,FALSE,"PL";#N/A,#N/A,FALSE,"처분";#N/A,#N/A,FALSE,"현금";#N/A,#N/A,FALSE,"매출";#N/A,#N/A,FALSE,"원가";#N/A,#N/A,FALSE,"경영"}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간정산">[167]중간정산!$C$3:$D$170</definedName>
    <definedName name="중도">#REF!</definedName>
    <definedName name="중도금율_案">#REF!</definedName>
    <definedName name="중도정산">#REF!</definedName>
    <definedName name="중앙" hidden="1">{#N/A,#N/A,FALSE,"단축1";#N/A,#N/A,FALSE,"단축2";#N/A,#N/A,FALSE,"단축3";#N/A,#N/A,FALSE,"장축";#N/A,#N/A,FALSE,"4WD"}</definedName>
    <definedName name="중요성" hidden="1">{#N/A,#N/A,FALSE,"UNIT";#N/A,#N/A,FALSE,"UNIT";#N/A,#N/A,FALSE,"계정"}</definedName>
    <definedName name="중점검토" hidden="1">{#N/A,#N/A,FALSE,"BS";#N/A,#N/A,FALSE,"PL";#N/A,#N/A,FALSE,"처분";#N/A,#N/A,FALSE,"현금";#N/A,#N/A,FALSE,"매출";#N/A,#N/A,FALSE,"원가";#N/A,#N/A,FALSE,"경영"}</definedName>
    <definedName name="쥕x_t">#REF!</definedName>
    <definedName name="증감구로">[127]TB!#REF!</definedName>
    <definedName name="증감본사누계">[127]TB!#REF!</definedName>
    <definedName name="증감부평">[127]TB!#REF!</definedName>
    <definedName name="증감서울">[127]TB!#REF!</definedName>
    <definedName name="증감창원">[127]TB!#REF!</definedName>
    <definedName name="지__급__자__재__비">#REF!</definedName>
    <definedName name="지급보증받은사항">'[145]3-3현'!$B$7:$F$24</definedName>
    <definedName name="지나" hidden="1">#REF!</definedName>
    <definedName name="지배구조1" hidden="1">{#N/A,#N/A,FALSE,"지침";#N/A,#N/A,FALSE,"환경분석";#N/A,#N/A,FALSE,"Sheet16"}</definedName>
    <definedName name="지분" hidden="1">{#N/A,#N/A,FALSE,"BS";#N/A,#N/A,FALSE,"PL";#N/A,#N/A,FALSE,"처분";#N/A,#N/A,FALSE,"현금";#N/A,#N/A,FALSE,"매출";#N/A,#N/A,FALSE,"원가";#N/A,#N/A,FALSE,"경영"}</definedName>
    <definedName name="지분증감" hidden="1">{#N/A,#N/A,FALSE,"BS";#N/A,#N/A,FALSE,"PL";#N/A,#N/A,FALSE,"처분";#N/A,#N/A,FALSE,"현금";#N/A,#N/A,FALSE,"매출";#N/A,#N/A,FALSE,"원가";#N/A,#N/A,FALSE,"경영"}</definedName>
    <definedName name="지자">#REF!</definedName>
    <definedName name="지지지" hidden="1">{"'미착금액'!$A$4:$G$14"}</definedName>
    <definedName name="직급별3" hidden="1">{#N/A,#N/A,FALSE,"Sheet1"}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위">#REF!</definedName>
    <definedName name="직위2">#REF!</definedName>
    <definedName name="직전3개월현금흐름" hidden="1">{#N/A,#N/A,FALSE,"UNIT";#N/A,#N/A,FALSE,"UNIT";#N/A,#N/A,FALSE,"계정"}</definedName>
    <definedName name="직접재료" hidden="1">{#N/A,#N/A,FALSE,"Sheet5"}</definedName>
    <definedName name="직책수당">#REF!</definedName>
    <definedName name="진" hidden="1">{#N/A,#N/A,FALSE,"UNIT";#N/A,#N/A,FALSE,"UNIT";#N/A,#N/A,FALSE,"계정"}</definedName>
    <definedName name="진출의사보유" hidden="1">{#N/A,#N/A,FALSE,"단축1";#N/A,#N/A,FALSE,"단축2";#N/A,#N/A,FALSE,"단축3";#N/A,#N/A,FALSE,"장축";#N/A,#N/A,FALSE,"4WD"}</definedName>
    <definedName name="집계" hidden="1">{#N/A,#N/A,FALSE,"채권채무";#N/A,#N/A,FALSE,"control sheet"}</definedName>
    <definedName name="집계표">#REF!</definedName>
    <definedName name="집계표발행">#REF!</definedName>
    <definedName name="집기명세" hidden="1">#REF!</definedName>
    <definedName name="집기비품" localSheetId="7" hidden="1">#REF!</definedName>
    <definedName name="집기비품" localSheetId="8" hidden="1">#REF!</definedName>
    <definedName name="집기비품" localSheetId="10" hidden="1">#REF!</definedName>
    <definedName name="집기비품" localSheetId="9" hidden="1">#REF!</definedName>
    <definedName name="집기비품">[37]!집기비품</definedName>
    <definedName name="집기제각" hidden="1">#REF!</definedName>
    <definedName name="ㅊ3">#REF!</definedName>
    <definedName name="ㅊㅂ３９">#REF!</definedName>
    <definedName name="ㅊㅊㅊ" hidden="1">{#N/A,#N/A,FALSE,"UNIT";#N/A,#N/A,FALSE,"UNIT";#N/A,#N/A,FALSE,"계정"}</definedName>
    <definedName name="ㅊㅊㅊㅊ" hidden="1">{#N/A,#N/A,FALSE,"UNIT";#N/A,#N/A,FALSE,"UNIT";#N/A,#N/A,FALSE,"계정"}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SVC" hidden="1">{#N/A,#N/A,FALSE,"UNIT";#N/A,#N/A,FALSE,"UNIT";#N/A,#N/A,FALSE,"계정"}</definedName>
    <definedName name="차량운반구">{"'손익현황'!$A$1:$J$29"}</definedName>
    <definedName name="차량유지비">#REF!</definedName>
    <definedName name="차변">#REF!</definedName>
    <definedName name="차이">#REF!</definedName>
    <definedName name="차이조정분" hidden="1">{"'Sheet1'!$A$1:$D$15"}</definedName>
    <definedName name="차입금">#REF!</definedName>
    <definedName name="차입이자">#REF!</definedName>
    <definedName name="차종">#REF!</definedName>
    <definedName name="창고LOSS" hidden="1">{#N/A,#N/A,FALSE,"군산원가";#N/A,#N/A,FALSE,"팀별월별";#N/A,#N/A,FALSE,"타공정대체";#N/A,#N/A,FALSE,"기타경비";#N/A,#N/A,FALSE,"원료";#N/A,#N/A,FALSE,"연료"}</definedName>
    <definedName name="창원">[127]TB!#REF!</definedName>
    <definedName name="창호공사">#REF!</definedName>
    <definedName name="채권재" hidden="1">{#N/A,#N/A,FALSE,"채권채무";#N/A,#N/A,FALSE,"control sheet"}</definedName>
    <definedName name="처분명세서">[34]Dec!$A$5:$W$540</definedName>
    <definedName name="천안">[127]TB!#REF!</definedName>
    <definedName name="천원">[139]총괄표!$DN$3</definedName>
    <definedName name="철근콘크리트_공사">#REF!</definedName>
    <definedName name="첨" hidden="1">{#N/A,#N/A,FALSE,"단축1";#N/A,#N/A,FALSE,"단축2";#N/A,#N/A,FALSE,"단축3";#N/A,#N/A,FALSE,"장축";#N/A,#N/A,FALSE,"4WD"}</definedName>
    <definedName name="첫장">{"'용역비'!$A$4:$C$8"}</definedName>
    <definedName name="첫장1">{"'용역비'!$A$4:$C$8"}</definedName>
    <definedName name="청주new">{"'Sheet1'!$A$1:$H$36"}</definedName>
    <definedName name="초고압" hidden="1">{#N/A,#N/A,FALSE,"UNIT";#N/A,#N/A,FALSE,"UNIT";#N/A,#N/A,FALSE,"계정"}</definedName>
    <definedName name="초임금비교" hidden="1">{#N/A,#N/A,FALSE,"계약직(여)"}</definedName>
    <definedName name="초임급" hidden="1">{#N/A,#N/A,FALSE,"계약직(여)"}</definedName>
    <definedName name="총______원_______가">#REF!</definedName>
    <definedName name="총___공____사___비">#REF!</definedName>
    <definedName name="총괄" localSheetId="7">[37]!총괄</definedName>
    <definedName name="총괄" localSheetId="10">[37]!총괄</definedName>
    <definedName name="총괄" localSheetId="9">[37]!총괄</definedName>
    <definedName name="총괄">[37]!총괄</definedName>
    <definedName name="총괄공사예산서">#REF!</definedName>
    <definedName name="총괄표">#REF!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종검진수가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최종현금흐름표" hidden="1">[186]수정시산표!#REF!</definedName>
    <definedName name="최초입사">[167]최초입사!$B$2:$C$167</definedName>
    <definedName name="추계합계">#REF!</definedName>
    <definedName name="출고">[147]Sheet1!$B$45:$D$111</definedName>
    <definedName name="출자금" hidden="1">{#N/A,#N/A,FALSE,"BS";#N/A,#N/A,FALSE,"PL";#N/A,#N/A,FALSE,"처분";#N/A,#N/A,FALSE,"현금";#N/A,#N/A,FALSE,"매출";#N/A,#N/A,FALSE,"원가";#N/A,#N/A,FALSE,"경영"}</definedName>
    <definedName name="출판" hidden="1">{#N/A,#N/A,FALSE,"지침";#N/A,#N/A,FALSE,"환경분석";#N/A,#N/A,FALSE,"Sheet16"}</definedName>
    <definedName name="충당계상내역" hidden="1">{#N/A,#N/A,FALSE,"회선임차현황"}</definedName>
    <definedName name="츄" hidden="1">{#N/A,#N/A,FALSE,"Sheet1"}</definedName>
    <definedName name="칠월">#REF!</definedName>
    <definedName name="칠월급여">'[123]인건비예산(정규직)'!$FA$28:$FA$276</definedName>
    <definedName name="칠월급여임">'[123]인건비예산(정규직)'!$FA$18:$FA$27</definedName>
    <definedName name="칠월상여">'[123]인건비예산(정규직)'!$FB$28:$FB$276</definedName>
    <definedName name="칠월상여임">'[123]인건비예산(정규직)'!$FB$18:$FB$27</definedName>
    <definedName name="칠월잔액">'[128]12'!#REF!</definedName>
    <definedName name="ㅋ" localSheetId="7" hidden="1">{#N/A,#N/A,FALSE,"Aging Summary";#N/A,#N/A,FALSE,"Ratio Analysis";#N/A,#N/A,FALSE,"Test 120 Day Accts";#N/A,#N/A,FALSE,"Tickmarks"}</definedName>
    <definedName name="ㅋ" localSheetId="8" hidden="1">{#N/A,#N/A,FALSE,"Aging Summary";#N/A,#N/A,FALSE,"Ratio Analysis";#N/A,#N/A,FALSE,"Test 120 Day Accts";#N/A,#N/A,FALSE,"Tickmarks"}</definedName>
    <definedName name="ㅋ" localSheetId="10" hidden="1">{#N/A,#N/A,FALSE,"Aging Summary";#N/A,#N/A,FALSE,"Ratio Analysis";#N/A,#N/A,FALSE,"Test 120 Day Accts";#N/A,#N/A,FALSE,"Tickmarks"}</definedName>
    <definedName name="ㅋ" localSheetId="9" hidden="1">{#N/A,#N/A,FALSE,"Aging Summary";#N/A,#N/A,FALSE,"Ratio Analysis";#N/A,#N/A,FALSE,"Test 120 Day Accts";#N/A,#N/A,FALSE,"Tickmarks"}</definedName>
    <definedName name="ㅋ" hidden="1">{#N/A,#N/A,FALSE,"BS";#N/A,#N/A,FALSE,"PL";#N/A,#N/A,FALSE,"처분";#N/A,#N/A,FALSE,"현금";#N/A,#N/A,FALSE,"매출";#N/A,#N/A,FALSE,"원가";#N/A,#N/A,FALSE,"경영"}</definedName>
    <definedName name="ㅋ68">#REF!</definedName>
    <definedName name="ㅋㅋ" hidden="1">{#N/A,#N/A,FALSE,"UNIT";#N/A,#N/A,FALSE,"UNIT";#N/A,#N/A,FALSE,"계정"}</definedName>
    <definedName name="ㅋㅋㅋ" hidden="1">{#N/A,#N/A,TRUE,"매출진척-1";#N/A,#N/A,TRUE,"매출진척-2";#N/A,#N/A,TRUE,"제품실적";#N/A,#N/A,TRUE,"RAC";#N/A,#N/A,TRUE,"PAC ";#N/A,#N/A,TRUE,"재고현황";#N/A,#N/A,TRUE,"공지사항"}</definedName>
    <definedName name="ㅋㅋㅋㅋ" hidden="1">{#N/A,#N/A,FALSE,"UNIT";#N/A,#N/A,FALSE,"UNIT";#N/A,#N/A,FALSE,"계정"}</definedName>
    <definedName name="ㅋㅋㅋㅋㅋ" hidden="1">{#N/A,#N/A,FALSE,"UNIT";#N/A,#N/A,FALSE,"UNIT";#N/A,#N/A,FALSE,"계정"}</definedName>
    <definedName name="ㅋㅌ">{"'용역비'!$A$4:$C$8"}</definedName>
    <definedName name="ㅋㅌㅊ" hidden="1">{#N/A,#N/A,FALSE,"Sheet1"}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메라2" hidden="1">{#N/A,#N/A,FALSE,"단축1";#N/A,#N/A,FALSE,"단축2";#N/A,#N/A,FALSE,"단축3";#N/A,#N/A,FALSE,"장축";#N/A,#N/A,FALSE,"4WD"}</definedName>
    <definedName name="칷__?____?">#REF!</definedName>
    <definedName name="캐쉬" hidden="1">{#N/A,#N/A,FALSE,"지침";#N/A,#N/A,FALSE,"환경분석";#N/A,#N/A,FALSE,"Sheet16"}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">#REF!</definedName>
    <definedName name="코드2">#REF!</definedName>
    <definedName name="코드테이블">#REF!</definedName>
    <definedName name="쾱?쾸">#REF!</definedName>
    <definedName name="쾶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프코" hidden="1">{#N/A,#N/A,FALSE,"을지 (4)";#N/A,#N/A,FALSE,"을지 (5)";#N/A,#N/A,FALSE,"을지 (6)"}</definedName>
    <definedName name="ㅌ" hidden="1">{#N/A,#N/A,FALSE,"BS";#N/A,#N/A,FALSE,"PL";#N/A,#N/A,FALSE,"처분";#N/A,#N/A,FALSE,"현금";#N/A,#N/A,FALSE,"매출";#N/A,#N/A,FALSE,"원가";#N/A,#N/A,FALSE,"경영"}</definedName>
    <definedName name="ㅌㅊ" hidden="1">{#N/A,#N/A,FALSE,"UNIT";#N/A,#N/A,FALSE,"UNIT";#N/A,#N/A,FALSE,"계정"}</definedName>
    <definedName name="ㅌㅌ" hidden="1">{#N/A,#N/A,FALSE,"UNIT";#N/A,#N/A,FALSE,"UNIT";#N/A,#N/A,FALSE,"계정"}</definedName>
    <definedName name="타일공사">#REF!</definedName>
    <definedName name="테이블">#REF!</definedName>
    <definedName name="템" localSheetId="7">BLCH</definedName>
    <definedName name="템" localSheetId="10">BLCH</definedName>
    <definedName name="템" localSheetId="9">BLCH</definedName>
    <definedName name="템">BLCH</definedName>
    <definedName name="템플리트모듈1" localSheetId="7">BlankMacro1</definedName>
    <definedName name="템플리트모듈1" localSheetId="10">BlankMacro1</definedName>
    <definedName name="템플리트모듈1" localSheetId="9">BlankMacro1</definedName>
    <definedName name="템플리트모듈1">BlankMacro1</definedName>
    <definedName name="템플리트모듈2" localSheetId="7">BlankMacro1</definedName>
    <definedName name="템플리트모듈2" localSheetId="10">BlankMacro1</definedName>
    <definedName name="템플리트모듈2" localSheetId="9">BlankMacro1</definedName>
    <definedName name="템플리트모듈2">BlankMacro1</definedName>
    <definedName name="템플리트모듈3" localSheetId="7">BlankMacro1</definedName>
    <definedName name="템플리트모듈3" localSheetId="10">BlankMacro1</definedName>
    <definedName name="템플리트모듈3" localSheetId="9">BlankMacro1</definedName>
    <definedName name="템플리트모듈3">BlankMacro1</definedName>
    <definedName name="템플리트모듈4" localSheetId="7">BlankMacro1</definedName>
    <definedName name="템플리트모듈4" localSheetId="10">BlankMacro1</definedName>
    <definedName name="템플리트모듈4" localSheetId="9">BlankMacro1</definedName>
    <definedName name="템플리트모듈4">BlankMacro1</definedName>
    <definedName name="템플리트모듈5" localSheetId="7">BlankMacro1</definedName>
    <definedName name="템플리트모듈5" localSheetId="10">BlankMacro1</definedName>
    <definedName name="템플리트모듈5" localSheetId="9">BlankMacro1</definedName>
    <definedName name="템플리트모듈5">BlankMacro1</definedName>
    <definedName name="템플리트모듈6" localSheetId="7">BlankMacro1</definedName>
    <definedName name="템플리트모듈6" localSheetId="10">BlankMacro1</definedName>
    <definedName name="템플리트모듈6" localSheetId="9">BlankMacro1</definedName>
    <definedName name="템플리트모듈6">BlankMacro1</definedName>
    <definedName name="토공사">#REF!</definedName>
    <definedName name="통" localSheetId="7">BlankMacro1</definedName>
    <definedName name="통" localSheetId="10">BlankMacro1</definedName>
    <definedName name="통" localSheetId="9">BlankMacro1</definedName>
    <definedName name="통">BlankMacro1</definedName>
    <definedName name="통보용" localSheetId="7" hidden="1">{#N/A,#N/A,FALSE,"총괄수정"}</definedName>
    <definedName name="통보용" localSheetId="8" hidden="1">{#N/A,#N/A,FALSE,"총괄수정"}</definedName>
    <definedName name="통보용" localSheetId="10" hidden="1">{#N/A,#N/A,FALSE,"총괄수정"}</definedName>
    <definedName name="통보용" localSheetId="9" hidden="1">{#N/A,#N/A,FALSE,"총괄수정"}</definedName>
    <definedName name="통보용" hidden="1">{#N/A,#N/A,FALSE,"총괄수정"}</definedName>
    <definedName name="통보현황" localSheetId="7" hidden="1">{#N/A,#N/A,FALSE,"총괄수정"}</definedName>
    <definedName name="통보현황" localSheetId="8" hidden="1">{#N/A,#N/A,FALSE,"총괄수정"}</definedName>
    <definedName name="통보현황" localSheetId="10" hidden="1">{#N/A,#N/A,FALSE,"총괄수정"}</definedName>
    <definedName name="통보현황" localSheetId="9" hidden="1">{#N/A,#N/A,FALSE,"총괄수정"}</definedName>
    <definedName name="통보현황" hidden="1">{#N/A,#N/A,FALSE,"총괄수정"}</definedName>
    <definedName name="통신회선편집용" hidden="1">{#N/A,#N/A,FALSE,"회선임차현황"}</definedName>
    <definedName name="통화">#REF!</definedName>
    <definedName name="퇴직금추계">#REF!</definedName>
    <definedName name="퇴직급여충당금">#REF!</definedName>
    <definedName name="퇴직급여충당금전입">[181]DB!#REF!</definedName>
    <definedName name="퇴직기본">#REF!</definedName>
    <definedName name="퇴직충당금">'[123]인건비예산(정규직)'!$AO$28:$AO$276</definedName>
    <definedName name="퇴직충당금임">'[123]인건비예산(정규직)'!$AO$18:$AO$27</definedName>
    <definedName name="퇴충" localSheetId="7">BlankMacro1</definedName>
    <definedName name="퇴충" localSheetId="10">BlankMacro1</definedName>
    <definedName name="퇴충" localSheetId="9">BlankMacro1</definedName>
    <definedName name="퇴충">BlankMacro1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자" hidden="1">1</definedName>
    <definedName name="투자3">{"'9월'!$F$38"}</definedName>
    <definedName name="투자계획1" hidden="1">{#N/A,#N/A,FALSE,"UNIT";#N/A,#N/A,FALSE,"UNIT";#N/A,#N/A,FALSE,"계정"}</definedName>
    <definedName name="투자비실적" hidden="1">{#N/A,#N/A,FALSE,"단축1";#N/A,#N/A,FALSE,"단축2";#N/A,#N/A,FALSE,"단축3";#N/A,#N/A,FALSE,"장축";#N/A,#N/A,FALSE,"4WD"}</definedName>
    <definedName name="투자유" hidden="1">{#N/A,#N/A,FALSE,"BS";#N/A,#N/A,FALSE,"PL";#N/A,#N/A,FALSE,"처분";#N/A,#N/A,FALSE,"현금";#N/A,#N/A,FALSE,"매출";#N/A,#N/A,FALSE,"원가";#N/A,#N/A,FALSE,"경영"}</definedName>
    <definedName name="투자현황" hidden="1">{#N/A,#N/A,FALSE,"UNIT";#N/A,#N/A,FALSE,"UNIT";#N/A,#N/A,FALSE,"계정"}</definedName>
    <definedName name="튜" hidden="1">{#N/A,#N/A,FALSE,"Sheet1"}</definedName>
    <definedName name="특별손실">#REF!</definedName>
    <definedName name="특별손실.본">[63]공표손익!#REF!</definedName>
    <definedName name="특별이익">#REF!</definedName>
    <definedName name="특별이익.본">[63]공표손익!#REF!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localSheetId="7" hidden="1">#REF!</definedName>
    <definedName name="특정현금과예금" localSheetId="8" hidden="1">#REF!</definedName>
    <definedName name="특정현금과예금" localSheetId="10" hidden="1">#REF!</definedName>
    <definedName name="특정현금과예금" localSheetId="9" hidden="1">#REF!</definedName>
    <definedName name="특정현금과예금" hidden="1">#REF!</definedName>
    <definedName name="특판주방PO">{"'2 혼례가구(1)'!$C$10"}</definedName>
    <definedName name="팀별계획" hidden="1">{#N/A,#N/A,FALSE,"UNIT";#N/A,#N/A,FALSE,"UNIT";#N/A,#N/A,FALSE,"계정"}</definedName>
    <definedName name="ㅍ" localSheetId="7" hidden="1">{#N/A,#N/A,FALSE,"Aging Summary";#N/A,#N/A,FALSE,"Ratio Analysis";#N/A,#N/A,FALSE,"Test 120 Day Accts";#N/A,#N/A,FALSE,"Tickmarks"}</definedName>
    <definedName name="ㅍ" localSheetId="8" hidden="1">{#N/A,#N/A,FALSE,"Aging Summary";#N/A,#N/A,FALSE,"Ratio Analysis";#N/A,#N/A,FALSE,"Test 120 Day Accts";#N/A,#N/A,FALSE,"Tickmarks"}</definedName>
    <definedName name="ㅍ" localSheetId="10" hidden="1">{#N/A,#N/A,FALSE,"Aging Summary";#N/A,#N/A,FALSE,"Ratio Analysis";#N/A,#N/A,FALSE,"Test 120 Day Accts";#N/A,#N/A,FALSE,"Tickmarks"}</definedName>
    <definedName name="ㅍ" localSheetId="9" hidden="1">{#N/A,#N/A,FALSE,"Aging Summary";#N/A,#N/A,FALSE,"Ratio Analysis";#N/A,#N/A,FALSE,"Test 120 Day Accts";#N/A,#N/A,FALSE,"Tickmarks"}</definedName>
    <definedName name="ㅍ" hidden="1">{#N/A,#N/A,FALSE,"UNIT";#N/A,#N/A,FALSE,"UNIT";#N/A,#N/A,FALSE,"계정"}</definedName>
    <definedName name="ㅍㅍㅍㅍ" hidden="1">{#N/A,#N/A,FALSE,"UNIT";#N/A,#N/A,FALSE,"UNIT";#N/A,#N/A,FALSE,"계정"}</definedName>
    <definedName name="ㅍㅍㅍㅍㅍ" hidden="1">{#N/A,#N/A,FALSE,"UNIT";#N/A,#N/A,FALSE,"UNIT";#N/A,#N/A,FALSE,"계정"}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생" hidden="1">{#N/A,#N/A,FALSE,"Sheet1"}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관비" hidden="1">[125]손익계산서!$B$68:$B$77</definedName>
    <definedName name="판매">#REF!</definedName>
    <definedName name="판매관리비">#REF!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본부" hidden="1">{#N/A,#N/A,FALSE,"군산원가";#N/A,#N/A,FALSE,"팀별월별";#N/A,#N/A,FALSE,"타공정대체";#N/A,#N/A,FALSE,"기타경비";#N/A,#N/A,FALSE,"원료";#N/A,#N/A,FALSE,"연료"}</definedName>
    <definedName name="판유리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팔월">#REF!</definedName>
    <definedName name="팔월급여">'[123]인건비예산(정규직)'!$FR$28:$FR$276</definedName>
    <definedName name="팔월급여임">'[123]인건비예산(정규직)'!$FR$18:$FR$27</definedName>
    <definedName name="팔월상여">'[123]인건비예산(정규직)'!$FS$28:$FS$276</definedName>
    <definedName name="팔월상여임">'[123]인건비예산(정규직)'!$FS$18:$FS$27</definedName>
    <definedName name="팔월잔액">'[128]12'!#REF!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가">#REF!</definedName>
    <definedName name="평균이자" hidden="1">'[187]97년'!#REF!</definedName>
    <definedName name="평년">[129]자료!$H$3:$I$14</definedName>
    <definedName name="평당가">#REF!</definedName>
    <definedName name="평평균이자" hidden="1">'[188]97년'!#REF!</definedName>
    <definedName name="폐_기_물___수_수_료">#REF!</definedName>
    <definedName name="폐_기_물___처_리_비">#REF!</definedName>
    <definedName name="포" hidden="1">{#N/A,#N/A,FALSE,"UNIT";#N/A,#N/A,FALSE,"UNIT";#N/A,#N/A,FALSE,"계정"}</definedName>
    <definedName name="포공화학" hidden="1">{#N/A,#N/A,FALSE,"범우구미";#N/A,#N/A,FALSE,"세한케미칼";#N/A,#N/A,FALSE,"세명화학";#N/A,#N/A,FALSE,"신영케미칼";#N/A,#N/A,FALSE,"일석상사"}</definedName>
    <definedName name="포승">#REF!</definedName>
    <definedName name="포장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BS" hidden="1">{#N/A,#N/A,FALSE,"지침";#N/A,#N/A,FALSE,"환경분석";#N/A,#N/A,FALSE,"Sheet16"}</definedName>
    <definedName name="포장ocf" hidden="1">{#N/A,#N/A,FALSE,"지침";#N/A,#N/A,FALSE,"환경분석";#N/A,#N/A,FALSE,"Sheet16"}</definedName>
    <definedName name="표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표준2">#REF!</definedName>
    <definedName name="표지">#REF!</definedName>
    <definedName name="표지1" hidden="1">#REF!</definedName>
    <definedName name="표지2">0</definedName>
    <definedName name="표지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품" hidden="1">{#N/A,#N/A,TRUE,"Y생산";#N/A,#N/A,TRUE,"Y판매";#N/A,#N/A,TRUE,"Y총물량";#N/A,#N/A,TRUE,"Y능력";#N/A,#N/A,TRUE,"YKD"}</definedName>
    <definedName name="품1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품관" hidden="1">{#N/A,#N/A,TRUE,"규격별손익현황";#N/A,#N/A,TRUE,"매출impact";#N/A,#N/A,TRUE,"원가impact";#N/A,#N/A,TRUE,"원재료비분석";#N/A,#N/A,TRUE,"제조경비차이";#N/A,#N/A,TRUE,"제조원단위";#N/A,#N/A,TRUE,"제조원가명세서";#N/A,#N/A,TRUE,"종합제조원가";#N/A,#N/A,TRUE,"규격별제조원가";#N/A,#N/A,TRUE,"규격별원부재료사용량";#N/A,#N/A,TRUE,"재공품평가";#N/A,#N/A,TRUE,"고정비배부";#N/A,#N/A,TRUE,"규격별제품수불현황";#N/A,#N/A,TRUE,"수불현황";#N/A,#N/A,TRUE,"원재료수불현황";#N/A,#N/A,TRUE,"부재료수불";#N/A,#N/A,TRUE,"저장품수불";#N/A,#N/A,TRUE,"b-c油"}</definedName>
    <definedName name="품명">#REF!</definedName>
    <definedName name="품의개요">{"'9월'!$F$38"}</definedName>
    <definedName name="품종별" hidden="1">{#N/A,#N/A,FALSE,"Yield";#N/A,#N/A,FALSE,"Loss1";#N/A,#N/A,FALSE,"Loss2";#N/A,#N/A,FALSE,"Hour-Labor(배분)";#N/A,#N/A,FALSE,"Capital Expenditure";#N/A,#N/A,FALSE,"Productivity"}</definedName>
    <definedName name="품질">#REF!</definedName>
    <definedName name="프">#REF!</definedName>
    <definedName name="플" hidden="1">{#N/A,#N/A,FALSE,"단축1";#N/A,#N/A,FALSE,"단축2";#N/A,#N/A,FALSE,"단축3";#N/A,#N/A,FALSE,"장축";#N/A,#N/A,FALSE,"4WD"}</definedName>
    <definedName name="피비씨">#REF!</definedName>
    <definedName name="피비씨리스트">#REF!</definedName>
    <definedName name="ㅎ" hidden="1">{#N/A,#N/A,FALSE,"BS";#N/A,#N/A,FALSE,"PL";#N/A,#N/A,FALSE,"처분";#N/A,#N/A,FALSE,"현금";#N/A,#N/A,FALSE,"매출";#N/A,#N/A,FALSE,"원가";#N/A,#N/A,FALSE,"경영"}</definedName>
    <definedName name="ㅎㄱㄱ" localSheetId="7">BlankMacro1</definedName>
    <definedName name="ㅎㄱㄱ" localSheetId="10">BlankMacro1</definedName>
    <definedName name="ㅎㄱㄱ" localSheetId="9">BlankMacro1</definedName>
    <definedName name="ㅎㄱㄱ">BlankMacro1</definedName>
    <definedName name="ㅎㄴ" hidden="1">{#N/A,#N/A,FALSE,"단축1";#N/A,#N/A,FALSE,"단축2";#N/A,#N/A,FALSE,"단축3";#N/A,#N/A,FALSE,"장축";#N/A,#N/A,FALSE,"4WD"}</definedName>
    <definedName name="ㅎㄻ" hidden="1">#REF!</definedName>
    <definedName name="ㅎㅂㅈ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ㅎㅅ흅ㄷ" hidden="1">[107]출입자명단!$A$1:$D$1</definedName>
    <definedName name="ㅎㅎ" hidden="1">{#N/A,#N/A,FALSE,"BS";#N/A,#N/A,FALSE,"PL";#N/A,#N/A,FALSE,"처분";#N/A,#N/A,FALSE,"현금";#N/A,#N/A,FALSE,"매출";#N/A,#N/A,FALSE,"원가";#N/A,#N/A,FALSE,"경영"}</definedName>
    <definedName name="ㅎㅎㅎ" hidden="1">{#N/A,#N/A,FALSE,"UNIT";#N/A,#N/A,FALSE,"UNIT";#N/A,#N/A,FALSE,"계정"}</definedName>
    <definedName name="ㅎㅎㅎㅎ" hidden="1">{#N/A,#N/A,FALSE,"BS";#N/A,#N/A,FALSE,"PL";#N/A,#N/A,FALSE,"처분";#N/A,#N/A,FALSE,"현금";#N/A,#N/A,FALSE,"매출";#N/A,#N/A,FALSE,"원가";#N/A,#N/A,FALSE,"경영"}</definedName>
    <definedName name="하" hidden="1">{"'보고양식'!$A$58:$K$111"}</definedName>
    <definedName name="하늘" hidden="1">{#N/A,#N/A,FALSE,"단축1";#N/A,#N/A,FALSE,"단축2";#N/A,#N/A,FALSE,"단축3";#N/A,#N/A,FALSE,"장축";#N/A,#N/A,FALSE,"4WD"}</definedName>
    <definedName name="하반기">'[189]손익계산서(管理)'!#REF!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한국8" localSheetId="7" hidden="1">#REF!</definedName>
    <definedName name="한국8" localSheetId="8" hidden="1">#REF!</definedName>
    <definedName name="한국8" localSheetId="10" hidden="1">#REF!</definedName>
    <definedName name="한국8" localSheetId="9" hidden="1">#REF!</definedName>
    <definedName name="한국8" hidden="1">#REF!</definedName>
    <definedName name="한국9" localSheetId="7" hidden="1">#REF!</definedName>
    <definedName name="한국9" localSheetId="8" hidden="1">#REF!</definedName>
    <definedName name="한국9" localSheetId="10" hidden="1">#REF!</definedName>
    <definedName name="한국9" localSheetId="9" hidden="1">#REF!</definedName>
    <definedName name="한국9" hidden="1">#REF!</definedName>
    <definedName name="한글">[62]경영계획!#REF!</definedName>
    <definedName name="한미" localSheetId="7" hidden="1">#REF!</definedName>
    <definedName name="한미" localSheetId="8" hidden="1">#REF!</definedName>
    <definedName name="한미" localSheetId="10" hidden="1">#REF!</definedName>
    <definedName name="한미" localSheetId="9" hidden="1">#REF!</definedName>
    <definedName name="한미" hidden="1">#REF!</definedName>
    <definedName name="한영사전" hidden="1">{#N/A,#N/A,TRUE,"Y생산";#N/A,#N/A,TRUE,"Y판매";#N/A,#N/A,TRUE,"Y총물량";#N/A,#N/A,TRUE,"Y능력";#N/A,#N/A,TRUE,"YKD"}</definedName>
    <definedName name="한원양행" hidden="1">{#N/A,#N/A,FALSE,"범우구미";#N/A,#N/A,FALSE,"세한케미칼";#N/A,#N/A,FALSE,"세명화학";#N/A,#N/A,FALSE,"신영케미칼";#N/A,#N/A,FALSE,"일석상사"}</definedName>
    <definedName name="합______________계">#REF!</definedName>
    <definedName name="합계">#REF!</definedName>
    <definedName name="합계잔액시산표">#REF!</definedName>
    <definedName name="해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향후추정">{"'9월'!$F$38"}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1">OFFSET(#REF!,0,0,COUNTA(#REF!),7)</definedName>
    <definedName name="현2">OFFSET(#REF!,0,0,COUNTA(#REF!),7)</definedName>
    <definedName name="현금" hidden="1">{#N/A,#N/A,TRUE,"Summary";#N/A,#N/A,TRUE,"IS";#N/A,#N/A,TRUE,"Adj";#N/A,#N/A,TRUE,"BS";#N/A,#N/A,TRUE,"CF";#N/A,#N/A,TRUE,"Debt";#N/A,#N/A,TRUE,"IRR"}</definedName>
    <definedName name="현금흐름" localSheetId="7" hidden="1">[190]저장품!#REF!</definedName>
    <definedName name="현금흐름" localSheetId="8" hidden="1">[190]저장품!#REF!</definedName>
    <definedName name="현금흐름" localSheetId="10" hidden="1">[190]저장품!#REF!</definedName>
    <definedName name="현금흐름" localSheetId="9" hidden="1">[190]저장품!#REF!</definedName>
    <definedName name="현금흐름" hidden="1">{#N/A,#N/A,TRUE,"Summary";#N/A,#N/A,TRUE,"IS";#N/A,#N/A,TRUE,"Adj";#N/A,#N/A,TRUE,"BS";#N/A,#N/A,TRUE,"CF";#N/A,#N/A,TRUE,"Debt";#N/A,#N/A,TRUE,"IRR"}</definedName>
    <definedName name="현금흐름24기">OFFSET(#REF!,0,0,COUNTA(#REF!),7)</definedName>
    <definedName name="현금흐름3개월" hidden="1">{#N/A,#N/A,FALSE,"UNIT";#N/A,#N/A,FALSE,"UNIT";#N/A,#N/A,FALSE,"계정"}</definedName>
    <definedName name="현금흐름정산표" hidden="1">{#N/A,#N/A,FALSE,"지침";#N/A,#N/A,FALSE,"환경분석";#N/A,#N/A,FALSE,"Sheet16"}</definedName>
    <definedName name="현금흐름표" localSheetId="7" hidden="1">{#N/A,#N/A,FALSE,"Aging Summary";#N/A,#N/A,FALSE,"Ratio Analysis";#N/A,#N/A,FALSE,"Test 120 Day Accts";#N/A,#N/A,FALSE,"Tickmarks"}</definedName>
    <definedName name="현금흐름표" localSheetId="8" hidden="1">{#N/A,#N/A,FALSE,"Aging Summary";#N/A,#N/A,FALSE,"Ratio Analysis";#N/A,#N/A,FALSE,"Test 120 Day Accts";#N/A,#N/A,FALSE,"Tickmarks"}</definedName>
    <definedName name="현금흐름표" localSheetId="10" hidden="1">{#N/A,#N/A,FALSE,"Aging Summary";#N/A,#N/A,FALSE,"Ratio Analysis";#N/A,#N/A,FALSE,"Test 120 Day Accts";#N/A,#N/A,FALSE,"Tickmarks"}</definedName>
    <definedName name="현금흐름표" localSheetId="9" hidden="1">{#N/A,#N/A,FALSE,"Aging Summary";#N/A,#N/A,FALSE,"Ratio Analysis";#N/A,#N/A,FALSE,"Test 120 Day Accts";#N/A,#N/A,FALSE,"Tickmarks"}</definedName>
    <definedName name="현금흐름표" hidden="1">{#N/A,#N/A,FALSE,"지침";#N/A,#N/A,FALSE,"환경분석";#N/A,#N/A,FALSE,"Sheet16"}</definedName>
    <definedName name="현대정공구매현황1" hidden="1">{#N/A,#N/A,FALSE,"정공"}</definedName>
    <definedName name="현인쇄">[191]현금흐름표!#REF!,[191]현금흐름표!#REF!,[191]현금흐름표!#REF!,[191]현금흐름표!#REF!,[191]현금흐름표!#REF!,[191]현금흐름표!#REF!,[191]현금흐름표!#REF!,[191]현금흐름표!#REF!,[191]현금흐름표!$A$8:$G$107</definedName>
    <definedName name="현작성조서" hidden="1">{#N/A,#N/A,FALSE,"BS";#N/A,#N/A,FALSE,"PL";#N/A,#N/A,FALSE,"처분";#N/A,#N/A,FALSE,"현금";#N/A,#N/A,FALSE,"매출";#N/A,#N/A,FALSE,"원가";#N/A,#N/A,FALSE,"경영"}</definedName>
    <definedName name="현재">[192]경영계획!#REF!</definedName>
    <definedName name="현재가치">[62]경영계획!#REF!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호ㅓㅏ" hidden="1">{#N/A,#N/A,FALSE,"96 3월물량표";#N/A,#N/A,FALSE,"96 4월물량표";#N/A,#N/A,FALSE,"96 5월물량표"}</definedName>
    <definedName name="호ㅓㅗ허ㅗ허">{"'Sheet1'!$A$1:$H$36"}</definedName>
    <definedName name="확대3" hidden="1">{#N/A,#N/A,FALSE,"UNIT";#N/A,#N/A,FALSE,"UNIT";#N/A,#N/A,FALSE,"계정"}</definedName>
    <definedName name="확정심사의견">{"'9월'!$F$38"}</definedName>
    <definedName name="확정하여_보고할것.">#REF!</definedName>
    <definedName name="환경" hidden="1">{#N/A,#N/A,FALSE,"UNIT";#N/A,#N/A,FALSE,"UNIT";#N/A,#N/A,FALSE,"계정"}</definedName>
    <definedName name="환율">#REF!</definedName>
    <definedName name="회계와세무의가액검토" hidden="1">{#N/A,#N/A,FALSE,"9612"}</definedName>
    <definedName name="회사">[119]총괄!$D$2</definedName>
    <definedName name="회사명">[112]일반!$C$4</definedName>
    <definedName name="회사제시퇴충" localSheetId="7">BlankMacro1</definedName>
    <definedName name="회사제시퇴충" localSheetId="10">BlankMacro1</definedName>
    <definedName name="회사제시퇴충" localSheetId="9">BlankMacro1</definedName>
    <definedName name="회사제시퇴충">BlankMacro1</definedName>
    <definedName name="회사채1">#REF!</definedName>
    <definedName name="회사현금흐름표">#REF!</definedName>
    <definedName name="회식대">'[123]인건비예산(정규직)'!$IT$28:$IT$276</definedName>
    <definedName name="회차">'[128]12'!#REF!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생수당">#REF!</definedName>
    <definedName name="후후후" hidden="1">{"'미착금액'!$A$4:$G$14"}</definedName>
    <definedName name="汇率">[193]科目设置!$K$3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휴대전화">[126]회사정보!$C$20</definedName>
    <definedName name="휴일및야근">#REF!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hidden="1">{#N/A,#N/A,FALSE,"BS";#N/A,#N/A,FALSE,"PL";#N/A,#N/A,FALSE,"처분";#N/A,#N/A,FALSE,"현금";#N/A,#N/A,FALSE,"매출";#N/A,#N/A,FALSE,"원가";#N/A,#N/A,FALSE,"경영"}</definedName>
    <definedName name="흐름표" hidden="1">{#N/A,#N/A,FALSE,"UNIT";#N/A,#N/A,FALSE,"UNIT";#N/A,#N/A,FALSE,"계정"}</definedName>
    <definedName name="흵____R3_t">#REF!</definedName>
    <definedName name="ㅏ" hidden="1">{#N/A,#N/A,FALSE,"BS";#N/A,#N/A,FALSE,"PL";#N/A,#N/A,FALSE,"처분";#N/A,#N/A,FALSE,"현금";#N/A,#N/A,FALSE,"매출";#N/A,#N/A,FALSE,"원가";#N/A,#N/A,FALSE,"경영"}</definedName>
    <definedName name="ㅏ98">#REF!</definedName>
    <definedName name="ㅏㄴ얼">#REF!</definedName>
    <definedName name="ㅏ휴" hidden="1">{#N/A,#N/A,FALSE,"초도품";#N/A,#N/A,FALSE,"초도품 (2)";#N/A,#N/A,FALSE,"초도품 (3)";#N/A,#N/A,FALSE,"초도품 (4)";#N/A,#N/A,FALSE,"초도품 (5)";#N/A,#N/A,FALSE,"초도품 (6)"}</definedName>
    <definedName name="ㅏㅏ" hidden="1">{#N/A,#N/A,FALSE,"Aging Summary";#N/A,#N/A,FALSE,"Ratio Analysis";#N/A,#N/A,FALSE,"Test 120 Day Accts";#N/A,#N/A,FALSE,"Tickmarks"}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ㅐㅏㅔㅐㅣ" hidden="1">{#N/A,#N/A,FALSE,"UNIT";#N/A,#N/A,FALSE,"UNIT";#N/A,#N/A,FALSE,"계정"}</definedName>
    <definedName name="ㅏㅓ어ㅏㅣㅓㅏㅣ머ㅏㅣㅇㄹ머ㅏㅣ" hidden="1">{"'Sheet1'!$A$1:$J$73"}</definedName>
    <definedName name="ㅏㅣ" localSheetId="7" hidden="1">{#N/A,#N/A,FALSE,"총괄수정"}</definedName>
    <definedName name="ㅏㅣ" localSheetId="8" hidden="1">{#N/A,#N/A,FALSE,"총괄수정"}</definedName>
    <definedName name="ㅏㅣ" localSheetId="10" hidden="1">{#N/A,#N/A,FALSE,"총괄수정"}</definedName>
    <definedName name="ㅏㅣ" localSheetId="9" hidden="1">{#N/A,#N/A,FALSE,"총괄수정"}</definedName>
    <definedName name="ㅏㅣ" hidden="1">{#N/A,#N/A,FALSE,"96 3월물량표";#N/A,#N/A,FALSE,"96 4월물량표";#N/A,#N/A,FALSE,"96 5월물량표"}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ㅐ" hidden="1">{#N/A,#N/A,FALSE,"을지 (4)";#N/A,#N/A,FALSE,"을지 (5)";#N/A,#N/A,FALSE,"을지 (6)"}</definedName>
    <definedName name="ㅐㅐㅐ" hidden="1">{#N/A,#N/A,FALSE,"지침";#N/A,#N/A,FALSE,"환경분석";#N/A,#N/A,FALSE,"Sheet16"}</definedName>
    <definedName name="ㅑ" localSheetId="7" hidden="1">{#N/A,#N/A,FALSE,"Aging Summary";#N/A,#N/A,FALSE,"Ratio Analysis";#N/A,#N/A,FALSE,"Test 120 Day Accts";#N/A,#N/A,FALSE,"Tickmarks"}</definedName>
    <definedName name="ㅑ" localSheetId="8" hidden="1">{#N/A,#N/A,FALSE,"Aging Summary";#N/A,#N/A,FALSE,"Ratio Analysis";#N/A,#N/A,FALSE,"Test 120 Day Accts";#N/A,#N/A,FALSE,"Tickmarks"}</definedName>
    <definedName name="ㅑ" localSheetId="10" hidden="1">{#N/A,#N/A,FALSE,"Aging Summary";#N/A,#N/A,FALSE,"Ratio Analysis";#N/A,#N/A,FALSE,"Test 120 Day Accts";#N/A,#N/A,FALSE,"Tickmarks"}</definedName>
    <definedName name="ㅑ" localSheetId="9" hidden="1">{#N/A,#N/A,FALSE,"Aging Summary";#N/A,#N/A,FALSE,"Ratio Analysis";#N/A,#N/A,FALSE,"Test 120 Day Accts";#N/A,#N/A,FALSE,"Tickmarks"}</definedName>
    <definedName name="ㅑ" hidden="1">{#N/A,#N/A,FALSE,"UNIT";#N/A,#N/A,FALSE,"UNIT";#N/A,#N/A,FALSE,"계정"}</definedName>
    <definedName name="ㅑ13">#REF!</definedName>
    <definedName name="ㅑㅑ" hidden="1">{#N/A,#N/A,FALSE,"UNIT";#N/A,#N/A,FALSE,"UNIT";#N/A,#N/A,FALSE,"계정"}</definedName>
    <definedName name="ㅑㅑㅑ">{"'용역비'!$A$4:$C$8"}</definedName>
    <definedName name="ㅑㅑㅑㅑ" hidden="1">{#N/A,#N/A,FALSE,"UNIT";#N/A,#N/A,FALSE,"UNIT";#N/A,#N/A,FALSE,"계정"}</definedName>
    <definedName name="ㅑㅑㅑㅑㅑ">{"'용역비'!$A$4:$C$8"}</definedName>
    <definedName name="ㅑㅑㅑㅑㅑㅑ">{"'용역비'!$A$4:$C$8"}</definedName>
    <definedName name="ㅑㅕㅕ">{"'용역비'!$A$4:$C$8"}</definedName>
    <definedName name="ㅓ" hidden="1">{#N/A,#N/A,FALSE,"BS";#N/A,#N/A,FALSE,"PL";#N/A,#N/A,FALSE,"처분";#N/A,#N/A,FALSE,"현금";#N/A,#N/A,FALSE,"매출";#N/A,#N/A,FALSE,"원가";#N/A,#N/A,FALSE,"경영"}</definedName>
    <definedName name="ㅓㅎ" hidden="1">{#N/A,#N/A,FALSE,"Sheet1"}</definedName>
    <definedName name="ㅓ헝ㄴ">#REF!</definedName>
    <definedName name="ㅓㅏ리앙" hidden="1">{#N/A,#N/A,FALSE,"UNIT";#N/A,#N/A,FALSE,"UNIT";#N/A,#N/A,FALSE,"계정"}</definedName>
    <definedName name="ㅓㅏㅗ" hidden="1">{#N/A,#N/A,FALSE,"초도품";#N/A,#N/A,FALSE,"초도품 (2)";#N/A,#N/A,FALSE,"초도품 (3)";#N/A,#N/A,FALSE,"초도품 (4)";#N/A,#N/A,FALSE,"초도품 (5)";#N/A,#N/A,FALSE,"초도품 (6)"}</definedName>
    <definedName name="ㅓㅓ" hidden="1">{#N/A,#N/A,FALSE,"UNIT";#N/A,#N/A,FALSE,"UNIT";#N/A,#N/A,FALSE,"계정"}</definedName>
    <definedName name="ㅓㅗㅓ" hidden="1">#REF!</definedName>
    <definedName name="ㅔㅐㅔㅐㅔㅐㅔㅐㅔ" hidden="1">{#N/A,#N/A,FALSE,"지침";#N/A,#N/A,FALSE,"환경분석";#N/A,#N/A,FALSE,"Sheet16"}</definedName>
    <definedName name="ㅔㅔ" hidden="1">{#N/A,#N/A,FALSE,"UNIT";#N/A,#N/A,FALSE,"UNIT";#N/A,#N/A,FALSE,"계정"}</definedName>
    <definedName name="ㅔㅔㅔ" hidden="1">{#N/A,#N/A,FALSE,"UNIT";#N/A,#N/A,FALSE,"UNIT";#N/A,#N/A,FALSE,"계정"}</definedName>
    <definedName name="ㅔㅣ">{"'용역비'!$A$4:$C$8"}</definedName>
    <definedName name="ㅕ" hidden="1">{#N/A,#N/A,FALSE,"BS";#N/A,#N/A,FALSE,"PL";#N/A,#N/A,FALSE,"처분";#N/A,#N/A,FALSE,"현금";#N/A,#N/A,FALSE,"매출";#N/A,#N/A,FALSE,"원가";#N/A,#N/A,FALSE,"경영"}</definedName>
    <definedName name="ㅕㅕ">#REF!</definedName>
    <definedName name="ㅕㅕㅕ" hidden="1">{#N/A,#N/A,FALSE,"UNIT";#N/A,#N/A,FALSE,"UNIT";#N/A,#N/A,FALSE,"계정"}</definedName>
    <definedName name="ㅕㅛ" hidden="1">{#N/A,#N/A,FALSE,"Sheet1"}</definedName>
    <definedName name="ㅗ" hidden="1">{#N/A,#N/A,FALSE,"BS";#N/A,#N/A,FALSE,"PL";#N/A,#N/A,FALSE,"처분";#N/A,#N/A,FALSE,"현금";#N/A,#N/A,FALSE,"매출";#N/A,#N/A,FALSE,"원가";#N/A,#N/A,FALSE,"경영"}</definedName>
    <definedName name="ㅗ122">#REF!</definedName>
    <definedName name="ㅗ돟ㄷ" hidden="1">{#N/A,#N/A,FALSE,"단축1";#N/A,#N/A,FALSE,"단축2";#N/A,#N/A,FALSE,"단축3";#N/A,#N/A,FALSE,"장축";#N/A,#N/A,FALSE,"4WD"}</definedName>
    <definedName name="ㅗㄹ">#REF!</definedName>
    <definedName name="ㅗㅁㅈ몸조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허" hidden="1">{#N/A,#N/A,FALSE,"98소지이동TOTvs99.1 (2)";#N/A,#N/A,FALSE,"TOTAL";#N/A,#N/A,FALSE,"98소지이동TOTvs99.1(b) (2)"}</definedName>
    <definedName name="ㅗㅓㅐㅓㅐ" hidden="1">#REF!</definedName>
    <definedName name="ㅗㅗ" hidden="1">{#N/A,#N/A,FALSE,"UNIT";#N/A,#N/A,FALSE,"UNIT";#N/A,#N/A,FALSE,"계정"}</definedName>
    <definedName name="ㅛ" hidden="1">{#N/A,#N/A,FALSE,"BS";#N/A,#N/A,FALSE,"PL";#N/A,#N/A,FALSE,"처분";#N/A,#N/A,FALSE,"현금";#N/A,#N/A,FALSE,"매출";#N/A,#N/A,FALSE,"원가";#N/A,#N/A,FALSE,"경영"}</definedName>
    <definedName name="ㅛㅛ">{"'용역비'!$A$4:$C$8"}</definedName>
    <definedName name="ㅛㅛㅛ" hidden="1">{#N/A,#N/A,FALSE,"UNIT";#N/A,#N/A,FALSE,"UNIT";#N/A,#N/A,FALSE,"계정"}</definedName>
    <definedName name="ㅜ">[113]정공공사!#REF!</definedName>
    <definedName name="ㅜㅗㅛ" hidden="1">{#N/A,#N/A,FALSE,"Sheet1"}</definedName>
    <definedName name="ㅜㅗㅜㅛㅎ" localSheetId="7">BlankMacro1</definedName>
    <definedName name="ㅜㅗㅜㅛㅎ" localSheetId="10">BlankMacro1</definedName>
    <definedName name="ㅜㅗㅜㅛㅎ" localSheetId="9">BlankMacro1</definedName>
    <definedName name="ㅜㅗㅜㅛㅎ">BlankMacro1</definedName>
    <definedName name="ㅜㅜ" hidden="1">{#N/A,#N/A,FALSE,"UNIT";#N/A,#N/A,FALSE,"UNIT";#N/A,#N/A,FALSE,"계정"}</definedName>
    <definedName name="ㅜㅜㅜㅜ" hidden="1">{#N/A,#N/A,FALSE,"UNIT";#N/A,#N/A,FALSE,"UNIT";#N/A,#N/A,FALSE,"계정"}</definedName>
    <definedName name="ㅜㅜㅜㅜㅜㅜ" hidden="1">{#N/A,#N/A,FALSE,"UNIT";#N/A,#N/A,FALSE,"UNIT";#N/A,#N/A,FALSE,"계정"}</definedName>
    <definedName name="ㅜㅜㅜㅜㅜㅜㅜㅜㅜ" hidden="1">{#N/A,#N/A,FALSE,"Sheet1"}</definedName>
    <definedName name="ㅠ" localSheetId="7" hidden="1">{#N/A,#N/A,FALSE,"Aging Summary";#N/A,#N/A,FALSE,"Ratio Analysis";#N/A,#N/A,FALSE,"Test 120 Day Accts";#N/A,#N/A,FALSE,"Tickmarks"}</definedName>
    <definedName name="ㅠ" localSheetId="8" hidden="1">{#N/A,#N/A,FALSE,"Aging Summary";#N/A,#N/A,FALSE,"Ratio Analysis";#N/A,#N/A,FALSE,"Test 120 Day Accts";#N/A,#N/A,FALSE,"Tickmarks"}</definedName>
    <definedName name="ㅠ" localSheetId="10" hidden="1">{#N/A,#N/A,FALSE,"Aging Summary";#N/A,#N/A,FALSE,"Ratio Analysis";#N/A,#N/A,FALSE,"Test 120 Day Accts";#N/A,#N/A,FALSE,"Tickmarks"}</definedName>
    <definedName name="ㅠ" localSheetId="9" hidden="1">{#N/A,#N/A,FALSE,"Aging Summary";#N/A,#N/A,FALSE,"Ratio Analysis";#N/A,#N/A,FALSE,"Test 120 Day Accts";#N/A,#N/A,FALSE,"Tickmarks"}</definedName>
    <definedName name="ㅠ" hidden="1">{#N/A,#N/A,FALSE,"UNIT";#N/A,#N/A,FALSE,"UNIT";#N/A,#N/A,FALSE,"계정"}</definedName>
    <definedName name="ㅠ1882">#REF!</definedName>
    <definedName name="ㅠㄱ">{"'용역비'!$A$4:$C$8"}</definedName>
    <definedName name="ㅠㅍ" hidden="1">{#N/A,#N/A,FALSE,"UNIT";#N/A,#N/A,FALSE,"UNIT";#N/A,#N/A,FALSE,"계정"}</definedName>
    <definedName name="ㅠㅓ42">#REF!</definedName>
    <definedName name="ㅠㅜ1">[194]품종별월계!#REF!</definedName>
    <definedName name="ㅠㅠㅠ" hidden="1">{#N/A,#N/A,FALSE,"지침";#N/A,#N/A,FALSE,"환경분석";#N/A,#N/A,FALSE,"Sheet16"}</definedName>
    <definedName name="ㅠㅠㅠㅠㅠ" hidden="1">{#N/A,#N/A,FALSE,"UNIT";#N/A,#N/A,FALSE,"UNIT";#N/A,#N/A,FALSE,"계정"}</definedName>
    <definedName name="ㅠㅠㅠㅠㅠㅠ" hidden="1">{#N/A,#N/A,FALSE,"UNIT";#N/A,#N/A,FALSE,"UNIT";#N/A,#N/A,FALSE,"계정"}</definedName>
    <definedName name="ㅡ" localSheetId="7" hidden="1">{#N/A,#N/A,FALSE,"Aging Summary";#N/A,#N/A,FALSE,"Ratio Analysis";#N/A,#N/A,FALSE,"Test 120 Day Accts";#N/A,#N/A,FALSE,"Tickmarks"}</definedName>
    <definedName name="ㅡ" localSheetId="8" hidden="1">{#N/A,#N/A,FALSE,"Aging Summary";#N/A,#N/A,FALSE,"Ratio Analysis";#N/A,#N/A,FALSE,"Test 120 Day Accts";#N/A,#N/A,FALSE,"Tickmarks"}</definedName>
    <definedName name="ㅡ" localSheetId="10" hidden="1">{#N/A,#N/A,FALSE,"Aging Summary";#N/A,#N/A,FALSE,"Ratio Analysis";#N/A,#N/A,FALSE,"Test 120 Day Accts";#N/A,#N/A,FALSE,"Tickmarks"}</definedName>
    <definedName name="ㅡ" localSheetId="9" hidden="1">{#N/A,#N/A,FALSE,"Aging Summary";#N/A,#N/A,FALSE,"Ratio Analysis";#N/A,#N/A,FALSE,"Test 120 Day Accts";#N/A,#N/A,FALSE,"Tickmarks"}</definedName>
    <definedName name="ㅡ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ㅡㅡ" hidden="1">{#N/A,#N/A,FALSE,"UNIT";#N/A,#N/A,FALSE,"UNIT";#N/A,#N/A,FALSE,"계정"}</definedName>
    <definedName name="ㅡㅡㅡ" hidden="1">{#N/A,#N/A,FALSE,"지침";#N/A,#N/A,FALSE,"환경분석";#N/A,#N/A,FALSE,"Sheet16"}</definedName>
    <definedName name="ㅡㅡㅡㅡㅡ" hidden="1">{#N/A,#N/A,FALSE,"UNIT";#N/A,#N/A,FALSE,"UNIT";#N/A,#N/A,FALSE,"계정"}</definedName>
    <definedName name="ㅡㅡㅡㅡㅡㅡ" hidden="1">{#N/A,#N/A,FALSE,"UNIT";#N/A,#N/A,FALSE,"UNIT";#N/A,#N/A,FALSE,"계정"}</definedName>
    <definedName name="ㅣ" localSheetId="7" hidden="1">{#N/A,#N/A,FALSE,"Aging Summary";#N/A,#N/A,FALSE,"Ratio Analysis";#N/A,#N/A,FALSE,"Test 120 Day Accts";#N/A,#N/A,FALSE,"Tickmarks"}</definedName>
    <definedName name="ㅣ" localSheetId="8" hidden="1">{#N/A,#N/A,FALSE,"Aging Summary";#N/A,#N/A,FALSE,"Ratio Analysis";#N/A,#N/A,FALSE,"Test 120 Day Accts";#N/A,#N/A,FALSE,"Tickmarks"}</definedName>
    <definedName name="ㅣ" localSheetId="10" hidden="1">{#N/A,#N/A,FALSE,"Aging Summary";#N/A,#N/A,FALSE,"Ratio Analysis";#N/A,#N/A,FALSE,"Test 120 Day Accts";#N/A,#N/A,FALSE,"Tickmarks"}</definedName>
    <definedName name="ㅣ" localSheetId="9" hidden="1">{#N/A,#N/A,FALSE,"Aging Summary";#N/A,#N/A,FALSE,"Ratio Analysis";#N/A,#N/A,FALSE,"Test 120 Day Accts";#N/A,#N/A,FALSE,"Tickmarks"}</definedName>
    <definedName name="ㅣ" hidden="1">{#N/A,#N/A,FALSE,"Sheet1"}</definedName>
    <definedName name="ㅣㅏ" hidden="1">{#N/A,#N/A,FALSE,"Sheet1"}</definedName>
    <definedName name="ㅣㅏㅡ" hidden="1">{#N/A,#N/A,FALSE,"을지 (4)";#N/A,#N/A,FALSE,"을지 (5)";#N/A,#N/A,FALSE,"을지 (6)"}</definedName>
    <definedName name="ㅣㅓ니ㅏㄹ">#REF!</definedName>
    <definedName name="ㅣㅓㅏㅇㄹ키ㅏㅓ">OFFSET(#REF!,0,0,COUNTA(#REF!),7)</definedName>
    <definedName name="ㅣㅣ" hidden="1">{#N/A,#N/A,TRUE,"Y생산";#N/A,#N/A,TRUE,"Y판매";#N/A,#N/A,TRUE,"Y총물량";#N/A,#N/A,TRUE,"Y능력";#N/A,#N/A,TRUE,"YKD"}</definedName>
    <definedName name="ㅣㅣㅣ" hidden="1">{#N/A,#N/A,FALSE,"단축1";#N/A,#N/A,FALSE,"단축2";#N/A,#N/A,FALSE,"단축3";#N/A,#N/A,FALSE,"장축";#N/A,#N/A,FALSE,"4WD"}</definedName>
    <definedName name="ㅣㅣㅣㅣ" hidden="1">{#N/A,#N/A,FALSE,"BS";#N/A,#N/A,FALSE,"PL";#N/A,#N/A,FALSE,"처분";#N/A,#N/A,FALSE,"현금";#N/A,#N/A,FALSE,"매출";#N/A,#N/A,FALSE,"원가";#N/A,#N/A,FALSE,"경영"}</definedName>
    <definedName name="ㅣㅣㅣㅣㅣㅣㅣㅣㅣㅣㅣ" hidden="1">{#N/A,#N/A,FALSE,"Sheet1"}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0" i="23" l="1"/>
  <c r="E149" i="23"/>
  <c r="E126" i="23"/>
  <c r="E88" i="23"/>
  <c r="E8" i="23"/>
  <c r="E9" i="23"/>
  <c r="E11" i="23"/>
  <c r="E127" i="23"/>
  <c r="P155" i="13"/>
  <c r="D163" i="13"/>
  <c r="G150" i="13" l="1"/>
  <c r="E33" i="18"/>
  <c r="D17" i="18"/>
  <c r="D18" i="18"/>
  <c r="D19" i="18"/>
  <c r="F7" i="18" l="1"/>
  <c r="F89" i="18"/>
  <c r="F69" i="18"/>
  <c r="F67" i="18"/>
  <c r="F66" i="18" s="1"/>
  <c r="F64" i="18"/>
  <c r="F63" i="18"/>
  <c r="F51" i="18"/>
  <c r="D178" i="6" l="1"/>
  <c r="D166" i="6"/>
  <c r="D164" i="6"/>
  <c r="D163" i="6"/>
  <c r="C1" i="17" l="1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48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10" i="4"/>
  <c r="H159" i="13" l="1"/>
  <c r="I159" i="13"/>
  <c r="J159" i="13"/>
  <c r="Q159" i="13"/>
  <c r="I160" i="13"/>
  <c r="J160" i="13"/>
  <c r="Q160" i="13"/>
  <c r="I161" i="13"/>
  <c r="J161" i="13"/>
  <c r="H162" i="13"/>
  <c r="I162" i="13"/>
  <c r="J162" i="13"/>
  <c r="J163" i="13"/>
  <c r="L164" i="13"/>
  <c r="M164" i="13"/>
  <c r="L170" i="13"/>
  <c r="L172" i="13"/>
  <c r="L173" i="13"/>
  <c r="L174" i="13"/>
  <c r="L175" i="13"/>
  <c r="L176" i="13"/>
  <c r="L177" i="13"/>
  <c r="I178" i="13"/>
  <c r="I180" i="13" s="1"/>
  <c r="J178" i="13"/>
  <c r="K178" i="13"/>
  <c r="I186" i="13"/>
  <c r="I188" i="13" s="1"/>
  <c r="J186" i="13"/>
  <c r="K186" i="13"/>
  <c r="L186" i="13"/>
  <c r="I194" i="13"/>
  <c r="J194" i="13"/>
  <c r="K194" i="13"/>
  <c r="L194" i="13"/>
  <c r="L198" i="13"/>
  <c r="L199" i="13" s="1"/>
  <c r="I199" i="13"/>
  <c r="J199" i="13"/>
  <c r="K199" i="13"/>
  <c r="I209" i="13"/>
  <c r="J209" i="13"/>
  <c r="K209" i="13"/>
  <c r="L209" i="13"/>
  <c r="I223" i="13"/>
  <c r="J223" i="13"/>
  <c r="K195" i="13" l="1"/>
  <c r="L195" i="13"/>
  <c r="L178" i="13"/>
  <c r="M178" i="13" s="1"/>
  <c r="J164" i="13"/>
  <c r="J166" i="13" s="1"/>
  <c r="I164" i="13"/>
  <c r="I166" i="13" s="1"/>
  <c r="J195" i="13"/>
  <c r="I12" i="18" l="1"/>
  <c r="D160" i="6" l="1"/>
  <c r="L32" i="18"/>
  <c r="E31" i="18" s="1"/>
  <c r="E137" i="13"/>
  <c r="K76" i="18"/>
  <c r="I98" i="17"/>
  <c r="J98" i="17"/>
  <c r="K98" i="17"/>
  <c r="L98" i="17"/>
  <c r="M98" i="17"/>
  <c r="N98" i="17"/>
  <c r="O98" i="17"/>
  <c r="P98" i="17"/>
  <c r="Q98" i="17"/>
  <c r="R98" i="17"/>
  <c r="S98" i="17"/>
  <c r="T98" i="17"/>
  <c r="U98" i="17"/>
  <c r="V98" i="17"/>
  <c r="W98" i="17"/>
  <c r="X98" i="17"/>
  <c r="Y98" i="17"/>
  <c r="Z98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Y54" i="17"/>
  <c r="Z54" i="17"/>
  <c r="I15" i="17"/>
  <c r="D12" i="18" s="1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E18" i="18"/>
  <c r="F18" i="18" s="1"/>
  <c r="E16" i="18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AA15" i="13"/>
  <c r="AB15" i="13"/>
  <c r="AA48" i="13"/>
  <c r="AB48" i="13"/>
  <c r="AA49" i="13"/>
  <c r="AB49" i="13"/>
  <c r="AA54" i="13"/>
  <c r="AB54" i="13"/>
  <c r="AA59" i="13"/>
  <c r="AB59" i="13"/>
  <c r="AA82" i="13"/>
  <c r="AB82" i="13"/>
  <c r="AA85" i="13"/>
  <c r="AB85" i="13"/>
  <c r="AA87" i="13"/>
  <c r="AB87" i="13"/>
  <c r="AA90" i="13"/>
  <c r="AB90" i="13"/>
  <c r="AA98" i="13"/>
  <c r="AB98" i="13"/>
  <c r="AA100" i="13"/>
  <c r="AB100" i="13"/>
  <c r="AA101" i="13"/>
  <c r="AB101" i="13"/>
  <c r="AA108" i="13"/>
  <c r="AB108" i="13"/>
  <c r="AA109" i="13"/>
  <c r="AB109" i="13"/>
  <c r="AA111" i="13"/>
  <c r="AB111" i="13"/>
  <c r="AA121" i="13"/>
  <c r="AB121" i="13"/>
  <c r="AA130" i="13"/>
  <c r="AB130" i="13"/>
  <c r="AA131" i="13"/>
  <c r="AB131" i="13"/>
  <c r="AA132" i="13"/>
  <c r="AB132" i="13"/>
  <c r="AA133" i="13"/>
  <c r="AB133" i="13"/>
  <c r="AA136" i="13"/>
  <c r="AB136" i="13"/>
  <c r="AA140" i="13"/>
  <c r="AB140" i="13"/>
  <c r="AA142" i="13"/>
  <c r="AB142" i="13"/>
  <c r="AA146" i="13"/>
  <c r="AB146" i="13"/>
  <c r="AA152" i="13"/>
  <c r="AB152" i="13"/>
  <c r="E151" i="13"/>
  <c r="F12" i="18" l="1"/>
  <c r="L38" i="18"/>
  <c r="E41" i="18" s="1"/>
  <c r="E7" i="18"/>
  <c r="I1" i="13"/>
  <c r="E1" i="13"/>
  <c r="E58" i="13" s="1"/>
  <c r="D1" i="13"/>
  <c r="N34" i="8"/>
  <c r="N16" i="8"/>
  <c r="I150" i="8"/>
  <c r="I75" i="8"/>
  <c r="D148" i="8"/>
  <c r="D149" i="8"/>
  <c r="D150" i="8"/>
  <c r="D151" i="8"/>
  <c r="D147" i="8"/>
  <c r="D144" i="8"/>
  <c r="D145" i="8"/>
  <c r="D143" i="8"/>
  <c r="D141" i="8"/>
  <c r="D140" i="8" s="1"/>
  <c r="D139" i="8"/>
  <c r="D138" i="8"/>
  <c r="D137" i="8"/>
  <c r="D135" i="8"/>
  <c r="D134" i="8"/>
  <c r="D123" i="8"/>
  <c r="D124" i="8"/>
  <c r="D125" i="8"/>
  <c r="D126" i="8"/>
  <c r="D127" i="8"/>
  <c r="D128" i="8"/>
  <c r="D129" i="8"/>
  <c r="D122" i="8"/>
  <c r="D113" i="8"/>
  <c r="D114" i="8"/>
  <c r="D115" i="8"/>
  <c r="D116" i="8"/>
  <c r="D117" i="8"/>
  <c r="D118" i="8"/>
  <c r="D119" i="8"/>
  <c r="D120" i="8"/>
  <c r="D112" i="8"/>
  <c r="D110" i="8"/>
  <c r="D103" i="8"/>
  <c r="D104" i="8"/>
  <c r="D105" i="8"/>
  <c r="D106" i="8"/>
  <c r="D102" i="8"/>
  <c r="D92" i="8"/>
  <c r="D93" i="8"/>
  <c r="D94" i="8"/>
  <c r="D95" i="8"/>
  <c r="D96" i="8"/>
  <c r="D97" i="8"/>
  <c r="D98" i="8"/>
  <c r="D99" i="8"/>
  <c r="D91" i="8"/>
  <c r="D84" i="8"/>
  <c r="D85" i="8"/>
  <c r="D86" i="8"/>
  <c r="D87" i="8"/>
  <c r="D88" i="8"/>
  <c r="D89" i="8"/>
  <c r="D83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60" i="8"/>
  <c r="D51" i="8"/>
  <c r="D52" i="8"/>
  <c r="D53" i="8"/>
  <c r="D54" i="8"/>
  <c r="D55" i="8"/>
  <c r="D56" i="8"/>
  <c r="D57" i="8"/>
  <c r="D50" i="8"/>
  <c r="D36" i="8"/>
  <c r="D37" i="8"/>
  <c r="D38" i="8"/>
  <c r="D39" i="8"/>
  <c r="D40" i="8"/>
  <c r="D41" i="8"/>
  <c r="D42" i="8"/>
  <c r="D43" i="8"/>
  <c r="D44" i="8"/>
  <c r="D45" i="8"/>
  <c r="D35" i="8"/>
  <c r="D11" i="8"/>
  <c r="D12" i="8"/>
  <c r="D13" i="8"/>
  <c r="D14" i="8"/>
  <c r="D16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10" i="8"/>
  <c r="I109" i="17"/>
  <c r="J109" i="17"/>
  <c r="K109" i="17"/>
  <c r="L109" i="17"/>
  <c r="M109" i="17"/>
  <c r="N109" i="17"/>
  <c r="O109" i="17"/>
  <c r="P109" i="17"/>
  <c r="Q109" i="17"/>
  <c r="D96" i="18" s="1"/>
  <c r="F96" i="18" s="1"/>
  <c r="R109" i="17"/>
  <c r="S109" i="17"/>
  <c r="T109" i="17"/>
  <c r="U109" i="17"/>
  <c r="V109" i="17"/>
  <c r="W109" i="17"/>
  <c r="X109" i="17"/>
  <c r="Y109" i="17"/>
  <c r="Z109" i="17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D109" i="6"/>
  <c r="AC105" i="6"/>
  <c r="AC106" i="6"/>
  <c r="AC107" i="6"/>
  <c r="AC108" i="6"/>
  <c r="D98" i="6"/>
  <c r="D98" i="17" s="1"/>
  <c r="AC96" i="6"/>
  <c r="AC97" i="6"/>
  <c r="AC98" i="6"/>
  <c r="AC99" i="6"/>
  <c r="AC100" i="6"/>
  <c r="AC101" i="6"/>
  <c r="AC102" i="6"/>
  <c r="AC103" i="6"/>
  <c r="AC104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13" i="6"/>
  <c r="AC14" i="6"/>
  <c r="AC15" i="6"/>
  <c r="AC16" i="6"/>
  <c r="AC17" i="6"/>
  <c r="I107" i="17"/>
  <c r="J107" i="17"/>
  <c r="K107" i="17"/>
  <c r="L107" i="17"/>
  <c r="D44" i="18" s="1"/>
  <c r="F44" i="18" s="1"/>
  <c r="M107" i="17"/>
  <c r="N107" i="17"/>
  <c r="O107" i="17"/>
  <c r="P107" i="17"/>
  <c r="Q107" i="17"/>
  <c r="R107" i="17"/>
  <c r="S107" i="17"/>
  <c r="T107" i="17"/>
  <c r="U107" i="17"/>
  <c r="V107" i="17"/>
  <c r="W107" i="17"/>
  <c r="X107" i="17"/>
  <c r="Y107" i="17"/>
  <c r="Z107" i="17"/>
  <c r="D107" i="6"/>
  <c r="F107" i="8"/>
  <c r="G107" i="8" s="1"/>
  <c r="D10" i="6"/>
  <c r="X271" i="23"/>
  <c r="W271" i="23"/>
  <c r="X270" i="23"/>
  <c r="W270" i="23"/>
  <c r="X269" i="23"/>
  <c r="W269" i="23"/>
  <c r="X268" i="23"/>
  <c r="W268" i="23"/>
  <c r="X267" i="23"/>
  <c r="W267" i="23"/>
  <c r="X266" i="23"/>
  <c r="W266" i="23"/>
  <c r="X265" i="23"/>
  <c r="W265" i="23"/>
  <c r="X264" i="23"/>
  <c r="W264" i="23"/>
  <c r="X263" i="23"/>
  <c r="W263" i="23"/>
  <c r="X262" i="23"/>
  <c r="W262" i="23"/>
  <c r="X261" i="23"/>
  <c r="W261" i="23"/>
  <c r="X260" i="23"/>
  <c r="W260" i="23"/>
  <c r="X259" i="23"/>
  <c r="W259" i="23"/>
  <c r="X258" i="23"/>
  <c r="W258" i="23"/>
  <c r="X257" i="23"/>
  <c r="W257" i="23"/>
  <c r="X256" i="23"/>
  <c r="W256" i="23"/>
  <c r="X255" i="23"/>
  <c r="W255" i="23"/>
  <c r="X254" i="23"/>
  <c r="W254" i="23"/>
  <c r="X253" i="23"/>
  <c r="W253" i="23"/>
  <c r="X252" i="23"/>
  <c r="W252" i="23"/>
  <c r="X251" i="23"/>
  <c r="W251" i="23"/>
  <c r="X250" i="23"/>
  <c r="W250" i="23"/>
  <c r="X249" i="23"/>
  <c r="W249" i="23"/>
  <c r="X248" i="23"/>
  <c r="W248" i="23"/>
  <c r="X247" i="23"/>
  <c r="W247" i="23"/>
  <c r="X246" i="23"/>
  <c r="W246" i="23"/>
  <c r="X245" i="23"/>
  <c r="W245" i="23"/>
  <c r="N245" i="23"/>
  <c r="M245" i="23"/>
  <c r="L245" i="23"/>
  <c r="J245" i="23"/>
  <c r="X244" i="23"/>
  <c r="W244" i="23"/>
  <c r="X243" i="23"/>
  <c r="W243" i="23"/>
  <c r="X242" i="23"/>
  <c r="W242" i="23"/>
  <c r="X241" i="23"/>
  <c r="W241" i="23"/>
  <c r="X240" i="23"/>
  <c r="W240" i="23"/>
  <c r="N240" i="23"/>
  <c r="M240" i="23"/>
  <c r="L240" i="23"/>
  <c r="J240" i="23"/>
  <c r="X239" i="23"/>
  <c r="W239" i="23"/>
  <c r="X238" i="23"/>
  <c r="W238" i="23"/>
  <c r="X237" i="23"/>
  <c r="W237" i="23"/>
  <c r="N237" i="23"/>
  <c r="M237" i="23"/>
  <c r="L237" i="23"/>
  <c r="J237" i="23"/>
  <c r="X236" i="23"/>
  <c r="W236" i="23"/>
  <c r="X235" i="23"/>
  <c r="W235" i="23"/>
  <c r="X234" i="23"/>
  <c r="W234" i="23"/>
  <c r="X233" i="23"/>
  <c r="W233" i="23"/>
  <c r="N233" i="23"/>
  <c r="M233" i="23"/>
  <c r="L233" i="23"/>
  <c r="J233" i="23"/>
  <c r="X231" i="23"/>
  <c r="W231" i="23"/>
  <c r="X230" i="23"/>
  <c r="W230" i="23"/>
  <c r="X229" i="23"/>
  <c r="W229" i="23"/>
  <c r="X228" i="23"/>
  <c r="W228" i="23"/>
  <c r="N228" i="23"/>
  <c r="M228" i="23"/>
  <c r="L228" i="23"/>
  <c r="J228" i="23"/>
  <c r="X227" i="23"/>
  <c r="W227" i="23"/>
  <c r="X226" i="23"/>
  <c r="W226" i="23"/>
  <c r="X225" i="23"/>
  <c r="W225" i="23"/>
  <c r="X224" i="23"/>
  <c r="W224" i="23"/>
  <c r="X223" i="23"/>
  <c r="W223" i="23"/>
  <c r="X222" i="23"/>
  <c r="W222" i="23"/>
  <c r="X220" i="23"/>
  <c r="W220" i="23"/>
  <c r="X219" i="23"/>
  <c r="W219" i="23"/>
  <c r="X218" i="23"/>
  <c r="W218" i="23"/>
  <c r="N218" i="23"/>
  <c r="M218" i="23"/>
  <c r="L218" i="23"/>
  <c r="J218" i="23"/>
  <c r="X217" i="23"/>
  <c r="W217" i="23"/>
  <c r="X215" i="23"/>
  <c r="W215" i="23"/>
  <c r="X214" i="23"/>
  <c r="W214" i="23"/>
  <c r="X213" i="23"/>
  <c r="W213" i="23"/>
  <c r="X212" i="23"/>
  <c r="W212" i="23"/>
  <c r="X211" i="23"/>
  <c r="W211" i="23"/>
  <c r="X210" i="23"/>
  <c r="W210" i="23"/>
  <c r="X209" i="23"/>
  <c r="W209" i="23"/>
  <c r="X208" i="23"/>
  <c r="W208" i="23"/>
  <c r="N208" i="23"/>
  <c r="M208" i="23"/>
  <c r="L208" i="23"/>
  <c r="J208" i="23"/>
  <c r="X207" i="23"/>
  <c r="W207" i="23"/>
  <c r="X205" i="23"/>
  <c r="W205" i="23"/>
  <c r="X204" i="23"/>
  <c r="W204" i="23"/>
  <c r="X203" i="23"/>
  <c r="W203" i="23"/>
  <c r="X202" i="23"/>
  <c r="W202" i="23"/>
  <c r="X201" i="23"/>
  <c r="W201" i="23"/>
  <c r="X200" i="23"/>
  <c r="W200" i="23"/>
  <c r="X199" i="23"/>
  <c r="W199" i="23"/>
  <c r="X198" i="23"/>
  <c r="W198" i="23"/>
  <c r="X197" i="23"/>
  <c r="W197" i="23"/>
  <c r="X196" i="23"/>
  <c r="W196" i="23"/>
  <c r="X195" i="23"/>
  <c r="W195" i="23"/>
  <c r="X194" i="23"/>
  <c r="W194" i="23"/>
  <c r="X193" i="23"/>
  <c r="W193" i="23"/>
  <c r="X192" i="23"/>
  <c r="W192" i="23"/>
  <c r="X191" i="23"/>
  <c r="W191" i="23"/>
  <c r="X190" i="23"/>
  <c r="W190" i="23"/>
  <c r="X189" i="23"/>
  <c r="W189" i="23"/>
  <c r="X188" i="23"/>
  <c r="W188" i="23"/>
  <c r="X187" i="23"/>
  <c r="W187" i="23"/>
  <c r="X186" i="23"/>
  <c r="W186" i="23"/>
  <c r="X185" i="23"/>
  <c r="W185" i="23"/>
  <c r="X184" i="23"/>
  <c r="W184" i="23"/>
  <c r="X183" i="23"/>
  <c r="W183" i="23"/>
  <c r="X182" i="23"/>
  <c r="W182" i="23"/>
  <c r="X181" i="23"/>
  <c r="W181" i="23"/>
  <c r="X180" i="23"/>
  <c r="W180" i="23"/>
  <c r="X179" i="23"/>
  <c r="W179" i="23"/>
  <c r="X178" i="23"/>
  <c r="W178" i="23"/>
  <c r="X177" i="23"/>
  <c r="W177" i="23"/>
  <c r="X176" i="23"/>
  <c r="W176" i="23"/>
  <c r="X175" i="23"/>
  <c r="W175" i="23"/>
  <c r="X174" i="23"/>
  <c r="W174" i="23"/>
  <c r="X173" i="23"/>
  <c r="W173" i="23"/>
  <c r="N173" i="23"/>
  <c r="M173" i="23"/>
  <c r="L173" i="23"/>
  <c r="J173" i="23"/>
  <c r="X172" i="23"/>
  <c r="W172" i="23"/>
  <c r="X171" i="23"/>
  <c r="W171" i="23"/>
  <c r="X170" i="23"/>
  <c r="W170" i="23"/>
  <c r="X169" i="23"/>
  <c r="W169" i="23"/>
  <c r="X168" i="23"/>
  <c r="W168" i="23"/>
  <c r="X167" i="23"/>
  <c r="W167" i="23"/>
  <c r="X166" i="23"/>
  <c r="W166" i="23"/>
  <c r="X165" i="23"/>
  <c r="W165" i="23"/>
  <c r="X164" i="23"/>
  <c r="W164" i="23"/>
  <c r="N164" i="23"/>
  <c r="M164" i="23"/>
  <c r="L164" i="23"/>
  <c r="J164" i="23"/>
  <c r="X162" i="23"/>
  <c r="W162" i="23"/>
  <c r="X159" i="23"/>
  <c r="W159" i="23"/>
  <c r="X158" i="23"/>
  <c r="W158" i="23"/>
  <c r="X157" i="23"/>
  <c r="W157" i="23"/>
  <c r="X156" i="23"/>
  <c r="W156" i="23"/>
  <c r="X155" i="23"/>
  <c r="W155" i="23"/>
  <c r="X154" i="23"/>
  <c r="W154" i="23"/>
  <c r="X153" i="23"/>
  <c r="W153" i="23"/>
  <c r="N153" i="23"/>
  <c r="M153" i="23"/>
  <c r="L153" i="23"/>
  <c r="J153" i="23"/>
  <c r="X152" i="23"/>
  <c r="W152" i="23"/>
  <c r="X151" i="23"/>
  <c r="W151" i="23"/>
  <c r="X150" i="23"/>
  <c r="W150" i="23"/>
  <c r="X149" i="23"/>
  <c r="W149" i="23"/>
  <c r="X148" i="23"/>
  <c r="W148" i="23"/>
  <c r="X147" i="23"/>
  <c r="W147" i="23"/>
  <c r="X146" i="23"/>
  <c r="W146" i="23"/>
  <c r="X145" i="23"/>
  <c r="W145" i="23"/>
  <c r="X144" i="23"/>
  <c r="W144" i="23"/>
  <c r="N144" i="23"/>
  <c r="M144" i="23"/>
  <c r="L144" i="23"/>
  <c r="J144" i="23"/>
  <c r="X143" i="23"/>
  <c r="W143" i="23"/>
  <c r="X142" i="23"/>
  <c r="W142" i="23"/>
  <c r="X141" i="23"/>
  <c r="W141" i="23"/>
  <c r="X140" i="23"/>
  <c r="W140" i="23"/>
  <c r="X139" i="23"/>
  <c r="W139" i="23"/>
  <c r="X138" i="23"/>
  <c r="W138" i="23"/>
  <c r="N138" i="23"/>
  <c r="M138" i="23"/>
  <c r="L138" i="23"/>
  <c r="J138" i="23"/>
  <c r="X136" i="23"/>
  <c r="W136" i="23"/>
  <c r="X135" i="23"/>
  <c r="W135" i="23"/>
  <c r="X134" i="23"/>
  <c r="W134" i="23"/>
  <c r="X133" i="23"/>
  <c r="W133" i="23"/>
  <c r="N133" i="23"/>
  <c r="M133" i="23"/>
  <c r="L133" i="23"/>
  <c r="J133" i="23"/>
  <c r="X132" i="23"/>
  <c r="W132" i="23"/>
  <c r="X131" i="23"/>
  <c r="W131" i="23"/>
  <c r="X130" i="23"/>
  <c r="W130" i="23"/>
  <c r="N130" i="23"/>
  <c r="M130" i="23"/>
  <c r="L130" i="23"/>
  <c r="J130" i="23"/>
  <c r="X129" i="23"/>
  <c r="W129" i="23"/>
  <c r="X128" i="23"/>
  <c r="W128" i="23"/>
  <c r="X127" i="23"/>
  <c r="W127" i="23"/>
  <c r="X126" i="23"/>
  <c r="W126" i="23"/>
  <c r="N126" i="23"/>
  <c r="M126" i="23"/>
  <c r="L126" i="23"/>
  <c r="J126" i="23"/>
  <c r="X125" i="23"/>
  <c r="W125" i="23"/>
  <c r="X124" i="23"/>
  <c r="W124" i="23"/>
  <c r="N124" i="23"/>
  <c r="M124" i="23"/>
  <c r="L124" i="23"/>
  <c r="J124" i="23"/>
  <c r="X123" i="23"/>
  <c r="W123" i="23"/>
  <c r="X122" i="23"/>
  <c r="W122" i="23"/>
  <c r="X121" i="23"/>
  <c r="W121" i="23"/>
  <c r="X120" i="23"/>
  <c r="W120" i="23"/>
  <c r="X119" i="23"/>
  <c r="W119" i="23"/>
  <c r="X118" i="23"/>
  <c r="W118" i="23"/>
  <c r="X117" i="23"/>
  <c r="W117" i="23"/>
  <c r="X116" i="23"/>
  <c r="W116" i="23"/>
  <c r="X115" i="23"/>
  <c r="W115" i="23"/>
  <c r="X114" i="23"/>
  <c r="W114" i="23"/>
  <c r="X113" i="23"/>
  <c r="W113" i="23"/>
  <c r="X112" i="23"/>
  <c r="W112" i="23"/>
  <c r="X111" i="23"/>
  <c r="W111" i="23"/>
  <c r="X110" i="23"/>
  <c r="W110" i="23"/>
  <c r="N110" i="23"/>
  <c r="M110" i="23"/>
  <c r="L110" i="23"/>
  <c r="K110" i="23"/>
  <c r="J110" i="23"/>
  <c r="X109" i="23"/>
  <c r="W109" i="23"/>
  <c r="X108" i="23"/>
  <c r="W108" i="23"/>
  <c r="X107" i="23"/>
  <c r="W107" i="23"/>
  <c r="X106" i="23"/>
  <c r="W106" i="23"/>
  <c r="X105" i="23"/>
  <c r="W105" i="23"/>
  <c r="X104" i="23"/>
  <c r="W104" i="23"/>
  <c r="X103" i="23"/>
  <c r="W103" i="23"/>
  <c r="X102" i="23"/>
  <c r="W102" i="23"/>
  <c r="X101" i="23"/>
  <c r="W101" i="23"/>
  <c r="X99" i="23"/>
  <c r="W99" i="23"/>
  <c r="X95" i="23"/>
  <c r="W95" i="23"/>
  <c r="X94" i="23"/>
  <c r="W94" i="23"/>
  <c r="X93" i="23"/>
  <c r="W93" i="23"/>
  <c r="X92" i="23"/>
  <c r="W92" i="23"/>
  <c r="X91" i="23"/>
  <c r="W91" i="23"/>
  <c r="X90" i="23"/>
  <c r="W90" i="23"/>
  <c r="N90" i="23"/>
  <c r="M90" i="23"/>
  <c r="L90" i="23"/>
  <c r="J90" i="23"/>
  <c r="X89" i="23"/>
  <c r="W89" i="23"/>
  <c r="X88" i="23"/>
  <c r="W88" i="23"/>
  <c r="X87" i="23"/>
  <c r="W87" i="23"/>
  <c r="X86" i="23"/>
  <c r="W86" i="23"/>
  <c r="X85" i="23"/>
  <c r="W85" i="23"/>
  <c r="X84" i="23"/>
  <c r="W84" i="23"/>
  <c r="X82" i="23"/>
  <c r="W82" i="23"/>
  <c r="X80" i="23"/>
  <c r="W80" i="23"/>
  <c r="X79" i="23"/>
  <c r="W79" i="23"/>
  <c r="X78" i="23"/>
  <c r="W78" i="23"/>
  <c r="N78" i="23"/>
  <c r="M78" i="23"/>
  <c r="L78" i="23"/>
  <c r="J78" i="23"/>
  <c r="X77" i="23"/>
  <c r="W77" i="23"/>
  <c r="X76" i="23"/>
  <c r="W76" i="23"/>
  <c r="X75" i="23"/>
  <c r="W75" i="23"/>
  <c r="X74" i="23"/>
  <c r="W74" i="23"/>
  <c r="X73" i="23"/>
  <c r="W73" i="23"/>
  <c r="X72" i="23"/>
  <c r="W72" i="23"/>
  <c r="X71" i="23"/>
  <c r="W71" i="23"/>
  <c r="X70" i="23"/>
  <c r="W70" i="23"/>
  <c r="X69" i="23"/>
  <c r="W69" i="23"/>
  <c r="X68" i="23"/>
  <c r="W68" i="23"/>
  <c r="X67" i="23"/>
  <c r="W67" i="23"/>
  <c r="X66" i="23"/>
  <c r="W66" i="23"/>
  <c r="X65" i="23"/>
  <c r="W65" i="23"/>
  <c r="X64" i="23"/>
  <c r="W64" i="23"/>
  <c r="X63" i="23"/>
  <c r="W63" i="23"/>
  <c r="X62" i="23"/>
  <c r="W62" i="23"/>
  <c r="X61" i="23"/>
  <c r="W61" i="23"/>
  <c r="X60" i="23"/>
  <c r="W60" i="23"/>
  <c r="X59" i="23"/>
  <c r="W59" i="23"/>
  <c r="X58" i="23"/>
  <c r="W58" i="23"/>
  <c r="X57" i="23"/>
  <c r="W57" i="23"/>
  <c r="N57" i="23"/>
  <c r="M57" i="23"/>
  <c r="L57" i="23"/>
  <c r="J57" i="23"/>
  <c r="X56" i="23"/>
  <c r="W56" i="23"/>
  <c r="X55" i="23"/>
  <c r="W55" i="23"/>
  <c r="X54" i="23"/>
  <c r="W54" i="23"/>
  <c r="X53" i="23"/>
  <c r="W53" i="23"/>
  <c r="X52" i="23"/>
  <c r="W52" i="23"/>
  <c r="X50" i="23"/>
  <c r="W50" i="23"/>
  <c r="X49" i="23"/>
  <c r="W49" i="23"/>
  <c r="X48" i="23"/>
  <c r="W48" i="23"/>
  <c r="X47" i="23"/>
  <c r="W47" i="23"/>
  <c r="X46" i="23"/>
  <c r="W46" i="23"/>
  <c r="X45" i="23"/>
  <c r="W45" i="23"/>
  <c r="X44" i="23"/>
  <c r="W44" i="23"/>
  <c r="X43" i="23"/>
  <c r="W43" i="23"/>
  <c r="X42" i="23"/>
  <c r="W42" i="23"/>
  <c r="X41" i="23"/>
  <c r="W41" i="23"/>
  <c r="X40" i="23"/>
  <c r="W40" i="23"/>
  <c r="X39" i="23"/>
  <c r="W39" i="23"/>
  <c r="X38" i="23"/>
  <c r="W38" i="23"/>
  <c r="X37" i="23"/>
  <c r="W37" i="23"/>
  <c r="X36" i="23"/>
  <c r="W36" i="23"/>
  <c r="X35" i="23"/>
  <c r="W35" i="23"/>
  <c r="X34" i="23"/>
  <c r="W34" i="23"/>
  <c r="X33" i="23"/>
  <c r="W33" i="23"/>
  <c r="X32" i="23"/>
  <c r="W32" i="23"/>
  <c r="X31" i="23"/>
  <c r="W31" i="23"/>
  <c r="X30" i="23"/>
  <c r="W30" i="23"/>
  <c r="X29" i="23"/>
  <c r="W29" i="23"/>
  <c r="X28" i="23"/>
  <c r="W28" i="23"/>
  <c r="X27" i="23"/>
  <c r="W27" i="23"/>
  <c r="X25" i="23"/>
  <c r="W25" i="23"/>
  <c r="X24" i="23"/>
  <c r="W24" i="23"/>
  <c r="X23" i="23"/>
  <c r="W23" i="23"/>
  <c r="X22" i="23"/>
  <c r="W22" i="23"/>
  <c r="X21" i="23"/>
  <c r="W21" i="23"/>
  <c r="X20" i="23"/>
  <c r="W20" i="23"/>
  <c r="X19" i="23"/>
  <c r="W19" i="23"/>
  <c r="X18" i="23"/>
  <c r="W18" i="23"/>
  <c r="X17" i="23"/>
  <c r="W17" i="23"/>
  <c r="X16" i="23"/>
  <c r="W16" i="23"/>
  <c r="X15" i="23"/>
  <c r="W15" i="23"/>
  <c r="X14" i="23"/>
  <c r="W14" i="23"/>
  <c r="X13" i="23"/>
  <c r="W13" i="23"/>
  <c r="X12" i="23"/>
  <c r="W12" i="23"/>
  <c r="X11" i="23"/>
  <c r="W11" i="23"/>
  <c r="X10" i="23"/>
  <c r="W10" i="23"/>
  <c r="X9" i="23"/>
  <c r="W9" i="23"/>
  <c r="X8" i="23"/>
  <c r="W8" i="23"/>
  <c r="N8" i="23"/>
  <c r="M8" i="23"/>
  <c r="L8" i="23"/>
  <c r="K8" i="23"/>
  <c r="J8" i="23"/>
  <c r="E5" i="23"/>
  <c r="D5" i="23"/>
  <c r="B5" i="23"/>
  <c r="E151" i="8" s="1"/>
  <c r="D148" i="6"/>
  <c r="D149" i="6"/>
  <c r="D150" i="6"/>
  <c r="D151" i="6"/>
  <c r="D147" i="6"/>
  <c r="D141" i="6"/>
  <c r="D140" i="6" s="1"/>
  <c r="D145" i="6"/>
  <c r="D144" i="6"/>
  <c r="D143" i="6"/>
  <c r="D138" i="6"/>
  <c r="D139" i="6"/>
  <c r="D137" i="6"/>
  <c r="D135" i="6"/>
  <c r="D134" i="6"/>
  <c r="D123" i="6"/>
  <c r="D124" i="6"/>
  <c r="D125" i="6"/>
  <c r="D126" i="6"/>
  <c r="D127" i="6"/>
  <c r="D128" i="6"/>
  <c r="D129" i="6"/>
  <c r="D130" i="6"/>
  <c r="D122" i="6"/>
  <c r="D103" i="6"/>
  <c r="D104" i="6"/>
  <c r="D105" i="6"/>
  <c r="D106" i="6"/>
  <c r="D108" i="6"/>
  <c r="D110" i="6"/>
  <c r="D111" i="6"/>
  <c r="D112" i="6"/>
  <c r="D113" i="6"/>
  <c r="D114" i="6"/>
  <c r="D115" i="6"/>
  <c r="D116" i="6"/>
  <c r="D117" i="6"/>
  <c r="D118" i="6"/>
  <c r="D119" i="6"/>
  <c r="D120" i="6"/>
  <c r="D102" i="6"/>
  <c r="D92" i="6"/>
  <c r="D93" i="6"/>
  <c r="D94" i="6"/>
  <c r="D95" i="6"/>
  <c r="D96" i="6"/>
  <c r="D97" i="6"/>
  <c r="D99" i="6"/>
  <c r="D91" i="6"/>
  <c r="D84" i="6"/>
  <c r="D85" i="6"/>
  <c r="D86" i="6"/>
  <c r="D87" i="6"/>
  <c r="D88" i="6"/>
  <c r="D89" i="6"/>
  <c r="D83" i="6"/>
  <c r="G81" i="6"/>
  <c r="G66" i="6"/>
  <c r="G58" i="6"/>
  <c r="G56" i="6"/>
  <c r="G54" i="6"/>
  <c r="G17" i="6"/>
  <c r="D51" i="6"/>
  <c r="D52" i="6"/>
  <c r="D53" i="6"/>
  <c r="D54" i="6"/>
  <c r="D55" i="6"/>
  <c r="D56" i="6"/>
  <c r="D57" i="6"/>
  <c r="D5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60" i="6"/>
  <c r="D36" i="6"/>
  <c r="D37" i="6"/>
  <c r="D38" i="6"/>
  <c r="D39" i="6"/>
  <c r="D40" i="6"/>
  <c r="D41" i="6"/>
  <c r="D42" i="6"/>
  <c r="D43" i="6"/>
  <c r="D44" i="6"/>
  <c r="D45" i="6"/>
  <c r="D35" i="6"/>
  <c r="D11" i="6"/>
  <c r="D12" i="6"/>
  <c r="D13" i="6"/>
  <c r="D14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I51" i="13"/>
  <c r="C4" i="13"/>
  <c r="Z4" i="13"/>
  <c r="D179" i="13" s="1"/>
  <c r="AA10" i="13"/>
  <c r="AB10" i="13"/>
  <c r="AA11" i="13"/>
  <c r="AB11" i="13"/>
  <c r="AA12" i="13"/>
  <c r="AB12" i="13"/>
  <c r="I234" i="13"/>
  <c r="I242" i="13"/>
  <c r="J242" i="13"/>
  <c r="I249" i="13"/>
  <c r="J249" i="13"/>
  <c r="I255" i="13"/>
  <c r="I259" i="13" s="1"/>
  <c r="R154" i="6"/>
  <c r="D174" i="6" s="1"/>
  <c r="Q154" i="6"/>
  <c r="D173" i="6" s="1"/>
  <c r="P154" i="6"/>
  <c r="D170" i="6" s="1"/>
  <c r="O154" i="6"/>
  <c r="D169" i="6" s="1"/>
  <c r="N154" i="6"/>
  <c r="D162" i="6" s="1"/>
  <c r="M154" i="6"/>
  <c r="L154" i="6"/>
  <c r="K154" i="6"/>
  <c r="I24" i="18"/>
  <c r="D33" i="6"/>
  <c r="J154" i="6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100" i="1"/>
  <c r="N101" i="1"/>
  <c r="N91" i="1"/>
  <c r="N92" i="1"/>
  <c r="N93" i="1"/>
  <c r="N94" i="1"/>
  <c r="N95" i="1"/>
  <c r="N96" i="1"/>
  <c r="N97" i="1"/>
  <c r="N98" i="1"/>
  <c r="N99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8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J121" i="23" l="1"/>
  <c r="L42" i="23"/>
  <c r="L88" i="23" s="1"/>
  <c r="I150" i="13"/>
  <c r="J42" i="23"/>
  <c r="J88" i="23" s="1"/>
  <c r="D110" i="13"/>
  <c r="M42" i="23"/>
  <c r="M88" i="23" s="1"/>
  <c r="L172" i="23"/>
  <c r="L207" i="23" s="1"/>
  <c r="L239" i="23" s="1"/>
  <c r="L242" i="23" s="1"/>
  <c r="L123" i="23"/>
  <c r="D168" i="6"/>
  <c r="D177" i="6"/>
  <c r="M123" i="23"/>
  <c r="M149" i="23" s="1"/>
  <c r="J123" i="23"/>
  <c r="J149" i="23" s="1"/>
  <c r="M172" i="23"/>
  <c r="M207" i="23" s="1"/>
  <c r="M239" i="23" s="1"/>
  <c r="M242" i="23" s="1"/>
  <c r="M252" i="23" s="1"/>
  <c r="M253" i="23" s="1"/>
  <c r="D161" i="6"/>
  <c r="D159" i="6" s="1"/>
  <c r="D158" i="6" s="1"/>
  <c r="N123" i="23"/>
  <c r="N149" i="23" s="1"/>
  <c r="N172" i="23"/>
  <c r="N207" i="23" s="1"/>
  <c r="N239" i="23" s="1"/>
  <c r="N242" i="23" s="1"/>
  <c r="N252" i="23" s="1"/>
  <c r="N253" i="23" s="1"/>
  <c r="L121" i="23"/>
  <c r="D46" i="13"/>
  <c r="D107" i="13"/>
  <c r="D107" i="17" s="1"/>
  <c r="D108" i="13"/>
  <c r="D109" i="13"/>
  <c r="D109" i="17" s="1"/>
  <c r="D111" i="13"/>
  <c r="N42" i="23"/>
  <c r="N88" i="23" s="1"/>
  <c r="E107" i="13"/>
  <c r="E108" i="13"/>
  <c r="E109" i="13"/>
  <c r="E111" i="13"/>
  <c r="D172" i="6"/>
  <c r="I102" i="13"/>
  <c r="I103" i="13"/>
  <c r="I104" i="13"/>
  <c r="I105" i="13"/>
  <c r="I106" i="13"/>
  <c r="I110" i="13"/>
  <c r="I112" i="13"/>
  <c r="I113" i="13"/>
  <c r="I114" i="13"/>
  <c r="I115" i="13"/>
  <c r="P160" i="13" s="1"/>
  <c r="R160" i="13" s="1"/>
  <c r="I116" i="13"/>
  <c r="I117" i="13"/>
  <c r="I118" i="13"/>
  <c r="I119" i="13"/>
  <c r="I120" i="13"/>
  <c r="I122" i="13"/>
  <c r="I123" i="13"/>
  <c r="I124" i="13"/>
  <c r="I125" i="13"/>
  <c r="I126" i="13"/>
  <c r="I127" i="13"/>
  <c r="I128" i="13"/>
  <c r="I129" i="13"/>
  <c r="I134" i="13"/>
  <c r="I151" i="13"/>
  <c r="I152" i="13"/>
  <c r="I138" i="13"/>
  <c r="I141" i="13"/>
  <c r="I144" i="13"/>
  <c r="I147" i="13"/>
  <c r="I149" i="13"/>
  <c r="I135" i="13"/>
  <c r="I137" i="13"/>
  <c r="I139" i="13"/>
  <c r="I143" i="13"/>
  <c r="I145" i="13"/>
  <c r="I148" i="13"/>
  <c r="M121" i="23"/>
  <c r="N121" i="23"/>
  <c r="J172" i="23"/>
  <c r="J207" i="23" s="1"/>
  <c r="J239" i="23" s="1"/>
  <c r="J242" i="23" s="1"/>
  <c r="J4" i="23" s="1"/>
  <c r="D155" i="6"/>
  <c r="E28" i="6"/>
  <c r="F28" i="6" s="1"/>
  <c r="G28" i="6" s="1"/>
  <c r="E20" i="6"/>
  <c r="F20" i="6" s="1"/>
  <c r="G20" i="6" s="1"/>
  <c r="E11" i="6"/>
  <c r="E39" i="6"/>
  <c r="E54" i="6"/>
  <c r="E77" i="6"/>
  <c r="F77" i="6" s="1"/>
  <c r="G77" i="6" s="1"/>
  <c r="E69" i="6"/>
  <c r="F69" i="6" s="1"/>
  <c r="G69" i="6" s="1"/>
  <c r="E61" i="6"/>
  <c r="F61" i="6" s="1"/>
  <c r="G61" i="6" s="1"/>
  <c r="E91" i="6"/>
  <c r="F91" i="6" s="1"/>
  <c r="G91" i="6" s="1"/>
  <c r="E102" i="6"/>
  <c r="F102" i="6" s="1"/>
  <c r="G102" i="6" s="1"/>
  <c r="E113" i="6"/>
  <c r="F113" i="6" s="1"/>
  <c r="G113" i="6" s="1"/>
  <c r="E103" i="6"/>
  <c r="F103" i="6" s="1"/>
  <c r="G103" i="6" s="1"/>
  <c r="E124" i="6"/>
  <c r="F124" i="6" s="1"/>
  <c r="G124" i="6" s="1"/>
  <c r="E143" i="6"/>
  <c r="F143" i="6" s="1"/>
  <c r="G143" i="6" s="1"/>
  <c r="E109" i="6"/>
  <c r="E110" i="8"/>
  <c r="E110" i="13" s="1"/>
  <c r="E137" i="8"/>
  <c r="E143" i="8"/>
  <c r="E27" i="6"/>
  <c r="F27" i="6" s="1"/>
  <c r="G27" i="6" s="1"/>
  <c r="E19" i="6"/>
  <c r="F19" i="6" s="1"/>
  <c r="G19" i="6" s="1"/>
  <c r="E35" i="6"/>
  <c r="E38" i="6"/>
  <c r="E53" i="6"/>
  <c r="F53" i="6" s="1"/>
  <c r="G53" i="6" s="1"/>
  <c r="E76" i="6"/>
  <c r="F76" i="6" s="1"/>
  <c r="G76" i="6" s="1"/>
  <c r="E68" i="6"/>
  <c r="F68" i="6" s="1"/>
  <c r="G68" i="6" s="1"/>
  <c r="E83" i="6"/>
  <c r="F83" i="6" s="1"/>
  <c r="G83" i="6" s="1"/>
  <c r="E99" i="6"/>
  <c r="F99" i="6" s="1"/>
  <c r="G99" i="6" s="1"/>
  <c r="E120" i="6"/>
  <c r="F120" i="6" s="1"/>
  <c r="G120" i="6" s="1"/>
  <c r="E112" i="6"/>
  <c r="F112" i="6" s="1"/>
  <c r="G112" i="6" s="1"/>
  <c r="E122" i="6"/>
  <c r="F122" i="6" s="1"/>
  <c r="G122" i="6" s="1"/>
  <c r="E123" i="6"/>
  <c r="F123" i="6" s="1"/>
  <c r="G123" i="6" s="1"/>
  <c r="E145" i="6"/>
  <c r="F145" i="6" s="1"/>
  <c r="G145" i="6" s="1"/>
  <c r="E30" i="8"/>
  <c r="E26" i="8"/>
  <c r="E22" i="8"/>
  <c r="E18" i="8"/>
  <c r="E12" i="8"/>
  <c r="E44" i="8"/>
  <c r="E40" i="8"/>
  <c r="E36" i="8"/>
  <c r="E55" i="8"/>
  <c r="E51" i="8"/>
  <c r="E78" i="8"/>
  <c r="E74" i="8"/>
  <c r="E70" i="8"/>
  <c r="E66" i="8"/>
  <c r="E62" i="8"/>
  <c r="E88" i="8"/>
  <c r="E84" i="8"/>
  <c r="E97" i="8"/>
  <c r="E93" i="8"/>
  <c r="E105" i="8"/>
  <c r="E117" i="8"/>
  <c r="E113" i="8"/>
  <c r="E127" i="8"/>
  <c r="E123" i="8"/>
  <c r="E145" i="8"/>
  <c r="E150" i="8"/>
  <c r="E10" i="6"/>
  <c r="E26" i="6"/>
  <c r="F26" i="6" s="1"/>
  <c r="G26" i="6" s="1"/>
  <c r="E18" i="6"/>
  <c r="F18" i="6" s="1"/>
  <c r="G18" i="6" s="1"/>
  <c r="E45" i="6"/>
  <c r="E37" i="6"/>
  <c r="E52" i="6"/>
  <c r="F52" i="6" s="1"/>
  <c r="G52" i="6" s="1"/>
  <c r="E75" i="6"/>
  <c r="F75" i="6" s="1"/>
  <c r="G75" i="6" s="1"/>
  <c r="E67" i="6"/>
  <c r="F67" i="6" s="1"/>
  <c r="G67" i="6" s="1"/>
  <c r="E89" i="6"/>
  <c r="F89" i="6" s="1"/>
  <c r="G89" i="6" s="1"/>
  <c r="E97" i="6"/>
  <c r="F97" i="6" s="1"/>
  <c r="G97" i="6" s="1"/>
  <c r="E119" i="6"/>
  <c r="F119" i="6" s="1"/>
  <c r="G119" i="6" s="1"/>
  <c r="E111" i="6"/>
  <c r="F111" i="6" s="1"/>
  <c r="G111" i="6" s="1"/>
  <c r="E130" i="6"/>
  <c r="F130" i="6" s="1"/>
  <c r="G130" i="6" s="1"/>
  <c r="E134" i="6"/>
  <c r="F134" i="6" s="1"/>
  <c r="G134" i="6" s="1"/>
  <c r="E144" i="6"/>
  <c r="F144" i="6" s="1"/>
  <c r="G144" i="6" s="1"/>
  <c r="E107" i="6"/>
  <c r="F107" i="6" s="1"/>
  <c r="G107" i="6" s="1"/>
  <c r="E98" i="6"/>
  <c r="E112" i="8"/>
  <c r="E138" i="8"/>
  <c r="E33" i="6"/>
  <c r="F33" i="6" s="1"/>
  <c r="G33" i="6" s="1"/>
  <c r="E25" i="6"/>
  <c r="F25" i="6" s="1"/>
  <c r="G25" i="6" s="1"/>
  <c r="E17" i="6"/>
  <c r="E44" i="6"/>
  <c r="E36" i="6"/>
  <c r="E51" i="6"/>
  <c r="F51" i="6" s="1"/>
  <c r="G51" i="6" s="1"/>
  <c r="E74" i="6"/>
  <c r="F74" i="6" s="1"/>
  <c r="G74" i="6" s="1"/>
  <c r="E66" i="6"/>
  <c r="E88" i="6"/>
  <c r="F88" i="6" s="1"/>
  <c r="G88" i="6" s="1"/>
  <c r="E96" i="6"/>
  <c r="F96" i="6" s="1"/>
  <c r="G96" i="6" s="1"/>
  <c r="E118" i="6"/>
  <c r="F118" i="6" s="1"/>
  <c r="G118" i="6" s="1"/>
  <c r="E110" i="6"/>
  <c r="F110" i="6" s="1"/>
  <c r="G110" i="6" s="1"/>
  <c r="E129" i="6"/>
  <c r="F129" i="6" s="1"/>
  <c r="G129" i="6" s="1"/>
  <c r="E135" i="6"/>
  <c r="F135" i="6" s="1"/>
  <c r="G135" i="6" s="1"/>
  <c r="E147" i="6"/>
  <c r="F147" i="6" s="1"/>
  <c r="G147" i="6" s="1"/>
  <c r="E29" i="8"/>
  <c r="E25" i="8"/>
  <c r="E21" i="8"/>
  <c r="E16" i="8"/>
  <c r="E11" i="8"/>
  <c r="E43" i="8"/>
  <c r="E39" i="8"/>
  <c r="E54" i="8"/>
  <c r="E77" i="8"/>
  <c r="E73" i="8"/>
  <c r="E69" i="8"/>
  <c r="E65" i="8"/>
  <c r="E61" i="8"/>
  <c r="E87" i="8"/>
  <c r="E96" i="8"/>
  <c r="E92" i="8"/>
  <c r="E104" i="8"/>
  <c r="E120" i="8"/>
  <c r="E116" i="8"/>
  <c r="E126" i="8"/>
  <c r="E144" i="8"/>
  <c r="E149" i="8"/>
  <c r="E32" i="6"/>
  <c r="F32" i="6" s="1"/>
  <c r="G32" i="6" s="1"/>
  <c r="E24" i="6"/>
  <c r="F24" i="6" s="1"/>
  <c r="G24" i="6" s="1"/>
  <c r="E16" i="6"/>
  <c r="F16" i="6" s="1"/>
  <c r="G16" i="6" s="1"/>
  <c r="E43" i="6"/>
  <c r="E50" i="6"/>
  <c r="F50" i="6" s="1"/>
  <c r="G50" i="6" s="1"/>
  <c r="E60" i="6"/>
  <c r="F60" i="6" s="1"/>
  <c r="G60" i="6" s="1"/>
  <c r="E73" i="6"/>
  <c r="F73" i="6" s="1"/>
  <c r="G73" i="6" s="1"/>
  <c r="E65" i="6"/>
  <c r="F65" i="6" s="1"/>
  <c r="G65" i="6" s="1"/>
  <c r="E87" i="6"/>
  <c r="E95" i="6"/>
  <c r="F95" i="6" s="1"/>
  <c r="G95" i="6" s="1"/>
  <c r="E117" i="6"/>
  <c r="F117" i="6" s="1"/>
  <c r="G117" i="6" s="1"/>
  <c r="E108" i="6"/>
  <c r="F108" i="6" s="1"/>
  <c r="G108" i="6" s="1"/>
  <c r="E128" i="6"/>
  <c r="F128" i="6" s="1"/>
  <c r="G128" i="6" s="1"/>
  <c r="E137" i="6"/>
  <c r="F137" i="6" s="1"/>
  <c r="G137" i="6" s="1"/>
  <c r="E151" i="6"/>
  <c r="F151" i="6" s="1"/>
  <c r="G151" i="6" s="1"/>
  <c r="E10" i="8"/>
  <c r="E50" i="8"/>
  <c r="E60" i="8"/>
  <c r="E91" i="8"/>
  <c r="E122" i="8"/>
  <c r="E134" i="8"/>
  <c r="E139" i="8"/>
  <c r="E31" i="6"/>
  <c r="F31" i="6" s="1"/>
  <c r="G31" i="6" s="1"/>
  <c r="E23" i="6"/>
  <c r="F23" i="6" s="1"/>
  <c r="G23" i="6" s="1"/>
  <c r="E14" i="6"/>
  <c r="F14" i="6" s="1"/>
  <c r="G14" i="6" s="1"/>
  <c r="E42" i="6"/>
  <c r="E57" i="6"/>
  <c r="F57" i="6" s="1"/>
  <c r="G57" i="6" s="1"/>
  <c r="E80" i="6"/>
  <c r="F80" i="6" s="1"/>
  <c r="G80" i="6" s="1"/>
  <c r="E72" i="6"/>
  <c r="F72" i="6" s="1"/>
  <c r="G72" i="6" s="1"/>
  <c r="E64" i="6"/>
  <c r="F64" i="6" s="1"/>
  <c r="G64" i="6" s="1"/>
  <c r="E86" i="6"/>
  <c r="F86" i="6" s="1"/>
  <c r="G86" i="6" s="1"/>
  <c r="E94" i="6"/>
  <c r="F94" i="6" s="1"/>
  <c r="G94" i="6" s="1"/>
  <c r="E116" i="6"/>
  <c r="F116" i="6" s="1"/>
  <c r="G116" i="6" s="1"/>
  <c r="E106" i="6"/>
  <c r="F106" i="6" s="1"/>
  <c r="G106" i="6" s="1"/>
  <c r="E127" i="6"/>
  <c r="F127" i="6" s="1"/>
  <c r="G127" i="6" s="1"/>
  <c r="E139" i="6"/>
  <c r="F139" i="6" s="1"/>
  <c r="G139" i="6" s="1"/>
  <c r="E150" i="6"/>
  <c r="E32" i="8"/>
  <c r="E28" i="8"/>
  <c r="E24" i="8"/>
  <c r="E20" i="8"/>
  <c r="E14" i="8"/>
  <c r="E42" i="8"/>
  <c r="E38" i="8"/>
  <c r="E57" i="8"/>
  <c r="E53" i="8"/>
  <c r="E80" i="8"/>
  <c r="E76" i="8"/>
  <c r="E72" i="8"/>
  <c r="E68" i="8"/>
  <c r="E64" i="8"/>
  <c r="E86" i="8"/>
  <c r="E99" i="8"/>
  <c r="E95" i="8"/>
  <c r="E103" i="8"/>
  <c r="E119" i="8"/>
  <c r="E115" i="8"/>
  <c r="E129" i="8"/>
  <c r="E125" i="8"/>
  <c r="E148" i="8"/>
  <c r="E30" i="6"/>
  <c r="F30" i="6" s="1"/>
  <c r="G30" i="6" s="1"/>
  <c r="E22" i="6"/>
  <c r="F22" i="6" s="1"/>
  <c r="G22" i="6" s="1"/>
  <c r="E13" i="6"/>
  <c r="F13" i="6" s="1"/>
  <c r="G13" i="6" s="1"/>
  <c r="E41" i="6"/>
  <c r="E56" i="6"/>
  <c r="E79" i="6"/>
  <c r="F79" i="6" s="1"/>
  <c r="G79" i="6" s="1"/>
  <c r="E71" i="6"/>
  <c r="F71" i="6" s="1"/>
  <c r="G71" i="6" s="1"/>
  <c r="E63" i="6"/>
  <c r="F63" i="6" s="1"/>
  <c r="G63" i="6" s="1"/>
  <c r="E85" i="6"/>
  <c r="F85" i="6" s="1"/>
  <c r="G85" i="6" s="1"/>
  <c r="E93" i="6"/>
  <c r="F93" i="6" s="1"/>
  <c r="G93" i="6" s="1"/>
  <c r="E115" i="6"/>
  <c r="F115" i="6" s="1"/>
  <c r="G115" i="6" s="1"/>
  <c r="E105" i="6"/>
  <c r="F105" i="6" s="1"/>
  <c r="G105" i="6" s="1"/>
  <c r="E126" i="6"/>
  <c r="F126" i="6" s="1"/>
  <c r="G126" i="6" s="1"/>
  <c r="E138" i="6"/>
  <c r="F138" i="6" s="1"/>
  <c r="G138" i="6" s="1"/>
  <c r="E149" i="6"/>
  <c r="F149" i="6" s="1"/>
  <c r="G149" i="6" s="1"/>
  <c r="E35" i="8"/>
  <c r="E83" i="8"/>
  <c r="E102" i="8"/>
  <c r="E135" i="8"/>
  <c r="E141" i="8"/>
  <c r="E140" i="8" s="1"/>
  <c r="E147" i="8"/>
  <c r="E29" i="6"/>
  <c r="F29" i="6" s="1"/>
  <c r="G29" i="6" s="1"/>
  <c r="E21" i="6"/>
  <c r="F21" i="6" s="1"/>
  <c r="G21" i="6" s="1"/>
  <c r="E12" i="6"/>
  <c r="E40" i="6"/>
  <c r="E55" i="6"/>
  <c r="F55" i="6" s="1"/>
  <c r="G55" i="6" s="1"/>
  <c r="E78" i="6"/>
  <c r="F78" i="6" s="1"/>
  <c r="G78" i="6" s="1"/>
  <c r="E70" i="6"/>
  <c r="F70" i="6" s="1"/>
  <c r="G70" i="6" s="1"/>
  <c r="E62" i="6"/>
  <c r="F62" i="6" s="1"/>
  <c r="G62" i="6" s="1"/>
  <c r="E84" i="6"/>
  <c r="F84" i="6" s="1"/>
  <c r="G84" i="6" s="1"/>
  <c r="E92" i="6"/>
  <c r="F92" i="6" s="1"/>
  <c r="G92" i="6" s="1"/>
  <c r="E114" i="6"/>
  <c r="F114" i="6" s="1"/>
  <c r="G114" i="6" s="1"/>
  <c r="E104" i="6"/>
  <c r="F104" i="6" s="1"/>
  <c r="G104" i="6" s="1"/>
  <c r="E125" i="6"/>
  <c r="F125" i="6" s="1"/>
  <c r="G125" i="6" s="1"/>
  <c r="E141" i="6"/>
  <c r="E140" i="6" s="1"/>
  <c r="E148" i="6"/>
  <c r="E31" i="8"/>
  <c r="E27" i="8"/>
  <c r="E23" i="8"/>
  <c r="E19" i="8"/>
  <c r="E13" i="8"/>
  <c r="E45" i="8"/>
  <c r="E41" i="8"/>
  <c r="E37" i="8"/>
  <c r="E56" i="8"/>
  <c r="E52" i="8"/>
  <c r="E79" i="8"/>
  <c r="E75" i="8"/>
  <c r="E71" i="8"/>
  <c r="E67" i="8"/>
  <c r="E63" i="8"/>
  <c r="E89" i="8"/>
  <c r="E85" i="8"/>
  <c r="E98" i="8"/>
  <c r="E94" i="8"/>
  <c r="E106" i="8"/>
  <c r="E118" i="8"/>
  <c r="E114" i="8"/>
  <c r="E128" i="8"/>
  <c r="E124" i="8"/>
  <c r="AA47" i="13"/>
  <c r="AB47" i="13"/>
  <c r="I50" i="13"/>
  <c r="I71" i="13"/>
  <c r="I83" i="13"/>
  <c r="I58" i="13"/>
  <c r="I69" i="13"/>
  <c r="I95" i="13"/>
  <c r="I64" i="13"/>
  <c r="I57" i="13"/>
  <c r="I13" i="13"/>
  <c r="I53" i="13"/>
  <c r="D58" i="13"/>
  <c r="D142" i="6"/>
  <c r="I94" i="13"/>
  <c r="I68" i="13"/>
  <c r="I55" i="13"/>
  <c r="D47" i="13"/>
  <c r="I42" i="13"/>
  <c r="I80" i="13"/>
  <c r="I93" i="13"/>
  <c r="I74" i="13"/>
  <c r="I81" i="13"/>
  <c r="I46" i="13"/>
  <c r="I67" i="13"/>
  <c r="I76" i="13"/>
  <c r="I78" i="13"/>
  <c r="I88" i="13"/>
  <c r="I99" i="13"/>
  <c r="I36" i="13"/>
  <c r="I52" i="13"/>
  <c r="I56" i="13"/>
  <c r="I62" i="13"/>
  <c r="I65" i="13"/>
  <c r="I72" i="13"/>
  <c r="I84" i="13"/>
  <c r="I91" i="13"/>
  <c r="I96" i="13"/>
  <c r="I96" i="17" s="1"/>
  <c r="I12" i="13"/>
  <c r="I24" i="13"/>
  <c r="I43" i="13"/>
  <c r="I60" i="13"/>
  <c r="I70" i="13"/>
  <c r="I63" i="13"/>
  <c r="I66" i="13"/>
  <c r="I73" i="13"/>
  <c r="I77" i="13"/>
  <c r="I79" i="13"/>
  <c r="I89" i="13"/>
  <c r="I92" i="13"/>
  <c r="I97" i="13"/>
  <c r="I32" i="13"/>
  <c r="I45" i="13"/>
  <c r="I61" i="13"/>
  <c r="I86" i="13"/>
  <c r="E46" i="13"/>
  <c r="D90" i="6"/>
  <c r="L149" i="23"/>
  <c r="E3" i="23"/>
  <c r="D146" i="6"/>
  <c r="D136" i="6"/>
  <c r="D133" i="6"/>
  <c r="D121" i="6"/>
  <c r="D101" i="6"/>
  <c r="D82" i="6"/>
  <c r="D59" i="6"/>
  <c r="D49" i="6"/>
  <c r="D34" i="6"/>
  <c r="D9" i="6"/>
  <c r="E47" i="13"/>
  <c r="I44" i="13"/>
  <c r="I28" i="13"/>
  <c r="I20" i="13"/>
  <c r="I10" i="13"/>
  <c r="I40" i="13"/>
  <c r="I17" i="13"/>
  <c r="I21" i="13"/>
  <c r="I25" i="13"/>
  <c r="I29" i="13"/>
  <c r="I33" i="13"/>
  <c r="I37" i="13"/>
  <c r="I41" i="13"/>
  <c r="J1" i="13"/>
  <c r="I16" i="13"/>
  <c r="I19" i="13"/>
  <c r="I23" i="13"/>
  <c r="I27" i="13"/>
  <c r="I31" i="13"/>
  <c r="I35" i="13"/>
  <c r="I39" i="13"/>
  <c r="I11" i="13"/>
  <c r="I14" i="13"/>
  <c r="I18" i="13"/>
  <c r="I22" i="13"/>
  <c r="I26" i="13"/>
  <c r="I30" i="13"/>
  <c r="I38" i="13"/>
  <c r="J150" i="23" l="1"/>
  <c r="J3" i="23" s="1"/>
  <c r="L150" i="23"/>
  <c r="L3" i="23" s="1"/>
  <c r="L4" i="23"/>
  <c r="L252" i="23"/>
  <c r="L253" i="23" s="1"/>
  <c r="D176" i="6"/>
  <c r="D179" i="6" s="1"/>
  <c r="M150" i="23"/>
  <c r="M3" i="23" s="1"/>
  <c r="N150" i="23"/>
  <c r="N3" i="23" s="1"/>
  <c r="M165" i="13"/>
  <c r="E107" i="17"/>
  <c r="F107" i="17" s="1"/>
  <c r="G107" i="17" s="1"/>
  <c r="J252" i="23"/>
  <c r="J253" i="23" s="1"/>
  <c r="P159" i="13"/>
  <c r="R159" i="13" s="1"/>
  <c r="J135" i="13"/>
  <c r="J137" i="13"/>
  <c r="J102" i="13"/>
  <c r="J103" i="13"/>
  <c r="J104" i="13"/>
  <c r="J105" i="13"/>
  <c r="J106" i="13"/>
  <c r="J110" i="13"/>
  <c r="J112" i="13"/>
  <c r="J113" i="13"/>
  <c r="J114" i="13"/>
  <c r="J115" i="13"/>
  <c r="J116" i="13"/>
  <c r="J117" i="13"/>
  <c r="J118" i="13"/>
  <c r="J119" i="13"/>
  <c r="J120" i="13"/>
  <c r="J122" i="13"/>
  <c r="J123" i="13"/>
  <c r="J124" i="13"/>
  <c r="J125" i="13"/>
  <c r="J126" i="13"/>
  <c r="J127" i="13"/>
  <c r="J128" i="13"/>
  <c r="J129" i="13"/>
  <c r="J134" i="13"/>
  <c r="J151" i="13"/>
  <c r="J152" i="13"/>
  <c r="J138" i="13"/>
  <c r="J141" i="13"/>
  <c r="J144" i="13"/>
  <c r="J147" i="13"/>
  <c r="J149" i="13"/>
  <c r="J139" i="13"/>
  <c r="J148" i="13"/>
  <c r="J143" i="13"/>
  <c r="J145" i="13"/>
  <c r="F107" i="13"/>
  <c r="G107" i="13" s="1"/>
  <c r="L165" i="13"/>
  <c r="D181" i="6"/>
  <c r="F150" i="6"/>
  <c r="G150" i="6" s="1"/>
  <c r="E155" i="6"/>
  <c r="E133" i="6"/>
  <c r="E142" i="6"/>
  <c r="E34" i="6"/>
  <c r="F34" i="6" s="1"/>
  <c r="G34" i="6" s="1"/>
  <c r="E82" i="6"/>
  <c r="E101" i="6"/>
  <c r="E136" i="6"/>
  <c r="E146" i="6"/>
  <c r="E49" i="6"/>
  <c r="F148" i="6"/>
  <c r="G148" i="6" s="1"/>
  <c r="F141" i="6"/>
  <c r="G141" i="6" s="1"/>
  <c r="E121" i="6"/>
  <c r="F87" i="6"/>
  <c r="G87" i="6" s="1"/>
  <c r="E9" i="6"/>
  <c r="F98" i="6"/>
  <c r="G98" i="6" s="1"/>
  <c r="E98" i="17"/>
  <c r="F98" i="17" s="1"/>
  <c r="G98" i="17" s="1"/>
  <c r="E90" i="6"/>
  <c r="E59" i="6"/>
  <c r="F109" i="6"/>
  <c r="G109" i="6" s="1"/>
  <c r="E109" i="17"/>
  <c r="F109" i="17" s="1"/>
  <c r="G109" i="17" s="1"/>
  <c r="D48" i="6"/>
  <c r="E4" i="23"/>
  <c r="D4" i="23"/>
  <c r="D152" i="6"/>
  <c r="D131" i="6"/>
  <c r="D8" i="6"/>
  <c r="J13" i="13"/>
  <c r="J20" i="13"/>
  <c r="J24" i="13"/>
  <c r="J28" i="13"/>
  <c r="J32" i="13"/>
  <c r="K1" i="13"/>
  <c r="J16" i="13"/>
  <c r="J19" i="13"/>
  <c r="J23" i="13"/>
  <c r="J27" i="13"/>
  <c r="J31" i="13"/>
  <c r="J35" i="13"/>
  <c r="J39" i="13"/>
  <c r="J11" i="13"/>
  <c r="J14" i="13"/>
  <c r="J17" i="13"/>
  <c r="J18" i="13"/>
  <c r="J25" i="13"/>
  <c r="J26" i="13"/>
  <c r="J33" i="13"/>
  <c r="J51" i="13"/>
  <c r="J62" i="13"/>
  <c r="J38" i="13"/>
  <c r="J42" i="13"/>
  <c r="J36" i="13"/>
  <c r="J61" i="13"/>
  <c r="J67" i="13"/>
  <c r="J71" i="13"/>
  <c r="J29" i="13"/>
  <c r="J40" i="13"/>
  <c r="J41" i="13"/>
  <c r="J10" i="13"/>
  <c r="J22" i="13"/>
  <c r="J46" i="13"/>
  <c r="J63" i="13"/>
  <c r="J66" i="13"/>
  <c r="J70" i="13"/>
  <c r="J74" i="13"/>
  <c r="J78" i="13"/>
  <c r="J37" i="13"/>
  <c r="J45" i="13"/>
  <c r="J50" i="13"/>
  <c r="J57" i="13"/>
  <c r="J58" i="13"/>
  <c r="J64" i="13"/>
  <c r="J44" i="13"/>
  <c r="J69" i="13"/>
  <c r="J73" i="13"/>
  <c r="J55" i="13"/>
  <c r="J65" i="13"/>
  <c r="J68" i="13"/>
  <c r="J72" i="13"/>
  <c r="J12" i="13"/>
  <c r="J52" i="13"/>
  <c r="J21" i="13"/>
  <c r="J77" i="13"/>
  <c r="J81" i="13"/>
  <c r="J84" i="13"/>
  <c r="J93" i="13"/>
  <c r="J97" i="13"/>
  <c r="J43" i="13"/>
  <c r="J83" i="13"/>
  <c r="J89" i="13"/>
  <c r="J92" i="13"/>
  <c r="J96" i="13"/>
  <c r="J96" i="17" s="1"/>
  <c r="J56" i="13"/>
  <c r="J80" i="13"/>
  <c r="J79" i="13"/>
  <c r="J88" i="13"/>
  <c r="J95" i="13"/>
  <c r="J86" i="13"/>
  <c r="J91" i="13"/>
  <c r="J94" i="13"/>
  <c r="J99" i="13"/>
  <c r="J30" i="13"/>
  <c r="J53" i="13"/>
  <c r="J76" i="13"/>
  <c r="J60" i="13"/>
  <c r="D183" i="6" l="1"/>
  <c r="AB107" i="13"/>
  <c r="AA107" i="13"/>
  <c r="K138" i="13"/>
  <c r="K139" i="13"/>
  <c r="K141" i="13"/>
  <c r="K143" i="13"/>
  <c r="K144" i="13"/>
  <c r="K145" i="13"/>
  <c r="K147" i="13"/>
  <c r="K148" i="13"/>
  <c r="K149" i="13"/>
  <c r="K135" i="13"/>
  <c r="K137" i="13"/>
  <c r="K102" i="13"/>
  <c r="K103" i="13"/>
  <c r="K104" i="13"/>
  <c r="K105" i="13"/>
  <c r="K106" i="13"/>
  <c r="K110" i="13"/>
  <c r="K112" i="13"/>
  <c r="K113" i="13"/>
  <c r="K114" i="13"/>
  <c r="K115" i="13"/>
  <c r="K116" i="13"/>
  <c r="K117" i="13"/>
  <c r="K118" i="13"/>
  <c r="K119" i="13"/>
  <c r="K120" i="13"/>
  <c r="K122" i="13"/>
  <c r="K123" i="13"/>
  <c r="K124" i="13"/>
  <c r="K125" i="13"/>
  <c r="K126" i="13"/>
  <c r="K127" i="13"/>
  <c r="K128" i="13"/>
  <c r="K129" i="13"/>
  <c r="K134" i="13"/>
  <c r="K151" i="13"/>
  <c r="K152" i="13"/>
  <c r="K150" i="13"/>
  <c r="E152" i="6"/>
  <c r="E8" i="6"/>
  <c r="E131" i="6"/>
  <c r="E48" i="6"/>
  <c r="D100" i="6"/>
  <c r="D3" i="23"/>
  <c r="D153" i="6"/>
  <c r="K18" i="13"/>
  <c r="K22" i="13"/>
  <c r="K26" i="13"/>
  <c r="K30" i="13"/>
  <c r="K38" i="13"/>
  <c r="K42" i="13"/>
  <c r="K10" i="13"/>
  <c r="K12" i="13"/>
  <c r="K20" i="13"/>
  <c r="K24" i="13"/>
  <c r="K28" i="13"/>
  <c r="K32" i="13"/>
  <c r="K36" i="13"/>
  <c r="K40" i="13"/>
  <c r="L1" i="13"/>
  <c r="K16" i="13"/>
  <c r="K19" i="13"/>
  <c r="K23" i="13"/>
  <c r="K27" i="13"/>
  <c r="K31" i="13"/>
  <c r="K35" i="13"/>
  <c r="K39" i="13"/>
  <c r="K13" i="13"/>
  <c r="K14" i="13"/>
  <c r="K46" i="13"/>
  <c r="K56" i="13"/>
  <c r="K17" i="13"/>
  <c r="K25" i="13"/>
  <c r="K33" i="13"/>
  <c r="K51" i="13"/>
  <c r="K45" i="13"/>
  <c r="K50" i="13"/>
  <c r="K55" i="13"/>
  <c r="K58" i="13"/>
  <c r="K61" i="13"/>
  <c r="K11" i="13"/>
  <c r="K43" i="13"/>
  <c r="K53" i="13"/>
  <c r="K60" i="13"/>
  <c r="K29" i="13"/>
  <c r="K41" i="13"/>
  <c r="K52" i="13"/>
  <c r="K62" i="13"/>
  <c r="K63" i="13"/>
  <c r="K66" i="13"/>
  <c r="K70" i="13"/>
  <c r="K37" i="13"/>
  <c r="K57" i="13"/>
  <c r="K64" i="13"/>
  <c r="K21" i="13"/>
  <c r="K71" i="13"/>
  <c r="K76" i="13"/>
  <c r="K79" i="13"/>
  <c r="K67" i="13"/>
  <c r="K72" i="13"/>
  <c r="K77" i="13"/>
  <c r="K81" i="13"/>
  <c r="K84" i="13"/>
  <c r="K93" i="13"/>
  <c r="K97" i="13"/>
  <c r="K68" i="13"/>
  <c r="K78" i="13"/>
  <c r="K73" i="13"/>
  <c r="K83" i="13"/>
  <c r="K89" i="13"/>
  <c r="K92" i="13"/>
  <c r="K96" i="13"/>
  <c r="K96" i="17" s="1"/>
  <c r="K88" i="13"/>
  <c r="K91" i="13"/>
  <c r="K95" i="13"/>
  <c r="K65" i="13"/>
  <c r="K75" i="13"/>
  <c r="K94" i="13"/>
  <c r="K44" i="13"/>
  <c r="K69" i="13"/>
  <c r="K74" i="13"/>
  <c r="K80" i="13"/>
  <c r="K99" i="13"/>
  <c r="K86" i="13"/>
  <c r="L138" i="13" l="1"/>
  <c r="L139" i="13"/>
  <c r="L141" i="13"/>
  <c r="L143" i="13"/>
  <c r="L144" i="13"/>
  <c r="L145" i="13"/>
  <c r="L147" i="13"/>
  <c r="L148" i="13"/>
  <c r="L149" i="13"/>
  <c r="L135" i="13"/>
  <c r="L137" i="13"/>
  <c r="L102" i="13"/>
  <c r="L103" i="13"/>
  <c r="L104" i="13"/>
  <c r="L105" i="13"/>
  <c r="L106" i="13"/>
  <c r="L110" i="13"/>
  <c r="L112" i="13"/>
  <c r="L113" i="13"/>
  <c r="L114" i="13"/>
  <c r="L115" i="13"/>
  <c r="L116" i="13"/>
  <c r="L117" i="13"/>
  <c r="L118" i="13"/>
  <c r="L119" i="13"/>
  <c r="L120" i="13"/>
  <c r="L122" i="13"/>
  <c r="L123" i="13"/>
  <c r="L124" i="13"/>
  <c r="L125" i="13"/>
  <c r="L126" i="13"/>
  <c r="L127" i="13"/>
  <c r="L128" i="13"/>
  <c r="L129" i="13"/>
  <c r="L134" i="13"/>
  <c r="L151" i="13"/>
  <c r="L150" i="13"/>
  <c r="L152" i="13"/>
  <c r="L34" i="13"/>
  <c r="L35" i="13"/>
  <c r="K155" i="13"/>
  <c r="E153" i="6"/>
  <c r="E100" i="6"/>
  <c r="D154" i="6"/>
  <c r="L11" i="13"/>
  <c r="L14" i="13"/>
  <c r="L17" i="13"/>
  <c r="L21" i="13"/>
  <c r="L25" i="13"/>
  <c r="L29" i="13"/>
  <c r="L33" i="13"/>
  <c r="L10" i="13"/>
  <c r="L12" i="13"/>
  <c r="L20" i="13"/>
  <c r="L24" i="13"/>
  <c r="L28" i="13"/>
  <c r="L32" i="13"/>
  <c r="L36" i="13"/>
  <c r="L40" i="13"/>
  <c r="M1" i="13"/>
  <c r="L16" i="13"/>
  <c r="L13" i="13"/>
  <c r="L37" i="13"/>
  <c r="L43" i="13"/>
  <c r="L52" i="13"/>
  <c r="L63" i="13"/>
  <c r="L18" i="13"/>
  <c r="L26" i="13"/>
  <c r="L46" i="13"/>
  <c r="L56" i="13"/>
  <c r="L30" i="13"/>
  <c r="L65" i="13"/>
  <c r="L68" i="13"/>
  <c r="L72" i="13"/>
  <c r="L76" i="13"/>
  <c r="L23" i="13"/>
  <c r="L42" i="13"/>
  <c r="L38" i="13"/>
  <c r="L39" i="13"/>
  <c r="L67" i="13"/>
  <c r="L71" i="13"/>
  <c r="L75" i="13"/>
  <c r="L19" i="13"/>
  <c r="L22" i="13"/>
  <c r="L41" i="13"/>
  <c r="L51" i="13"/>
  <c r="L62" i="13"/>
  <c r="L45" i="13"/>
  <c r="L50" i="13"/>
  <c r="L58" i="13"/>
  <c r="L66" i="13"/>
  <c r="L70" i="13"/>
  <c r="L74" i="13"/>
  <c r="L44" i="13"/>
  <c r="L69" i="13"/>
  <c r="L73" i="13"/>
  <c r="L53" i="13"/>
  <c r="L60" i="13"/>
  <c r="L86" i="13"/>
  <c r="L94" i="13"/>
  <c r="L99" i="13"/>
  <c r="L31" i="13"/>
  <c r="L79" i="13"/>
  <c r="L77" i="13"/>
  <c r="L81" i="13"/>
  <c r="L84" i="13"/>
  <c r="L93" i="13"/>
  <c r="L97" i="13"/>
  <c r="L78" i="13"/>
  <c r="L57" i="13"/>
  <c r="L64" i="13"/>
  <c r="L89" i="13"/>
  <c r="L27" i="13"/>
  <c r="L96" i="13"/>
  <c r="L96" i="17" s="1"/>
  <c r="L91" i="13"/>
  <c r="L55" i="13"/>
  <c r="L88" i="13"/>
  <c r="L92" i="13"/>
  <c r="L61" i="13"/>
  <c r="L95" i="13"/>
  <c r="L80" i="13"/>
  <c r="L83" i="13"/>
  <c r="M150" i="13" l="1"/>
  <c r="M151" i="13"/>
  <c r="M152" i="13"/>
  <c r="M138" i="13"/>
  <c r="M139" i="13"/>
  <c r="M141" i="13"/>
  <c r="M143" i="13"/>
  <c r="M144" i="13"/>
  <c r="M145" i="13"/>
  <c r="M147" i="13"/>
  <c r="M148" i="13"/>
  <c r="M149" i="13"/>
  <c r="M135" i="13"/>
  <c r="M137" i="13"/>
  <c r="M102" i="13"/>
  <c r="M103" i="13"/>
  <c r="M104" i="13"/>
  <c r="M105" i="13"/>
  <c r="M106" i="13"/>
  <c r="M110" i="13"/>
  <c r="M112" i="13"/>
  <c r="M113" i="13"/>
  <c r="M114" i="13"/>
  <c r="D167" i="13" s="1"/>
  <c r="M115" i="13"/>
  <c r="D165" i="13" s="1"/>
  <c r="M116" i="13"/>
  <c r="M117" i="13"/>
  <c r="M118" i="13"/>
  <c r="M119" i="13"/>
  <c r="M120" i="13"/>
  <c r="M122" i="13"/>
  <c r="M123" i="13"/>
  <c r="M124" i="13"/>
  <c r="M125" i="13"/>
  <c r="M126" i="13"/>
  <c r="M127" i="13"/>
  <c r="M128" i="13"/>
  <c r="M129" i="13"/>
  <c r="M134" i="13"/>
  <c r="L155" i="13"/>
  <c r="E154" i="6"/>
  <c r="M19" i="13"/>
  <c r="M23" i="13"/>
  <c r="M27" i="13"/>
  <c r="M31" i="13"/>
  <c r="M35" i="13"/>
  <c r="M39" i="13"/>
  <c r="M13" i="13"/>
  <c r="M17" i="13"/>
  <c r="M21" i="13"/>
  <c r="M25" i="13"/>
  <c r="M29" i="13"/>
  <c r="M33" i="13"/>
  <c r="M37" i="13"/>
  <c r="M41" i="13"/>
  <c r="M10" i="13"/>
  <c r="M12" i="13"/>
  <c r="M20" i="13"/>
  <c r="M24" i="13"/>
  <c r="D164" i="13" s="1"/>
  <c r="M28" i="13"/>
  <c r="M32" i="13"/>
  <c r="M36" i="13"/>
  <c r="M40" i="13"/>
  <c r="N1" i="13"/>
  <c r="M14" i="13"/>
  <c r="M16" i="13"/>
  <c r="M57" i="13"/>
  <c r="M43" i="13"/>
  <c r="M52" i="13"/>
  <c r="M38" i="13"/>
  <c r="M42" i="13"/>
  <c r="M51" i="13"/>
  <c r="M62" i="13"/>
  <c r="M26" i="13"/>
  <c r="M55" i="13"/>
  <c r="M11" i="13"/>
  <c r="M30" i="13"/>
  <c r="M53" i="13"/>
  <c r="M60" i="13"/>
  <c r="M61" i="13"/>
  <c r="M46" i="13"/>
  <c r="M67" i="13"/>
  <c r="M71" i="13"/>
  <c r="M22" i="13"/>
  <c r="M63" i="13"/>
  <c r="M18" i="13"/>
  <c r="M56" i="13"/>
  <c r="M64" i="13"/>
  <c r="M44" i="13"/>
  <c r="M50" i="13"/>
  <c r="M74" i="13"/>
  <c r="M80" i="13"/>
  <c r="M76" i="13"/>
  <c r="M86" i="13"/>
  <c r="M94" i="13"/>
  <c r="M99" i="13"/>
  <c r="M72" i="13"/>
  <c r="M79" i="13"/>
  <c r="M45" i="13"/>
  <c r="M68" i="13"/>
  <c r="M77" i="13"/>
  <c r="M81" i="13"/>
  <c r="M84" i="13"/>
  <c r="M93" i="13"/>
  <c r="M97" i="13"/>
  <c r="M58" i="13"/>
  <c r="M69" i="13"/>
  <c r="M83" i="13"/>
  <c r="M89" i="13"/>
  <c r="M92" i="13"/>
  <c r="M96" i="13"/>
  <c r="M96" i="17" s="1"/>
  <c r="M95" i="13"/>
  <c r="M73" i="13"/>
  <c r="M75" i="13"/>
  <c r="M88" i="13"/>
  <c r="M70" i="13"/>
  <c r="M66" i="13"/>
  <c r="M65" i="13"/>
  <c r="M78" i="13"/>
  <c r="M91" i="13"/>
  <c r="N150" i="13" l="1"/>
  <c r="N151" i="13"/>
  <c r="N152" i="13"/>
  <c r="N138" i="13"/>
  <c r="N139" i="13"/>
  <c r="N141" i="13"/>
  <c r="N143" i="13"/>
  <c r="N144" i="13"/>
  <c r="N145" i="13"/>
  <c r="N147" i="13"/>
  <c r="N148" i="13"/>
  <c r="N149" i="13"/>
  <c r="N135" i="13"/>
  <c r="N137" i="13"/>
  <c r="N102" i="13"/>
  <c r="N103" i="13"/>
  <c r="N105" i="13"/>
  <c r="N106" i="13"/>
  <c r="N110" i="13"/>
  <c r="N112" i="13"/>
  <c r="N113" i="13"/>
  <c r="N114" i="13"/>
  <c r="N115" i="13"/>
  <c r="N116" i="13"/>
  <c r="N117" i="13"/>
  <c r="N118" i="13"/>
  <c r="N119" i="13"/>
  <c r="N120" i="13"/>
  <c r="N122" i="13"/>
  <c r="N123" i="13"/>
  <c r="N124" i="13"/>
  <c r="N125" i="13"/>
  <c r="N126" i="13"/>
  <c r="N127" i="13"/>
  <c r="N128" i="13"/>
  <c r="N129" i="13"/>
  <c r="N134" i="13"/>
  <c r="N34" i="13"/>
  <c r="M155" i="13"/>
  <c r="O1" i="13"/>
  <c r="N16" i="13"/>
  <c r="N18" i="13"/>
  <c r="N22" i="13"/>
  <c r="N26" i="13"/>
  <c r="N30" i="13"/>
  <c r="N13" i="13"/>
  <c r="N17" i="13"/>
  <c r="N21" i="13"/>
  <c r="N25" i="13"/>
  <c r="N29" i="13"/>
  <c r="N33" i="13"/>
  <c r="N37" i="13"/>
  <c r="N41" i="13"/>
  <c r="N10" i="13"/>
  <c r="N12" i="13"/>
  <c r="N23" i="13"/>
  <c r="N24" i="13"/>
  <c r="N32" i="13"/>
  <c r="N35" i="13"/>
  <c r="N44" i="13"/>
  <c r="N53" i="13"/>
  <c r="N60" i="13"/>
  <c r="N64" i="13"/>
  <c r="N14" i="13"/>
  <c r="N19" i="13"/>
  <c r="N27" i="13"/>
  <c r="N40" i="13"/>
  <c r="N46" i="13"/>
  <c r="N56" i="13"/>
  <c r="N31" i="13"/>
  <c r="N69" i="13"/>
  <c r="N73" i="13"/>
  <c r="N77" i="13"/>
  <c r="N20" i="13"/>
  <c r="N43" i="13"/>
  <c r="N11" i="13"/>
  <c r="N42" i="13"/>
  <c r="N65" i="13"/>
  <c r="N68" i="13"/>
  <c r="N72" i="13"/>
  <c r="N76" i="13"/>
  <c r="N38" i="13"/>
  <c r="N39" i="13"/>
  <c r="N52" i="13"/>
  <c r="N61" i="13"/>
  <c r="N28" i="13"/>
  <c r="N36" i="13"/>
  <c r="N51" i="13"/>
  <c r="N62" i="13"/>
  <c r="N67" i="13"/>
  <c r="N71" i="13"/>
  <c r="N45" i="13"/>
  <c r="N50" i="13"/>
  <c r="N57" i="13"/>
  <c r="N58" i="13"/>
  <c r="N66" i="13"/>
  <c r="N70" i="13"/>
  <c r="N75" i="13"/>
  <c r="N88" i="13"/>
  <c r="N91" i="13"/>
  <c r="N95" i="13"/>
  <c r="N74" i="13"/>
  <c r="N80" i="13"/>
  <c r="N86" i="13"/>
  <c r="N94" i="13"/>
  <c r="N99" i="13"/>
  <c r="N79" i="13"/>
  <c r="N78" i="13"/>
  <c r="N55" i="13"/>
  <c r="N63" i="13"/>
  <c r="N84" i="13"/>
  <c r="N92" i="13"/>
  <c r="N89" i="13"/>
  <c r="N93" i="13"/>
  <c r="N81" i="13"/>
  <c r="N97" i="13"/>
  <c r="N96" i="13"/>
  <c r="N96" i="17" s="1"/>
  <c r="N83" i="13"/>
  <c r="O150" i="13" l="1"/>
  <c r="O151" i="13"/>
  <c r="O152" i="13"/>
  <c r="O102" i="13"/>
  <c r="O104" i="13"/>
  <c r="O105" i="13"/>
  <c r="O110" i="13"/>
  <c r="O103" i="13"/>
  <c r="O138" i="13"/>
  <c r="O139" i="13"/>
  <c r="O141" i="13"/>
  <c r="O143" i="13"/>
  <c r="O144" i="13"/>
  <c r="O145" i="13"/>
  <c r="O147" i="13"/>
  <c r="O148" i="13"/>
  <c r="O149" i="13"/>
  <c r="O135" i="13"/>
  <c r="O137" i="13"/>
  <c r="O106" i="13"/>
  <c r="O113" i="13"/>
  <c r="O115" i="13"/>
  <c r="O117" i="13"/>
  <c r="O119" i="13"/>
  <c r="O122" i="13"/>
  <c r="O124" i="13"/>
  <c r="O126" i="13"/>
  <c r="O128" i="13"/>
  <c r="O134" i="13"/>
  <c r="O112" i="13"/>
  <c r="O114" i="13"/>
  <c r="O116" i="13"/>
  <c r="O118" i="13"/>
  <c r="O120" i="13"/>
  <c r="O123" i="13"/>
  <c r="O125" i="13"/>
  <c r="O127" i="13"/>
  <c r="O129" i="13"/>
  <c r="O20" i="13"/>
  <c r="O24" i="13"/>
  <c r="O28" i="13"/>
  <c r="O32" i="13"/>
  <c r="O36" i="13"/>
  <c r="O40" i="13"/>
  <c r="O11" i="13"/>
  <c r="O14" i="13"/>
  <c r="O18" i="13"/>
  <c r="O22" i="13"/>
  <c r="O26" i="13"/>
  <c r="O30" i="13"/>
  <c r="O38" i="13"/>
  <c r="O13" i="13"/>
  <c r="O17" i="13"/>
  <c r="O21" i="13"/>
  <c r="O25" i="13"/>
  <c r="O29" i="13"/>
  <c r="O33" i="13"/>
  <c r="O37" i="13"/>
  <c r="O41" i="13"/>
  <c r="O12" i="13"/>
  <c r="O23" i="13"/>
  <c r="O31" i="13"/>
  <c r="O39" i="13"/>
  <c r="P1" i="13"/>
  <c r="O16" i="13"/>
  <c r="O35" i="13"/>
  <c r="O44" i="13"/>
  <c r="O53" i="13"/>
  <c r="O43" i="13"/>
  <c r="O52" i="13"/>
  <c r="O63" i="13"/>
  <c r="O55" i="13"/>
  <c r="O10" i="13"/>
  <c r="O42" i="13"/>
  <c r="O60" i="13"/>
  <c r="O65" i="13"/>
  <c r="O68" i="13"/>
  <c r="O72" i="13"/>
  <c r="O19" i="13"/>
  <c r="O46" i="13"/>
  <c r="O61" i="13"/>
  <c r="O27" i="13"/>
  <c r="O51" i="13"/>
  <c r="O66" i="13"/>
  <c r="O50" i="13"/>
  <c r="O71" i="13"/>
  <c r="O75" i="13"/>
  <c r="O88" i="13"/>
  <c r="O91" i="13"/>
  <c r="O95" i="13"/>
  <c r="O67" i="13"/>
  <c r="O74" i="13"/>
  <c r="O76" i="13"/>
  <c r="O80" i="13"/>
  <c r="O86" i="13"/>
  <c r="O94" i="13"/>
  <c r="O99" i="13"/>
  <c r="O73" i="13"/>
  <c r="O81" i="13"/>
  <c r="O84" i="13"/>
  <c r="O93" i="13"/>
  <c r="O97" i="13"/>
  <c r="O57" i="13"/>
  <c r="O69" i="13"/>
  <c r="O83" i="13"/>
  <c r="O79" i="13"/>
  <c r="O92" i="13"/>
  <c r="O56" i="13"/>
  <c r="O62" i="13"/>
  <c r="O64" i="13"/>
  <c r="O58" i="13"/>
  <c r="O89" i="13"/>
  <c r="O45" i="13"/>
  <c r="O78" i="13"/>
  <c r="O77" i="13"/>
  <c r="O70" i="13"/>
  <c r="O96" i="13"/>
  <c r="O96" i="17" s="1"/>
  <c r="O155" i="13" l="1"/>
  <c r="P150" i="13"/>
  <c r="P151" i="13"/>
  <c r="P152" i="13"/>
  <c r="P138" i="13"/>
  <c r="P139" i="13"/>
  <c r="P141" i="13"/>
  <c r="P143" i="13"/>
  <c r="P144" i="13"/>
  <c r="P145" i="13"/>
  <c r="P147" i="13"/>
  <c r="P148" i="13"/>
  <c r="P149" i="13"/>
  <c r="P102" i="13"/>
  <c r="P106" i="13"/>
  <c r="P137" i="13"/>
  <c r="P113" i="13"/>
  <c r="P115" i="13"/>
  <c r="P117" i="13"/>
  <c r="P119" i="13"/>
  <c r="P122" i="13"/>
  <c r="P124" i="13"/>
  <c r="P126" i="13"/>
  <c r="P128" i="13"/>
  <c r="P134" i="13"/>
  <c r="P103" i="13"/>
  <c r="P110" i="13"/>
  <c r="P104" i="13"/>
  <c r="P135" i="13"/>
  <c r="P112" i="13"/>
  <c r="P114" i="13"/>
  <c r="P116" i="13"/>
  <c r="P118" i="13"/>
  <c r="P120" i="13"/>
  <c r="P123" i="13"/>
  <c r="P125" i="13"/>
  <c r="P127" i="13"/>
  <c r="P129" i="13"/>
  <c r="P105" i="13"/>
  <c r="P10" i="13"/>
  <c r="P12" i="13"/>
  <c r="P19" i="13"/>
  <c r="P23" i="13"/>
  <c r="P27" i="13"/>
  <c r="P31" i="13"/>
  <c r="P11" i="13"/>
  <c r="P14" i="13"/>
  <c r="P18" i="13"/>
  <c r="P22" i="13"/>
  <c r="P26" i="13"/>
  <c r="P30" i="13"/>
  <c r="P38" i="13"/>
  <c r="P13" i="13"/>
  <c r="P41" i="13"/>
  <c r="P45" i="13"/>
  <c r="P50" i="13"/>
  <c r="P55" i="13"/>
  <c r="P58" i="13"/>
  <c r="P61" i="13"/>
  <c r="P65" i="13"/>
  <c r="P24" i="13"/>
  <c r="P32" i="13"/>
  <c r="P37" i="13"/>
  <c r="P39" i="13"/>
  <c r="Q1" i="13"/>
  <c r="P57" i="13"/>
  <c r="P44" i="13"/>
  <c r="P56" i="13"/>
  <c r="P64" i="13"/>
  <c r="P66" i="13"/>
  <c r="P70" i="13"/>
  <c r="P74" i="13"/>
  <c r="P17" i="13"/>
  <c r="P20" i="13"/>
  <c r="P40" i="13"/>
  <c r="P43" i="13"/>
  <c r="P69" i="13"/>
  <c r="P73" i="13"/>
  <c r="P77" i="13"/>
  <c r="P25" i="13"/>
  <c r="P29" i="13"/>
  <c r="P33" i="13"/>
  <c r="P53" i="13"/>
  <c r="P42" i="13"/>
  <c r="P52" i="13"/>
  <c r="P60" i="13"/>
  <c r="P68" i="13"/>
  <c r="P72" i="13"/>
  <c r="P35" i="13"/>
  <c r="P51" i="13"/>
  <c r="P62" i="13"/>
  <c r="P63" i="13"/>
  <c r="P67" i="13"/>
  <c r="P71" i="13"/>
  <c r="P16" i="13"/>
  <c r="P83" i="13"/>
  <c r="P89" i="13"/>
  <c r="P92" i="13"/>
  <c r="P96" i="13"/>
  <c r="P96" i="17" s="1"/>
  <c r="P21" i="13"/>
  <c r="P28" i="13"/>
  <c r="P46" i="13"/>
  <c r="P75" i="13"/>
  <c r="P88" i="13"/>
  <c r="P91" i="13"/>
  <c r="P95" i="13"/>
  <c r="P76" i="13"/>
  <c r="P80" i="13"/>
  <c r="P79" i="13"/>
  <c r="P36" i="13"/>
  <c r="P78" i="13"/>
  <c r="P99" i="13"/>
  <c r="P84" i="13"/>
  <c r="P86" i="13"/>
  <c r="P81" i="13"/>
  <c r="P93" i="13"/>
  <c r="P97" i="13"/>
  <c r="P94" i="13"/>
  <c r="D171" i="13" l="1"/>
  <c r="Q102" i="13"/>
  <c r="Q103" i="13"/>
  <c r="Q104" i="13"/>
  <c r="Q105" i="13"/>
  <c r="Q106" i="13"/>
  <c r="Q110" i="13"/>
  <c r="Q112" i="13"/>
  <c r="Q113" i="13"/>
  <c r="Q114" i="13"/>
  <c r="Q115" i="13"/>
  <c r="Q116" i="13"/>
  <c r="Q117" i="13"/>
  <c r="Q118" i="13"/>
  <c r="Q119" i="13"/>
  <c r="Q120" i="13"/>
  <c r="Q122" i="13"/>
  <c r="Q123" i="13"/>
  <c r="Q124" i="13"/>
  <c r="Q125" i="13"/>
  <c r="Q126" i="13"/>
  <c r="Q127" i="13"/>
  <c r="Q128" i="13"/>
  <c r="Q129" i="13"/>
  <c r="Q150" i="13"/>
  <c r="Q151" i="13"/>
  <c r="Q152" i="13"/>
  <c r="Q139" i="13"/>
  <c r="Q143" i="13"/>
  <c r="Q145" i="13"/>
  <c r="Q148" i="13"/>
  <c r="Q147" i="13"/>
  <c r="Q138" i="13"/>
  <c r="Q141" i="13"/>
  <c r="Q144" i="13"/>
  <c r="Q149" i="13"/>
  <c r="Q135" i="13"/>
  <c r="Q17" i="13"/>
  <c r="Q21" i="13"/>
  <c r="Q25" i="13"/>
  <c r="Q29" i="13"/>
  <c r="Q33" i="13"/>
  <c r="Q37" i="13"/>
  <c r="Q41" i="13"/>
  <c r="R1" i="13"/>
  <c r="Q16" i="13"/>
  <c r="Q19" i="13"/>
  <c r="Q23" i="13"/>
  <c r="Q27" i="13"/>
  <c r="Q31" i="13"/>
  <c r="Q35" i="13"/>
  <c r="Q39" i="13"/>
  <c r="Q11" i="13"/>
  <c r="Q14" i="13"/>
  <c r="Q18" i="13"/>
  <c r="Q22" i="13"/>
  <c r="Q26" i="13"/>
  <c r="Q30" i="13"/>
  <c r="Q38" i="13"/>
  <c r="Q12" i="13"/>
  <c r="Q13" i="13"/>
  <c r="Q45" i="13"/>
  <c r="Q50" i="13"/>
  <c r="Q55" i="13"/>
  <c r="Q44" i="13"/>
  <c r="Q53" i="13"/>
  <c r="Q60" i="13"/>
  <c r="Q57" i="13"/>
  <c r="Q58" i="13"/>
  <c r="Q20" i="13"/>
  <c r="Q40" i="13"/>
  <c r="Q43" i="13"/>
  <c r="Q69" i="13"/>
  <c r="Q10" i="13"/>
  <c r="Q65" i="13"/>
  <c r="Q28" i="13"/>
  <c r="Q32" i="13"/>
  <c r="Q36" i="13"/>
  <c r="Q46" i="13"/>
  <c r="Q52" i="13"/>
  <c r="Q61" i="13"/>
  <c r="Q62" i="13"/>
  <c r="Q70" i="13"/>
  <c r="Q78" i="13"/>
  <c r="Q24" i="13"/>
  <c r="Q51" i="13"/>
  <c r="Q66" i="13"/>
  <c r="Q83" i="13"/>
  <c r="Q89" i="13"/>
  <c r="Q92" i="13"/>
  <c r="Q96" i="13"/>
  <c r="Q96" i="17" s="1"/>
  <c r="Q71" i="13"/>
  <c r="Q67" i="13"/>
  <c r="Q72" i="13"/>
  <c r="Q74" i="13"/>
  <c r="Q75" i="13"/>
  <c r="Q88" i="13"/>
  <c r="Q91" i="13"/>
  <c r="Q95" i="13"/>
  <c r="Q77" i="13"/>
  <c r="Q86" i="13"/>
  <c r="Q94" i="13"/>
  <c r="Q99" i="13"/>
  <c r="Q42" i="13"/>
  <c r="Q63" i="13"/>
  <c r="Q68" i="13"/>
  <c r="Q56" i="13"/>
  <c r="Q64" i="13"/>
  <c r="Q97" i="13"/>
  <c r="Q76" i="13"/>
  <c r="Q81" i="13"/>
  <c r="Q93" i="13"/>
  <c r="Q80" i="13"/>
  <c r="Q84" i="13"/>
  <c r="Q73" i="13"/>
  <c r="Q79" i="13"/>
  <c r="R134" i="13" l="1"/>
  <c r="R135" i="13"/>
  <c r="R102" i="13"/>
  <c r="R103" i="13"/>
  <c r="R104" i="13"/>
  <c r="R105" i="13"/>
  <c r="R106" i="13"/>
  <c r="R110" i="13"/>
  <c r="R112" i="13"/>
  <c r="R113" i="13"/>
  <c r="R114" i="13"/>
  <c r="R115" i="13"/>
  <c r="R116" i="13"/>
  <c r="R117" i="13"/>
  <c r="R118" i="13"/>
  <c r="R119" i="13"/>
  <c r="R120" i="13"/>
  <c r="R122" i="13"/>
  <c r="R123" i="13"/>
  <c r="R124" i="13"/>
  <c r="R125" i="13"/>
  <c r="R126" i="13"/>
  <c r="R127" i="13"/>
  <c r="R128" i="13"/>
  <c r="R129" i="13"/>
  <c r="R150" i="13"/>
  <c r="R151" i="13"/>
  <c r="R152" i="13"/>
  <c r="R137" i="13"/>
  <c r="R139" i="13"/>
  <c r="R143" i="13"/>
  <c r="R145" i="13"/>
  <c r="R148" i="13"/>
  <c r="R138" i="13"/>
  <c r="R141" i="13"/>
  <c r="R144" i="13"/>
  <c r="R147" i="13"/>
  <c r="R149" i="13"/>
  <c r="Q155" i="13"/>
  <c r="D174" i="13" s="1"/>
  <c r="R13" i="13"/>
  <c r="R20" i="13"/>
  <c r="R24" i="13"/>
  <c r="R28" i="13"/>
  <c r="R32" i="13"/>
  <c r="S1" i="13"/>
  <c r="R16" i="13"/>
  <c r="R19" i="13"/>
  <c r="R23" i="13"/>
  <c r="R27" i="13"/>
  <c r="R31" i="13"/>
  <c r="R35" i="13"/>
  <c r="R39" i="13"/>
  <c r="R11" i="13"/>
  <c r="R14" i="13"/>
  <c r="R10" i="13"/>
  <c r="R21" i="13"/>
  <c r="R22" i="13"/>
  <c r="R42" i="13"/>
  <c r="R51" i="13"/>
  <c r="R62" i="13"/>
  <c r="R12" i="13"/>
  <c r="R41" i="13"/>
  <c r="R17" i="13"/>
  <c r="R18" i="13"/>
  <c r="R25" i="13"/>
  <c r="R26" i="13"/>
  <c r="R33" i="13"/>
  <c r="R45" i="13"/>
  <c r="R50" i="13"/>
  <c r="R63" i="13"/>
  <c r="R67" i="13"/>
  <c r="R71" i="13"/>
  <c r="R75" i="13"/>
  <c r="R44" i="13"/>
  <c r="R30" i="13"/>
  <c r="R56" i="13"/>
  <c r="R64" i="13"/>
  <c r="R66" i="13"/>
  <c r="R70" i="13"/>
  <c r="R74" i="13"/>
  <c r="R55" i="13"/>
  <c r="R29" i="13"/>
  <c r="R38" i="13"/>
  <c r="R40" i="13"/>
  <c r="R43" i="13"/>
  <c r="R53" i="13"/>
  <c r="R69" i="13"/>
  <c r="R73" i="13"/>
  <c r="R52" i="13"/>
  <c r="R61" i="13"/>
  <c r="R68" i="13"/>
  <c r="R72" i="13"/>
  <c r="R36" i="13"/>
  <c r="R65" i="13"/>
  <c r="R81" i="13"/>
  <c r="R84" i="13"/>
  <c r="R93" i="13"/>
  <c r="R97" i="13"/>
  <c r="R37" i="13"/>
  <c r="R60" i="13"/>
  <c r="R78" i="13"/>
  <c r="R46" i="13"/>
  <c r="R83" i="13"/>
  <c r="R89" i="13"/>
  <c r="R92" i="13"/>
  <c r="R96" i="13"/>
  <c r="R96" i="17" s="1"/>
  <c r="R76" i="13"/>
  <c r="R80" i="13"/>
  <c r="R88" i="13"/>
  <c r="R57" i="13"/>
  <c r="R95" i="13"/>
  <c r="R99" i="13"/>
  <c r="R58" i="13"/>
  <c r="R79" i="13"/>
  <c r="R86" i="13"/>
  <c r="R91" i="13"/>
  <c r="R94" i="13"/>
  <c r="R77" i="13"/>
  <c r="S137" i="13" l="1"/>
  <c r="S138" i="13"/>
  <c r="S139" i="13"/>
  <c r="S141" i="13"/>
  <c r="S143" i="13"/>
  <c r="S144" i="13"/>
  <c r="S145" i="13"/>
  <c r="S147" i="13"/>
  <c r="S148" i="13"/>
  <c r="S149" i="13"/>
  <c r="S134" i="13"/>
  <c r="S135" i="13"/>
  <c r="S102" i="13"/>
  <c r="S103" i="13"/>
  <c r="S104" i="13"/>
  <c r="S105" i="13"/>
  <c r="S106" i="13"/>
  <c r="S110" i="13"/>
  <c r="S112" i="13"/>
  <c r="S113" i="13"/>
  <c r="S114" i="13"/>
  <c r="S115" i="13"/>
  <c r="S116" i="13"/>
  <c r="S117" i="13"/>
  <c r="S118" i="13"/>
  <c r="S119" i="13"/>
  <c r="S120" i="13"/>
  <c r="S122" i="13"/>
  <c r="S123" i="13"/>
  <c r="S124" i="13"/>
  <c r="S125" i="13"/>
  <c r="S126" i="13"/>
  <c r="S127" i="13"/>
  <c r="S128" i="13"/>
  <c r="S129" i="13"/>
  <c r="S150" i="13"/>
  <c r="S152" i="13"/>
  <c r="S151" i="13"/>
  <c r="R155" i="13"/>
  <c r="D175" i="13" s="1"/>
  <c r="S18" i="13"/>
  <c r="S22" i="13"/>
  <c r="S26" i="13"/>
  <c r="S30" i="13"/>
  <c r="S38" i="13"/>
  <c r="S10" i="13"/>
  <c r="S12" i="13"/>
  <c r="S20" i="13"/>
  <c r="S24" i="13"/>
  <c r="S28" i="13"/>
  <c r="S32" i="13"/>
  <c r="S36" i="13"/>
  <c r="S40" i="13"/>
  <c r="T1" i="13"/>
  <c r="S16" i="13"/>
  <c r="S19" i="13"/>
  <c r="S23" i="13"/>
  <c r="S27" i="13"/>
  <c r="S31" i="13"/>
  <c r="S35" i="13"/>
  <c r="S39" i="13"/>
  <c r="S11" i="13"/>
  <c r="S21" i="13"/>
  <c r="S29" i="13"/>
  <c r="S46" i="13"/>
  <c r="S56" i="13"/>
  <c r="S42" i="13"/>
  <c r="S51" i="13"/>
  <c r="S37" i="13"/>
  <c r="S45" i="13"/>
  <c r="S50" i="13"/>
  <c r="S55" i="13"/>
  <c r="S58" i="13"/>
  <c r="S61" i="13"/>
  <c r="S62" i="13"/>
  <c r="S14" i="13"/>
  <c r="S17" i="13"/>
  <c r="S44" i="13"/>
  <c r="S57" i="13"/>
  <c r="S64" i="13"/>
  <c r="S66" i="13"/>
  <c r="S70" i="13"/>
  <c r="S25" i="13"/>
  <c r="S33" i="13"/>
  <c r="S41" i="13"/>
  <c r="S60" i="13"/>
  <c r="S65" i="13"/>
  <c r="S53" i="13"/>
  <c r="S63" i="13"/>
  <c r="S79" i="13"/>
  <c r="S52" i="13"/>
  <c r="S81" i="13"/>
  <c r="S84" i="13"/>
  <c r="S93" i="13"/>
  <c r="S97" i="13"/>
  <c r="S78" i="13"/>
  <c r="S43" i="13"/>
  <c r="S71" i="13"/>
  <c r="S83" i="13"/>
  <c r="S89" i="13"/>
  <c r="S92" i="13"/>
  <c r="S96" i="13"/>
  <c r="S96" i="17" s="1"/>
  <c r="S68" i="13"/>
  <c r="S88" i="13"/>
  <c r="S91" i="13"/>
  <c r="S95" i="13"/>
  <c r="S72" i="13"/>
  <c r="S76" i="13"/>
  <c r="S77" i="13"/>
  <c r="S94" i="13"/>
  <c r="S13" i="13"/>
  <c r="S69" i="13"/>
  <c r="S67" i="13"/>
  <c r="S74" i="13"/>
  <c r="S80" i="13"/>
  <c r="S75" i="13"/>
  <c r="S73" i="13"/>
  <c r="S99" i="13"/>
  <c r="S86" i="13"/>
  <c r="T137" i="13" l="1"/>
  <c r="T138" i="13"/>
  <c r="T139" i="13"/>
  <c r="T141" i="13"/>
  <c r="T143" i="13"/>
  <c r="T144" i="13"/>
  <c r="T145" i="13"/>
  <c r="T147" i="13"/>
  <c r="T148" i="13"/>
  <c r="T149" i="13"/>
  <c r="T134" i="13"/>
  <c r="T135" i="13"/>
  <c r="T102" i="13"/>
  <c r="T103" i="13"/>
  <c r="T104" i="13"/>
  <c r="T105" i="13"/>
  <c r="T106" i="13"/>
  <c r="T110" i="13"/>
  <c r="T112" i="13"/>
  <c r="T113" i="13"/>
  <c r="T114" i="13"/>
  <c r="T115" i="13"/>
  <c r="T116" i="13"/>
  <c r="T117" i="13"/>
  <c r="T118" i="13"/>
  <c r="T119" i="13"/>
  <c r="T120" i="13"/>
  <c r="T122" i="13"/>
  <c r="T123" i="13"/>
  <c r="T124" i="13"/>
  <c r="T125" i="13"/>
  <c r="T126" i="13"/>
  <c r="T127" i="13"/>
  <c r="T128" i="13"/>
  <c r="T129" i="13"/>
  <c r="T150" i="13"/>
  <c r="T152" i="13"/>
  <c r="T151" i="13"/>
  <c r="D173" i="13"/>
  <c r="T11" i="13"/>
  <c r="T14" i="13"/>
  <c r="T17" i="13"/>
  <c r="T21" i="13"/>
  <c r="T25" i="13"/>
  <c r="T29" i="13"/>
  <c r="T10" i="13"/>
  <c r="T12" i="13"/>
  <c r="T20" i="13"/>
  <c r="T24" i="13"/>
  <c r="T28" i="13"/>
  <c r="T32" i="13"/>
  <c r="T36" i="13"/>
  <c r="T40" i="13"/>
  <c r="U1" i="13"/>
  <c r="T16" i="13"/>
  <c r="T22" i="13"/>
  <c r="T30" i="13"/>
  <c r="T43" i="13"/>
  <c r="T52" i="13"/>
  <c r="T63" i="13"/>
  <c r="T23" i="13"/>
  <c r="T31" i="13"/>
  <c r="T46" i="13"/>
  <c r="T56" i="13"/>
  <c r="T13" i="13"/>
  <c r="T35" i="13"/>
  <c r="T41" i="13"/>
  <c r="T51" i="13"/>
  <c r="T68" i="13"/>
  <c r="T72" i="13"/>
  <c r="T76" i="13"/>
  <c r="T26" i="13"/>
  <c r="T45" i="13"/>
  <c r="T58" i="13"/>
  <c r="T67" i="13"/>
  <c r="T71" i="13"/>
  <c r="T75" i="13"/>
  <c r="T44" i="13"/>
  <c r="T57" i="13"/>
  <c r="T39" i="13"/>
  <c r="T55" i="13"/>
  <c r="T64" i="13"/>
  <c r="T66" i="13"/>
  <c r="T70" i="13"/>
  <c r="T74" i="13"/>
  <c r="T37" i="13"/>
  <c r="T42" i="13"/>
  <c r="T53" i="13"/>
  <c r="T69" i="13"/>
  <c r="T73" i="13"/>
  <c r="T27" i="13"/>
  <c r="T33" i="13"/>
  <c r="T77" i="13"/>
  <c r="T86" i="13"/>
  <c r="T94" i="13"/>
  <c r="T99" i="13"/>
  <c r="T61" i="13"/>
  <c r="T62" i="13"/>
  <c r="T65" i="13"/>
  <c r="T79" i="13"/>
  <c r="T50" i="13"/>
  <c r="T60" i="13"/>
  <c r="T81" i="13"/>
  <c r="T84" i="13"/>
  <c r="T93" i="13"/>
  <c r="T97" i="13"/>
  <c r="T18" i="13"/>
  <c r="T78" i="13"/>
  <c r="T19" i="13"/>
  <c r="T91" i="13"/>
  <c r="T83" i="13"/>
  <c r="T88" i="13"/>
  <c r="T38" i="13"/>
  <c r="T89" i="13"/>
  <c r="T92" i="13"/>
  <c r="T96" i="13"/>
  <c r="T96" i="17" s="1"/>
  <c r="T80" i="13"/>
  <c r="T95" i="13"/>
  <c r="U150" i="13" l="1"/>
  <c r="U151" i="13"/>
  <c r="U152" i="13"/>
  <c r="U137" i="13"/>
  <c r="U138" i="13"/>
  <c r="U139" i="13"/>
  <c r="U141" i="13"/>
  <c r="U143" i="13"/>
  <c r="U144" i="13"/>
  <c r="U145" i="13"/>
  <c r="U147" i="13"/>
  <c r="U148" i="13"/>
  <c r="U149" i="13"/>
  <c r="U134" i="13"/>
  <c r="U135" i="13"/>
  <c r="U102" i="13"/>
  <c r="U103" i="13"/>
  <c r="U104" i="13"/>
  <c r="U105" i="13"/>
  <c r="U106" i="13"/>
  <c r="U110" i="13"/>
  <c r="U112" i="13"/>
  <c r="U113" i="13"/>
  <c r="U114" i="13"/>
  <c r="U115" i="13"/>
  <c r="U116" i="13"/>
  <c r="U117" i="13"/>
  <c r="U118" i="13"/>
  <c r="U119" i="13"/>
  <c r="U120" i="13"/>
  <c r="U122" i="13"/>
  <c r="U123" i="13"/>
  <c r="U124" i="13"/>
  <c r="U125" i="13"/>
  <c r="U126" i="13"/>
  <c r="U127" i="13"/>
  <c r="U128" i="13"/>
  <c r="U129" i="13"/>
  <c r="T155" i="13"/>
  <c r="U19" i="13"/>
  <c r="U23" i="13"/>
  <c r="U27" i="13"/>
  <c r="U31" i="13"/>
  <c r="U35" i="13"/>
  <c r="U39" i="13"/>
  <c r="U13" i="13"/>
  <c r="U17" i="13"/>
  <c r="U21" i="13"/>
  <c r="U25" i="13"/>
  <c r="U29" i="13"/>
  <c r="U33" i="13"/>
  <c r="U37" i="13"/>
  <c r="U41" i="13"/>
  <c r="U10" i="13"/>
  <c r="U12" i="13"/>
  <c r="U20" i="13"/>
  <c r="U24" i="13"/>
  <c r="U28" i="13"/>
  <c r="U32" i="13"/>
  <c r="U36" i="13"/>
  <c r="U40" i="13"/>
  <c r="U11" i="13"/>
  <c r="U57" i="13"/>
  <c r="U22" i="13"/>
  <c r="U30" i="13"/>
  <c r="U43" i="13"/>
  <c r="U52" i="13"/>
  <c r="V1" i="13"/>
  <c r="U14" i="13"/>
  <c r="U16" i="13"/>
  <c r="U42" i="13"/>
  <c r="U51" i="13"/>
  <c r="U62" i="13"/>
  <c r="U18" i="13"/>
  <c r="U46" i="13"/>
  <c r="U60" i="13"/>
  <c r="U61" i="13"/>
  <c r="U65" i="13"/>
  <c r="U26" i="13"/>
  <c r="U45" i="13"/>
  <c r="U50" i="13"/>
  <c r="U63" i="13"/>
  <c r="U56" i="13"/>
  <c r="U58" i="13"/>
  <c r="U67" i="13"/>
  <c r="U71" i="13"/>
  <c r="U44" i="13"/>
  <c r="U38" i="13"/>
  <c r="U55" i="13"/>
  <c r="U64" i="13"/>
  <c r="U69" i="13"/>
  <c r="U73" i="13"/>
  <c r="U80" i="13"/>
  <c r="U53" i="13"/>
  <c r="U70" i="13"/>
  <c r="U77" i="13"/>
  <c r="U86" i="13"/>
  <c r="U94" i="13"/>
  <c r="U99" i="13"/>
  <c r="U66" i="13"/>
  <c r="U79" i="13"/>
  <c r="U81" i="13"/>
  <c r="U84" i="13"/>
  <c r="U93" i="13"/>
  <c r="U97" i="13"/>
  <c r="U72" i="13"/>
  <c r="U74" i="13"/>
  <c r="U75" i="13"/>
  <c r="U83" i="13"/>
  <c r="U89" i="13"/>
  <c r="U92" i="13"/>
  <c r="U96" i="13"/>
  <c r="U96" i="17" s="1"/>
  <c r="U76" i="13"/>
  <c r="U78" i="13"/>
  <c r="U91" i="13"/>
  <c r="U68" i="13"/>
  <c r="U95" i="13"/>
  <c r="U88" i="13"/>
  <c r="V150" i="13" l="1"/>
  <c r="V151" i="13"/>
  <c r="V152" i="13"/>
  <c r="V137" i="13"/>
  <c r="V138" i="13"/>
  <c r="V139" i="13"/>
  <c r="V141" i="13"/>
  <c r="V143" i="13"/>
  <c r="V144" i="13"/>
  <c r="V145" i="13"/>
  <c r="V147" i="13"/>
  <c r="V148" i="13"/>
  <c r="V149" i="13"/>
  <c r="V134" i="13"/>
  <c r="V135" i="13"/>
  <c r="V102" i="13"/>
  <c r="V103" i="13"/>
  <c r="V104" i="13"/>
  <c r="V105" i="13"/>
  <c r="V106" i="13"/>
  <c r="V110" i="13"/>
  <c r="V112" i="13"/>
  <c r="V113" i="13"/>
  <c r="V114" i="13"/>
  <c r="V115" i="13"/>
  <c r="V116" i="13"/>
  <c r="V117" i="13"/>
  <c r="V118" i="13"/>
  <c r="V119" i="13"/>
  <c r="V120" i="13"/>
  <c r="V122" i="13"/>
  <c r="V123" i="13"/>
  <c r="V124" i="13"/>
  <c r="V125" i="13"/>
  <c r="V126" i="13"/>
  <c r="V127" i="13"/>
  <c r="V128" i="13"/>
  <c r="V129" i="13"/>
  <c r="W1" i="13"/>
  <c r="V16" i="13"/>
  <c r="V18" i="13"/>
  <c r="V22" i="13"/>
  <c r="V26" i="13"/>
  <c r="V30" i="13"/>
  <c r="V13" i="13"/>
  <c r="V17" i="13"/>
  <c r="V21" i="13"/>
  <c r="V25" i="13"/>
  <c r="V29" i="13"/>
  <c r="V33" i="13"/>
  <c r="V37" i="13"/>
  <c r="V41" i="13"/>
  <c r="V10" i="13"/>
  <c r="V12" i="13"/>
  <c r="V20" i="13"/>
  <c r="V36" i="13"/>
  <c r="V38" i="13"/>
  <c r="V44" i="13"/>
  <c r="V53" i="13"/>
  <c r="V60" i="13"/>
  <c r="V64" i="13"/>
  <c r="V11" i="13"/>
  <c r="V24" i="13"/>
  <c r="V32" i="13"/>
  <c r="V39" i="13"/>
  <c r="V46" i="13"/>
  <c r="V56" i="13"/>
  <c r="V27" i="13"/>
  <c r="V52" i="13"/>
  <c r="V69" i="13"/>
  <c r="V73" i="13"/>
  <c r="V77" i="13"/>
  <c r="V31" i="13"/>
  <c r="V14" i="13"/>
  <c r="V23" i="13"/>
  <c r="V62" i="13"/>
  <c r="V68" i="13"/>
  <c r="V72" i="13"/>
  <c r="V76" i="13"/>
  <c r="V45" i="13"/>
  <c r="V50" i="13"/>
  <c r="V63" i="13"/>
  <c r="V57" i="13"/>
  <c r="V58" i="13"/>
  <c r="V67" i="13"/>
  <c r="V71" i="13"/>
  <c r="V19" i="13"/>
  <c r="V43" i="13"/>
  <c r="V55" i="13"/>
  <c r="V66" i="13"/>
  <c r="V70" i="13"/>
  <c r="V40" i="13"/>
  <c r="V88" i="13"/>
  <c r="V91" i="13"/>
  <c r="V95" i="13"/>
  <c r="V80" i="13"/>
  <c r="V28" i="13"/>
  <c r="V51" i="13"/>
  <c r="V61" i="13"/>
  <c r="V65" i="13"/>
  <c r="V86" i="13"/>
  <c r="V94" i="13"/>
  <c r="V99" i="13"/>
  <c r="V35" i="13"/>
  <c r="V79" i="13"/>
  <c r="V42" i="13"/>
  <c r="V78" i="13"/>
  <c r="V75" i="13"/>
  <c r="V81" i="13"/>
  <c r="V96" i="13"/>
  <c r="V96" i="17" s="1"/>
  <c r="V74" i="13"/>
  <c r="V84" i="13"/>
  <c r="V83" i="13"/>
  <c r="V92" i="13"/>
  <c r="V93" i="13"/>
  <c r="V89" i="13"/>
  <c r="V97" i="13"/>
  <c r="W150" i="13" l="1"/>
  <c r="W151" i="13"/>
  <c r="W152" i="13"/>
  <c r="W103" i="13"/>
  <c r="W104" i="13"/>
  <c r="W105" i="13"/>
  <c r="W106" i="13"/>
  <c r="W137" i="13"/>
  <c r="W138" i="13"/>
  <c r="W139" i="13"/>
  <c r="W141" i="13"/>
  <c r="W143" i="13"/>
  <c r="W144" i="13"/>
  <c r="W145" i="13"/>
  <c r="W147" i="13"/>
  <c r="W148" i="13"/>
  <c r="W149" i="13"/>
  <c r="W134" i="13"/>
  <c r="W135" i="13"/>
  <c r="W102" i="13"/>
  <c r="W110" i="13"/>
  <c r="W113" i="13"/>
  <c r="W115" i="13"/>
  <c r="W117" i="13"/>
  <c r="W119" i="13"/>
  <c r="W122" i="13"/>
  <c r="W124" i="13"/>
  <c r="W126" i="13"/>
  <c r="W128" i="13"/>
  <c r="W112" i="13"/>
  <c r="W114" i="13"/>
  <c r="W116" i="13"/>
  <c r="W118" i="13"/>
  <c r="W120" i="13"/>
  <c r="W123" i="13"/>
  <c r="W125" i="13"/>
  <c r="W127" i="13"/>
  <c r="W129" i="13"/>
  <c r="V155" i="13"/>
  <c r="V4" i="13" s="1"/>
  <c r="W20" i="13"/>
  <c r="W24" i="13"/>
  <c r="W28" i="13"/>
  <c r="W32" i="13"/>
  <c r="W36" i="13"/>
  <c r="W40" i="13"/>
  <c r="W11" i="13"/>
  <c r="W14" i="13"/>
  <c r="W18" i="13"/>
  <c r="W22" i="13"/>
  <c r="W26" i="13"/>
  <c r="W30" i="13"/>
  <c r="W38" i="13"/>
  <c r="W13" i="13"/>
  <c r="W17" i="13"/>
  <c r="W21" i="13"/>
  <c r="W25" i="13"/>
  <c r="W29" i="13"/>
  <c r="W33" i="13"/>
  <c r="W37" i="13"/>
  <c r="W41" i="13"/>
  <c r="W19" i="13"/>
  <c r="W10" i="13"/>
  <c r="W44" i="13"/>
  <c r="W53" i="13"/>
  <c r="W23" i="13"/>
  <c r="W31" i="13"/>
  <c r="W43" i="13"/>
  <c r="W52" i="13"/>
  <c r="W63" i="13"/>
  <c r="W12" i="13"/>
  <c r="W35" i="13"/>
  <c r="W42" i="13"/>
  <c r="W27" i="13"/>
  <c r="W51" i="13"/>
  <c r="W61" i="13"/>
  <c r="W65" i="13"/>
  <c r="X1" i="13"/>
  <c r="W62" i="13"/>
  <c r="W68" i="13"/>
  <c r="W72" i="13"/>
  <c r="W45" i="13"/>
  <c r="W50" i="13"/>
  <c r="W56" i="13"/>
  <c r="W16" i="13"/>
  <c r="W64" i="13"/>
  <c r="W57" i="13"/>
  <c r="W58" i="13"/>
  <c r="W76" i="13"/>
  <c r="W55" i="13"/>
  <c r="W69" i="13"/>
  <c r="W73" i="13"/>
  <c r="W88" i="13"/>
  <c r="W91" i="13"/>
  <c r="W95" i="13"/>
  <c r="W70" i="13"/>
  <c r="W77" i="13"/>
  <c r="W80" i="13"/>
  <c r="W46" i="13"/>
  <c r="W60" i="13"/>
  <c r="W66" i="13"/>
  <c r="W86" i="13"/>
  <c r="W94" i="13"/>
  <c r="W99" i="13"/>
  <c r="W67" i="13"/>
  <c r="W81" i="13"/>
  <c r="W84" i="13"/>
  <c r="W93" i="13"/>
  <c r="W97" i="13"/>
  <c r="W75" i="13"/>
  <c r="W39" i="13"/>
  <c r="W89" i="13"/>
  <c r="W71" i="13"/>
  <c r="W92" i="13"/>
  <c r="W78" i="13"/>
  <c r="W79" i="13"/>
  <c r="W96" i="13"/>
  <c r="W96" i="17" s="1"/>
  <c r="W74" i="13"/>
  <c r="W83" i="13"/>
  <c r="X150" i="13" l="1"/>
  <c r="X151" i="13"/>
  <c r="X152" i="13"/>
  <c r="X137" i="13"/>
  <c r="X138" i="13"/>
  <c r="X139" i="13"/>
  <c r="X141" i="13"/>
  <c r="X143" i="13"/>
  <c r="X144" i="13"/>
  <c r="X145" i="13"/>
  <c r="X147" i="13"/>
  <c r="X148" i="13"/>
  <c r="X149" i="13"/>
  <c r="X102" i="13"/>
  <c r="X106" i="13"/>
  <c r="X134" i="13"/>
  <c r="X103" i="13"/>
  <c r="X110" i="13"/>
  <c r="X113" i="13"/>
  <c r="X115" i="13"/>
  <c r="X117" i="13"/>
  <c r="X119" i="13"/>
  <c r="X122" i="13"/>
  <c r="X124" i="13"/>
  <c r="X126" i="13"/>
  <c r="X128" i="13"/>
  <c r="X116" i="13"/>
  <c r="X114" i="13"/>
  <c r="X118" i="13"/>
  <c r="X120" i="13"/>
  <c r="X123" i="13"/>
  <c r="X129" i="13"/>
  <c r="X104" i="13"/>
  <c r="X112" i="13"/>
  <c r="X125" i="13"/>
  <c r="X135" i="13"/>
  <c r="X105" i="13"/>
  <c r="X127" i="13"/>
  <c r="W155" i="13"/>
  <c r="D170" i="13"/>
  <c r="X10" i="13"/>
  <c r="X12" i="13"/>
  <c r="X19" i="13"/>
  <c r="X23" i="13"/>
  <c r="X27" i="13"/>
  <c r="X31" i="13"/>
  <c r="X11" i="13"/>
  <c r="X14" i="13"/>
  <c r="X18" i="13"/>
  <c r="X22" i="13"/>
  <c r="X26" i="13"/>
  <c r="X30" i="13"/>
  <c r="X38" i="13"/>
  <c r="X13" i="13"/>
  <c r="X20" i="13"/>
  <c r="X28" i="13"/>
  <c r="X40" i="13"/>
  <c r="X45" i="13"/>
  <c r="X50" i="13"/>
  <c r="X55" i="13"/>
  <c r="X58" i="13"/>
  <c r="G58" i="13" s="1"/>
  <c r="X61" i="13"/>
  <c r="X21" i="13"/>
  <c r="X29" i="13"/>
  <c r="X36" i="13"/>
  <c r="X57" i="13"/>
  <c r="X24" i="13"/>
  <c r="X53" i="13"/>
  <c r="X66" i="13"/>
  <c r="G66" i="13" s="1"/>
  <c r="X70" i="13"/>
  <c r="X74" i="13"/>
  <c r="X35" i="13"/>
  <c r="X42" i="13"/>
  <c r="X46" i="13"/>
  <c r="X60" i="13"/>
  <c r="X69" i="13"/>
  <c r="X73" i="13"/>
  <c r="X77" i="13"/>
  <c r="X17" i="13"/>
  <c r="G17" i="13" s="1"/>
  <c r="X51" i="13"/>
  <c r="X65" i="13"/>
  <c r="X62" i="13"/>
  <c r="X63" i="13"/>
  <c r="X68" i="13"/>
  <c r="X72" i="13"/>
  <c r="X33" i="13"/>
  <c r="X39" i="13"/>
  <c r="X67" i="13"/>
  <c r="X71" i="13"/>
  <c r="X16" i="13"/>
  <c r="X44" i="13"/>
  <c r="X56" i="13"/>
  <c r="G56" i="13" s="1"/>
  <c r="X75" i="13"/>
  <c r="X83" i="13"/>
  <c r="X89" i="13"/>
  <c r="X92" i="13"/>
  <c r="X96" i="13"/>
  <c r="X96" i="17" s="1"/>
  <c r="X64" i="13"/>
  <c r="X76" i="13"/>
  <c r="X37" i="13"/>
  <c r="X41" i="13"/>
  <c r="X52" i="13"/>
  <c r="X88" i="13"/>
  <c r="X91" i="13"/>
  <c r="X95" i="13"/>
  <c r="X25" i="13"/>
  <c r="X80" i="13"/>
  <c r="X32" i="13"/>
  <c r="X79" i="13"/>
  <c r="X86" i="13"/>
  <c r="X94" i="13"/>
  <c r="X43" i="13"/>
  <c r="X93" i="13"/>
  <c r="X97" i="13"/>
  <c r="X84" i="13"/>
  <c r="X99" i="13"/>
  <c r="X78" i="13"/>
  <c r="X81" i="13"/>
  <c r="G81" i="13" s="1"/>
  <c r="AA17" i="13" l="1"/>
  <c r="AB17" i="13"/>
  <c r="X155" i="13"/>
  <c r="AB46" i="13"/>
  <c r="AA46" i="13"/>
  <c r="AA56" i="13"/>
  <c r="AB56" i="13"/>
  <c r="AA66" i="13"/>
  <c r="AB66" i="13"/>
  <c r="AA81" i="13"/>
  <c r="AB81" i="13"/>
  <c r="AA58" i="13"/>
  <c r="AB58" i="13"/>
  <c r="D169" i="13"/>
  <c r="X4" i="13"/>
  <c r="Q104" i="5" l="1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95" i="5"/>
  <c r="Q96" i="5"/>
  <c r="Q97" i="5"/>
  <c r="Q98" i="5"/>
  <c r="Q99" i="5"/>
  <c r="Q100" i="5"/>
  <c r="Q101" i="5"/>
  <c r="Q102" i="5"/>
  <c r="Q103" i="5"/>
  <c r="Q94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6" i="5"/>
  <c r="D1" i="4" l="1"/>
  <c r="U8" i="1" l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4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U54" i="1"/>
  <c r="V54" i="1"/>
  <c r="U55" i="1"/>
  <c r="V55" i="1"/>
  <c r="U56" i="1"/>
  <c r="V56" i="1"/>
  <c r="U57" i="1"/>
  <c r="V57" i="1"/>
  <c r="U58" i="1"/>
  <c r="V58" i="1"/>
  <c r="U59" i="1"/>
  <c r="V59" i="1"/>
  <c r="U60" i="1"/>
  <c r="V60" i="1"/>
  <c r="U61" i="1"/>
  <c r="V61" i="1"/>
  <c r="U62" i="1"/>
  <c r="V62" i="1"/>
  <c r="U63" i="1"/>
  <c r="V63" i="1"/>
  <c r="U64" i="1"/>
  <c r="V64" i="1"/>
  <c r="U65" i="1"/>
  <c r="V65" i="1"/>
  <c r="U66" i="1"/>
  <c r="V66" i="1"/>
  <c r="U67" i="1"/>
  <c r="V67" i="1"/>
  <c r="U68" i="1"/>
  <c r="V68" i="1"/>
  <c r="U69" i="1"/>
  <c r="V69" i="1"/>
  <c r="U70" i="1"/>
  <c r="V70" i="1"/>
  <c r="U71" i="1"/>
  <c r="V71" i="1"/>
  <c r="U72" i="1"/>
  <c r="V72" i="1"/>
  <c r="U73" i="1"/>
  <c r="V73" i="1"/>
  <c r="U74" i="1"/>
  <c r="V74" i="1"/>
  <c r="U75" i="1"/>
  <c r="V75" i="1"/>
  <c r="U76" i="1"/>
  <c r="V76" i="1"/>
  <c r="U77" i="1"/>
  <c r="V77" i="1"/>
  <c r="U78" i="1"/>
  <c r="V78" i="1"/>
  <c r="U79" i="1"/>
  <c r="V79" i="1"/>
  <c r="U80" i="1"/>
  <c r="V80" i="1"/>
  <c r="U81" i="1"/>
  <c r="V81" i="1"/>
  <c r="U82" i="1"/>
  <c r="V82" i="1"/>
  <c r="U83" i="1"/>
  <c r="V83" i="1"/>
  <c r="U84" i="1"/>
  <c r="V84" i="1"/>
  <c r="U85" i="1"/>
  <c r="V85" i="1"/>
  <c r="U86" i="1"/>
  <c r="V86" i="1"/>
  <c r="U87" i="1"/>
  <c r="V87" i="1"/>
  <c r="U88" i="1"/>
  <c r="V88" i="1"/>
  <c r="U89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7" i="1"/>
  <c r="U7" i="1"/>
  <c r="I54" i="17" l="1"/>
  <c r="J54" i="17"/>
  <c r="I130" i="17"/>
  <c r="J130" i="17"/>
  <c r="K130" i="17"/>
  <c r="L130" i="17"/>
  <c r="M130" i="17"/>
  <c r="N130" i="17"/>
  <c r="O130" i="17"/>
  <c r="P130" i="17"/>
  <c r="Q130" i="17"/>
  <c r="R130" i="17"/>
  <c r="S130" i="17"/>
  <c r="T130" i="17"/>
  <c r="U130" i="17"/>
  <c r="V130" i="17"/>
  <c r="W130" i="17"/>
  <c r="X130" i="17"/>
  <c r="Y130" i="17"/>
  <c r="Z130" i="17"/>
  <c r="D130" i="17"/>
  <c r="E130" i="17"/>
  <c r="AC11" i="6"/>
  <c r="AC12" i="6"/>
  <c r="AC10" i="6"/>
  <c r="G54" i="17" l="1"/>
  <c r="F130" i="17"/>
  <c r="G130" i="17" s="1"/>
  <c r="C36" i="22" l="1"/>
  <c r="C35" i="22"/>
  <c r="K95" i="18" l="1"/>
  <c r="E76" i="18"/>
  <c r="E30" i="18"/>
  <c r="I257" i="17"/>
  <c r="I256" i="17"/>
  <c r="I255" i="17"/>
  <c r="I253" i="17"/>
  <c r="J247" i="17"/>
  <c r="I247" i="17"/>
  <c r="J246" i="17"/>
  <c r="I246" i="17"/>
  <c r="I239" i="17"/>
  <c r="J239" i="17"/>
  <c r="I240" i="17"/>
  <c r="J240" i="17"/>
  <c r="J238" i="17"/>
  <c r="I238" i="17"/>
  <c r="I227" i="17"/>
  <c r="I228" i="17"/>
  <c r="I229" i="17"/>
  <c r="I230" i="17"/>
  <c r="I231" i="17"/>
  <c r="I232" i="17"/>
  <c r="I226" i="17"/>
  <c r="I213" i="17"/>
  <c r="J213" i="17"/>
  <c r="I214" i="17"/>
  <c r="J214" i="17"/>
  <c r="I215" i="17"/>
  <c r="J215" i="17"/>
  <c r="I216" i="17"/>
  <c r="J216" i="17"/>
  <c r="I217" i="17"/>
  <c r="J217" i="17"/>
  <c r="I218" i="17"/>
  <c r="J218" i="17"/>
  <c r="I219" i="17"/>
  <c r="J219" i="17"/>
  <c r="I220" i="17"/>
  <c r="J220" i="17"/>
  <c r="I221" i="17"/>
  <c r="J221" i="17"/>
  <c r="J212" i="17"/>
  <c r="I212" i="17"/>
  <c r="I203" i="17"/>
  <c r="J203" i="17"/>
  <c r="K203" i="17"/>
  <c r="L203" i="17"/>
  <c r="I204" i="17"/>
  <c r="J204" i="17"/>
  <c r="K204" i="17"/>
  <c r="L204" i="17"/>
  <c r="I205" i="17"/>
  <c r="J205" i="17"/>
  <c r="K205" i="17"/>
  <c r="L205" i="17"/>
  <c r="I206" i="17"/>
  <c r="J206" i="17"/>
  <c r="K206" i="17"/>
  <c r="L206" i="17"/>
  <c r="I207" i="17"/>
  <c r="J207" i="17"/>
  <c r="K207" i="17"/>
  <c r="L207" i="17"/>
  <c r="L202" i="17"/>
  <c r="K202" i="17"/>
  <c r="J202" i="17"/>
  <c r="I202" i="17"/>
  <c r="K197" i="17"/>
  <c r="J197" i="17"/>
  <c r="I197" i="17"/>
  <c r="K192" i="17"/>
  <c r="K191" i="17"/>
  <c r="J191" i="17"/>
  <c r="J192" i="17"/>
  <c r="I192" i="17"/>
  <c r="I191" i="17"/>
  <c r="I186" i="17"/>
  <c r="I183" i="17"/>
  <c r="J183" i="17"/>
  <c r="K183" i="17"/>
  <c r="I184" i="17"/>
  <c r="J184" i="17"/>
  <c r="K184" i="17"/>
  <c r="K182" i="17"/>
  <c r="J182" i="17"/>
  <c r="I182" i="17"/>
  <c r="I178" i="17"/>
  <c r="I170" i="17"/>
  <c r="J170" i="17"/>
  <c r="K170" i="17"/>
  <c r="L170" i="17"/>
  <c r="I171" i="17"/>
  <c r="J171" i="17"/>
  <c r="K171" i="17"/>
  <c r="L171" i="17"/>
  <c r="I172" i="17"/>
  <c r="J172" i="17"/>
  <c r="K172" i="17"/>
  <c r="L172" i="17"/>
  <c r="I173" i="17"/>
  <c r="J173" i="17"/>
  <c r="K173" i="17"/>
  <c r="L173" i="17"/>
  <c r="I174" i="17"/>
  <c r="J174" i="17"/>
  <c r="K174" i="17"/>
  <c r="I175" i="17"/>
  <c r="J175" i="17"/>
  <c r="K175" i="17"/>
  <c r="L175" i="17"/>
  <c r="I176" i="17"/>
  <c r="J176" i="17"/>
  <c r="K176" i="17"/>
  <c r="L176" i="17"/>
  <c r="L169" i="17"/>
  <c r="K169" i="17"/>
  <c r="J169" i="17"/>
  <c r="I169" i="17"/>
  <c r="I164" i="17"/>
  <c r="J164" i="17"/>
  <c r="I162" i="17"/>
  <c r="D4" i="6" l="1"/>
  <c r="L183" i="17"/>
  <c r="K185" i="17"/>
  <c r="J222" i="17"/>
  <c r="J223" i="17" s="1"/>
  <c r="K177" i="17"/>
  <c r="J185" i="17"/>
  <c r="I222" i="17"/>
  <c r="I223" i="17" s="1"/>
  <c r="J177" i="17"/>
  <c r="I185" i="17"/>
  <c r="I187" i="17" s="1"/>
  <c r="I177" i="17"/>
  <c r="I179" i="17" s="1"/>
  <c r="L184" i="17"/>
  <c r="L182" i="17"/>
  <c r="L162" i="17"/>
  <c r="L185" i="17" l="1"/>
  <c r="Y148" i="17"/>
  <c r="Z148" i="17"/>
  <c r="Y149" i="17"/>
  <c r="Z149" i="17"/>
  <c r="Y150" i="17"/>
  <c r="Z150" i="17"/>
  <c r="Y151" i="17"/>
  <c r="Z151" i="17"/>
  <c r="Z147" i="17"/>
  <c r="Y147" i="17"/>
  <c r="Y144" i="17"/>
  <c r="Z144" i="17"/>
  <c r="Y145" i="17"/>
  <c r="Z145" i="17"/>
  <c r="Z143" i="17"/>
  <c r="Y143" i="17"/>
  <c r="Z141" i="17"/>
  <c r="Y141" i="17"/>
  <c r="Y138" i="17"/>
  <c r="Z138" i="17"/>
  <c r="Y139" i="17"/>
  <c r="Z139" i="17"/>
  <c r="Z137" i="17"/>
  <c r="Y137" i="17"/>
  <c r="Q137" i="17"/>
  <c r="Y135" i="17"/>
  <c r="Z135" i="17"/>
  <c r="Z134" i="17"/>
  <c r="Y134" i="17"/>
  <c r="Q134" i="17"/>
  <c r="Y123" i="17"/>
  <c r="Z123" i="17"/>
  <c r="Y124" i="17"/>
  <c r="Z124" i="17"/>
  <c r="Y125" i="17"/>
  <c r="Z125" i="17"/>
  <c r="Y126" i="17"/>
  <c r="Z126" i="17"/>
  <c r="Y127" i="17"/>
  <c r="Z127" i="17"/>
  <c r="Y128" i="17"/>
  <c r="Z128" i="17"/>
  <c r="Y129" i="17"/>
  <c r="Z129" i="17"/>
  <c r="Z122" i="17"/>
  <c r="Y122" i="17"/>
  <c r="Y103" i="17"/>
  <c r="Z103" i="17"/>
  <c r="Y104" i="17"/>
  <c r="Z104" i="17"/>
  <c r="Y105" i="17"/>
  <c r="Z105" i="17"/>
  <c r="Y106" i="17"/>
  <c r="Z106" i="17"/>
  <c r="I108" i="17"/>
  <c r="J108" i="17"/>
  <c r="K108" i="17"/>
  <c r="L108" i="17"/>
  <c r="D45" i="18" s="1"/>
  <c r="F45" i="18" s="1"/>
  <c r="M108" i="17"/>
  <c r="N108" i="17"/>
  <c r="O108" i="17"/>
  <c r="P108" i="17"/>
  <c r="Q108" i="17"/>
  <c r="R108" i="17"/>
  <c r="S108" i="17"/>
  <c r="T108" i="17"/>
  <c r="U108" i="17"/>
  <c r="V108" i="17"/>
  <c r="W108" i="17"/>
  <c r="X108" i="17"/>
  <c r="Y108" i="17"/>
  <c r="Z108" i="17"/>
  <c r="Y110" i="17"/>
  <c r="Z110" i="17"/>
  <c r="I111" i="17"/>
  <c r="J111" i="17"/>
  <c r="K111" i="17"/>
  <c r="L111" i="17"/>
  <c r="M111" i="17"/>
  <c r="N111" i="17"/>
  <c r="O111" i="17"/>
  <c r="P111" i="17"/>
  <c r="Q111" i="17"/>
  <c r="R111" i="17"/>
  <c r="S111" i="17"/>
  <c r="T111" i="17"/>
  <c r="U111" i="17"/>
  <c r="V111" i="17"/>
  <c r="W111" i="17"/>
  <c r="X111" i="17"/>
  <c r="Y111" i="17"/>
  <c r="Z111" i="17"/>
  <c r="Y112" i="17"/>
  <c r="Z112" i="17"/>
  <c r="Y113" i="17"/>
  <c r="Z113" i="17"/>
  <c r="Y114" i="17"/>
  <c r="Z114" i="17"/>
  <c r="Y115" i="17"/>
  <c r="Z115" i="17"/>
  <c r="Y116" i="17"/>
  <c r="Z116" i="17"/>
  <c r="Y117" i="17"/>
  <c r="Z117" i="17"/>
  <c r="Y118" i="17"/>
  <c r="Z118" i="17"/>
  <c r="Y119" i="17"/>
  <c r="Z119" i="17"/>
  <c r="Y120" i="17"/>
  <c r="Z120" i="17"/>
  <c r="Z102" i="17"/>
  <c r="Y102" i="17"/>
  <c r="Y92" i="17"/>
  <c r="Z92" i="17"/>
  <c r="Y93" i="17"/>
  <c r="Z93" i="17"/>
  <c r="Y94" i="17"/>
  <c r="Z94" i="17"/>
  <c r="Y95" i="17"/>
  <c r="Z95" i="17"/>
  <c r="Y96" i="17"/>
  <c r="Z96" i="17"/>
  <c r="Y97" i="17"/>
  <c r="Z97" i="17"/>
  <c r="Y99" i="17"/>
  <c r="Z99" i="17"/>
  <c r="Z91" i="17"/>
  <c r="Y91" i="17"/>
  <c r="Y84" i="17"/>
  <c r="Z84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Y85" i="17"/>
  <c r="Z85" i="17"/>
  <c r="Y86" i="17"/>
  <c r="Z86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Y87" i="17"/>
  <c r="Z87" i="17"/>
  <c r="Y88" i="17"/>
  <c r="Z88" i="17"/>
  <c r="Y89" i="17"/>
  <c r="Z89" i="17"/>
  <c r="Z83" i="17"/>
  <c r="Y83" i="17"/>
  <c r="Y61" i="17"/>
  <c r="Z61" i="17"/>
  <c r="Y62" i="17"/>
  <c r="Z62" i="17"/>
  <c r="Y63" i="17"/>
  <c r="Z63" i="17"/>
  <c r="Y64" i="17"/>
  <c r="Z64" i="17"/>
  <c r="Y65" i="17"/>
  <c r="Z65" i="17"/>
  <c r="Y66" i="17"/>
  <c r="Z66" i="17"/>
  <c r="Y67" i="17"/>
  <c r="Z67" i="17"/>
  <c r="Y68" i="17"/>
  <c r="Z68" i="17"/>
  <c r="Y69" i="17"/>
  <c r="Z69" i="17"/>
  <c r="Y70" i="17"/>
  <c r="Z70" i="17"/>
  <c r="Y71" i="17"/>
  <c r="Z71" i="17"/>
  <c r="Y72" i="17"/>
  <c r="Z72" i="17"/>
  <c r="Y73" i="17"/>
  <c r="Z73" i="17"/>
  <c r="Y74" i="17"/>
  <c r="Z74" i="17"/>
  <c r="Y75" i="17"/>
  <c r="Z75" i="17"/>
  <c r="Y76" i="17"/>
  <c r="Z76" i="17"/>
  <c r="Y77" i="17"/>
  <c r="Z77" i="17"/>
  <c r="Y78" i="17"/>
  <c r="Z78" i="17"/>
  <c r="Y79" i="17"/>
  <c r="Z79" i="17"/>
  <c r="Y80" i="17"/>
  <c r="Z80" i="17"/>
  <c r="Y81" i="17"/>
  <c r="Z81" i="17"/>
  <c r="Z60" i="17"/>
  <c r="Y60" i="17"/>
  <c r="Y51" i="17"/>
  <c r="Z51" i="17"/>
  <c r="Y52" i="17"/>
  <c r="Z52" i="17"/>
  <c r="Y53" i="17"/>
  <c r="Z53" i="17"/>
  <c r="Y55" i="17"/>
  <c r="Z55" i="17"/>
  <c r="Y56" i="17"/>
  <c r="Z56" i="17"/>
  <c r="Y57" i="17"/>
  <c r="Z57" i="17"/>
  <c r="Y58" i="17"/>
  <c r="Z58" i="17"/>
  <c r="Z50" i="17"/>
  <c r="Y50" i="17"/>
  <c r="Y36" i="17"/>
  <c r="Z36" i="17"/>
  <c r="Y37" i="17"/>
  <c r="Z37" i="17"/>
  <c r="Y38" i="17"/>
  <c r="Z38" i="17"/>
  <c r="Y39" i="17"/>
  <c r="Z39" i="17"/>
  <c r="Y40" i="17"/>
  <c r="Z40" i="17"/>
  <c r="Y41" i="17"/>
  <c r="Z41" i="17"/>
  <c r="Y42" i="17"/>
  <c r="Z42" i="17"/>
  <c r="Y43" i="17"/>
  <c r="Z43" i="17"/>
  <c r="Y44" i="17"/>
  <c r="Z44" i="17"/>
  <c r="Y45" i="17"/>
  <c r="Z45" i="17"/>
  <c r="Z35" i="17"/>
  <c r="Y35" i="17"/>
  <c r="I34" i="17"/>
  <c r="D14" i="18" s="1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Y34" i="17"/>
  <c r="Z34" i="17"/>
  <c r="Y11" i="17"/>
  <c r="Z11" i="17"/>
  <c r="Y12" i="17"/>
  <c r="Z12" i="17"/>
  <c r="Y13" i="17"/>
  <c r="Z13" i="17"/>
  <c r="Y14" i="17"/>
  <c r="Z14" i="17"/>
  <c r="Y16" i="17"/>
  <c r="Z16" i="17"/>
  <c r="Y17" i="17"/>
  <c r="Z17" i="17"/>
  <c r="Y18" i="17"/>
  <c r="Z18" i="17"/>
  <c r="Y19" i="17"/>
  <c r="Z19" i="17"/>
  <c r="Y20" i="17"/>
  <c r="Z20" i="17"/>
  <c r="Y21" i="17"/>
  <c r="Z21" i="17"/>
  <c r="Y22" i="17"/>
  <c r="Z22" i="17"/>
  <c r="Y23" i="17"/>
  <c r="Z23" i="17"/>
  <c r="Y24" i="17"/>
  <c r="Z24" i="17"/>
  <c r="Y25" i="17"/>
  <c r="Z25" i="17"/>
  <c r="Y26" i="17"/>
  <c r="Z26" i="17"/>
  <c r="Y27" i="17"/>
  <c r="Z27" i="17"/>
  <c r="Y28" i="17"/>
  <c r="Z28" i="17"/>
  <c r="Y29" i="17"/>
  <c r="Z29" i="17"/>
  <c r="Y30" i="17"/>
  <c r="Z30" i="17"/>
  <c r="Y31" i="17"/>
  <c r="Z31" i="17"/>
  <c r="Y32" i="17"/>
  <c r="Z32" i="17"/>
  <c r="Y33" i="17"/>
  <c r="Z33" i="17"/>
  <c r="Z10" i="17"/>
  <c r="Y10" i="17"/>
  <c r="A46" i="18"/>
  <c r="D108" i="17"/>
  <c r="E108" i="17"/>
  <c r="D111" i="17"/>
  <c r="E111" i="17"/>
  <c r="D85" i="17"/>
  <c r="E85" i="17"/>
  <c r="D87" i="17"/>
  <c r="E87" i="17"/>
  <c r="F14" i="18" l="1"/>
  <c r="F111" i="17"/>
  <c r="G111" i="17" s="1"/>
  <c r="F85" i="17"/>
  <c r="G85" i="17" s="1"/>
  <c r="F108" i="17"/>
  <c r="G108" i="17" s="1"/>
  <c r="F87" i="17"/>
  <c r="G87" i="17" s="1"/>
  <c r="I174" i="8"/>
  <c r="I178" i="8"/>
  <c r="N104" i="8"/>
  <c r="N104" i="13" s="1"/>
  <c r="N155" i="13" s="1"/>
  <c r="J150" i="8" l="1"/>
  <c r="J150" i="13" s="1"/>
  <c r="D161" i="13"/>
  <c r="F150" i="13"/>
  <c r="J75" i="8"/>
  <c r="J75" i="13" s="1"/>
  <c r="I75" i="13"/>
  <c r="F150" i="8"/>
  <c r="J155" i="13" l="1"/>
  <c r="D162" i="13" s="1"/>
  <c r="G150" i="8"/>
  <c r="E32" i="13"/>
  <c r="D32" i="13"/>
  <c r="E31" i="13"/>
  <c r="D31" i="13"/>
  <c r="E30" i="13"/>
  <c r="D30" i="13"/>
  <c r="E29" i="13"/>
  <c r="D29" i="13"/>
  <c r="E28" i="13"/>
  <c r="D28" i="13"/>
  <c r="AB150" i="13" l="1"/>
  <c r="AA150" i="13"/>
  <c r="F32" i="13"/>
  <c r="G32" i="13" s="1"/>
  <c r="F31" i="13"/>
  <c r="G31" i="13" s="1"/>
  <c r="F30" i="13"/>
  <c r="G30" i="13" s="1"/>
  <c r="F29" i="13"/>
  <c r="G29" i="13" s="1"/>
  <c r="F28" i="13"/>
  <c r="G28" i="13" s="1"/>
  <c r="D160" i="13"/>
  <c r="F31" i="8"/>
  <c r="G31" i="8" s="1"/>
  <c r="F29" i="8"/>
  <c r="G29" i="8" s="1"/>
  <c r="F30" i="8"/>
  <c r="G30" i="8" s="1"/>
  <c r="F28" i="8"/>
  <c r="G28" i="8" s="1"/>
  <c r="F32" i="8"/>
  <c r="G32" i="8" s="1"/>
  <c r="AA28" i="13" l="1"/>
  <c r="AB28" i="13"/>
  <c r="AA29" i="13"/>
  <c r="AB29" i="13"/>
  <c r="AB30" i="13"/>
  <c r="AA30" i="13"/>
  <c r="AA32" i="13"/>
  <c r="AB32" i="13"/>
  <c r="AA31" i="13"/>
  <c r="AB31" i="13"/>
  <c r="D159" i="13"/>
  <c r="I27" i="18"/>
  <c r="D177" i="13" l="1"/>
  <c r="K78" i="18"/>
  <c r="K97" i="18" l="1"/>
  <c r="L30" i="18" l="1"/>
  <c r="N43" i="18"/>
  <c r="N41" i="18"/>
  <c r="N40" i="18"/>
  <c r="N39" i="18"/>
  <c r="N38" i="18"/>
  <c r="N36" i="18"/>
  <c r="N35" i="18"/>
  <c r="N34" i="18"/>
  <c r="N33" i="18"/>
  <c r="N32" i="18"/>
  <c r="M30" i="18"/>
  <c r="N37" i="18" l="1"/>
  <c r="N30" i="18" l="1"/>
  <c r="E97" i="18"/>
  <c r="E87" i="18"/>
  <c r="E77" i="18"/>
  <c r="E66" i="18"/>
  <c r="D66" i="18"/>
  <c r="E60" i="18"/>
  <c r="E53" i="18" l="1"/>
  <c r="I23" i="18"/>
  <c r="I22" i="18"/>
  <c r="I21" i="18"/>
  <c r="I20" i="18"/>
  <c r="I19" i="18"/>
  <c r="I18" i="18"/>
  <c r="I17" i="18"/>
  <c r="I16" i="18"/>
  <c r="I15" i="18"/>
  <c r="I13" i="18"/>
  <c r="I11" i="18"/>
  <c r="I10" i="18"/>
  <c r="I9" i="18"/>
  <c r="D29" i="18"/>
  <c r="F29" i="18" s="1"/>
  <c r="E8" i="18"/>
  <c r="K10" i="18" l="1"/>
  <c r="E6" i="18"/>
  <c r="E5" i="18" s="1"/>
  <c r="B95" i="18" l="1"/>
  <c r="A95" i="18"/>
  <c r="A100" i="18"/>
  <c r="A94" i="18"/>
  <c r="A40" i="18"/>
  <c r="A43" i="18"/>
  <c r="A41" i="18"/>
  <c r="A39" i="18"/>
  <c r="A32" i="18"/>
  <c r="A88" i="18"/>
  <c r="A84" i="18"/>
  <c r="A86" i="18"/>
  <c r="A85" i="18"/>
  <c r="A83" i="18"/>
  <c r="A78" i="18"/>
  <c r="A76" i="18"/>
  <c r="A75" i="18"/>
  <c r="A73" i="18"/>
  <c r="A36" i="18"/>
  <c r="A35" i="18"/>
  <c r="A34" i="18"/>
  <c r="A55" i="18"/>
  <c r="B31" i="18"/>
  <c r="A31" i="18"/>
  <c r="B68" i="18"/>
  <c r="C4" i="17"/>
  <c r="D99" i="18" l="1"/>
  <c r="F99" i="18" s="1"/>
  <c r="D101" i="18"/>
  <c r="F101" i="18" s="1"/>
  <c r="D103" i="18"/>
  <c r="F103" i="18" s="1"/>
  <c r="A81" i="18"/>
  <c r="A62" i="18"/>
  <c r="A54" i="18"/>
  <c r="A71" i="18"/>
  <c r="A90" i="18"/>
  <c r="A59" i="18"/>
  <c r="A61" i="18"/>
  <c r="A79" i="18"/>
  <c r="D58" i="18"/>
  <c r="F58" i="18" s="1"/>
  <c r="A68" i="18"/>
  <c r="D57" i="18"/>
  <c r="F57" i="18" s="1"/>
  <c r="Z4" i="17"/>
  <c r="I150" i="17" l="1"/>
  <c r="D160" i="17" s="1"/>
  <c r="D150" i="17"/>
  <c r="L174" i="17"/>
  <c r="L177" i="17" s="1"/>
  <c r="J162" i="17"/>
  <c r="J161" i="17"/>
  <c r="M161" i="17" s="1"/>
  <c r="I161" i="17"/>
  <c r="L161" i="17" s="1"/>
  <c r="J160" i="17"/>
  <c r="M160" i="17" s="1"/>
  <c r="I160" i="17"/>
  <c r="L160" i="17" s="1"/>
  <c r="J159" i="17"/>
  <c r="M159" i="17" s="1"/>
  <c r="I159" i="17"/>
  <c r="L159" i="17" s="1"/>
  <c r="J158" i="17"/>
  <c r="M158" i="17" s="1"/>
  <c r="I158" i="17"/>
  <c r="I254" i="17" l="1"/>
  <c r="L158" i="17"/>
  <c r="D178" i="17" s="1"/>
  <c r="I163" i="17"/>
  <c r="I165" i="17" s="1"/>
  <c r="J163" i="17"/>
  <c r="J165" i="17" s="1"/>
  <c r="M162" i="17"/>
  <c r="M163" i="17" s="1"/>
  <c r="E150" i="17"/>
  <c r="D28" i="17"/>
  <c r="E28" i="17"/>
  <c r="I30" i="17"/>
  <c r="I28" i="17"/>
  <c r="I32" i="17"/>
  <c r="I31" i="17"/>
  <c r="I29" i="17"/>
  <c r="J150" i="17"/>
  <c r="J22" i="17"/>
  <c r="I149" i="17"/>
  <c r="I148" i="17"/>
  <c r="I147" i="17"/>
  <c r="I145" i="17"/>
  <c r="I144" i="17"/>
  <c r="I143" i="17"/>
  <c r="I141" i="17"/>
  <c r="I139" i="17"/>
  <c r="I138" i="17"/>
  <c r="I137" i="17"/>
  <c r="I135" i="17"/>
  <c r="I134" i="17"/>
  <c r="I122" i="17"/>
  <c r="I102" i="17"/>
  <c r="I123" i="17"/>
  <c r="I124" i="17"/>
  <c r="I125" i="17"/>
  <c r="I126" i="17"/>
  <c r="I127" i="17"/>
  <c r="D28" i="18" s="1"/>
  <c r="F28" i="18" s="1"/>
  <c r="I128" i="17"/>
  <c r="I129" i="17"/>
  <c r="I103" i="17"/>
  <c r="I104" i="17"/>
  <c r="I105" i="17"/>
  <c r="I106" i="17"/>
  <c r="I110" i="17"/>
  <c r="I112" i="17"/>
  <c r="I113" i="17"/>
  <c r="I114" i="17"/>
  <c r="I116" i="17"/>
  <c r="I118" i="17"/>
  <c r="I120" i="17"/>
  <c r="I92" i="17"/>
  <c r="I94" i="17"/>
  <c r="I91" i="17"/>
  <c r="I89" i="17"/>
  <c r="I88" i="17"/>
  <c r="I86" i="17"/>
  <c r="I84" i="17"/>
  <c r="I83" i="17"/>
  <c r="I99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51" i="17"/>
  <c r="I52" i="17"/>
  <c r="I55" i="17"/>
  <c r="I56" i="17"/>
  <c r="I57" i="17"/>
  <c r="I97" i="17"/>
  <c r="I117" i="17"/>
  <c r="D26" i="18" s="1"/>
  <c r="F26" i="18" s="1"/>
  <c r="I119" i="17"/>
  <c r="I93" i="17"/>
  <c r="I95" i="17"/>
  <c r="I60" i="17"/>
  <c r="I50" i="17"/>
  <c r="I45" i="17"/>
  <c r="I44" i="17"/>
  <c r="I43" i="17"/>
  <c r="I42" i="17"/>
  <c r="I41" i="17"/>
  <c r="I40" i="17"/>
  <c r="I39" i="17"/>
  <c r="I38" i="17"/>
  <c r="I37" i="17"/>
  <c r="I36" i="17"/>
  <c r="I35" i="17"/>
  <c r="I33" i="17"/>
  <c r="I27" i="17"/>
  <c r="I26" i="17"/>
  <c r="I25" i="17"/>
  <c r="I24" i="17"/>
  <c r="I23" i="17"/>
  <c r="I22" i="17"/>
  <c r="I21" i="17"/>
  <c r="I20" i="17"/>
  <c r="I19" i="17"/>
  <c r="I18" i="17"/>
  <c r="I17" i="17"/>
  <c r="I58" i="17"/>
  <c r="J21" i="17"/>
  <c r="K150" i="17"/>
  <c r="J20" i="17"/>
  <c r="J24" i="17"/>
  <c r="I10" i="17"/>
  <c r="I11" i="17"/>
  <c r="I12" i="17"/>
  <c r="I13" i="17"/>
  <c r="I14" i="17"/>
  <c r="I16" i="17"/>
  <c r="J17" i="17"/>
  <c r="J18" i="17"/>
  <c r="J151" i="17"/>
  <c r="J149" i="17"/>
  <c r="J148" i="17"/>
  <c r="J147" i="17"/>
  <c r="J145" i="17"/>
  <c r="J144" i="17"/>
  <c r="J143" i="17"/>
  <c r="J141" i="17"/>
  <c r="J139" i="17"/>
  <c r="J138" i="17"/>
  <c r="J137" i="17"/>
  <c r="J135" i="17"/>
  <c r="J134" i="17"/>
  <c r="J122" i="17"/>
  <c r="J102" i="17"/>
  <c r="J123" i="17"/>
  <c r="J124" i="17"/>
  <c r="J125" i="17"/>
  <c r="J126" i="17"/>
  <c r="J127" i="17"/>
  <c r="J128" i="17"/>
  <c r="J129" i="17"/>
  <c r="J103" i="17"/>
  <c r="J104" i="17"/>
  <c r="J105" i="17"/>
  <c r="J106" i="17"/>
  <c r="J110" i="17"/>
  <c r="J112" i="17"/>
  <c r="J113" i="17"/>
  <c r="J114" i="17"/>
  <c r="J115" i="17"/>
  <c r="J116" i="17"/>
  <c r="J117" i="17"/>
  <c r="J118" i="17"/>
  <c r="J119" i="17"/>
  <c r="J120" i="17"/>
  <c r="J92" i="17"/>
  <c r="J93" i="17"/>
  <c r="J94" i="17"/>
  <c r="J95" i="17"/>
  <c r="J91" i="17"/>
  <c r="J89" i="17"/>
  <c r="J88" i="17"/>
  <c r="J86" i="17"/>
  <c r="J84" i="17"/>
  <c r="J83" i="17"/>
  <c r="J60" i="17"/>
  <c r="J99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97" i="17"/>
  <c r="J73" i="17"/>
  <c r="J75" i="17"/>
  <c r="J53" i="17"/>
  <c r="J56" i="17"/>
  <c r="J50" i="17"/>
  <c r="J45" i="17"/>
  <c r="J44" i="17"/>
  <c r="J43" i="17"/>
  <c r="J42" i="17"/>
  <c r="J41" i="17"/>
  <c r="J40" i="17"/>
  <c r="J39" i="17"/>
  <c r="J38" i="17"/>
  <c r="J37" i="17"/>
  <c r="J36" i="17"/>
  <c r="J35" i="17"/>
  <c r="J33" i="17"/>
  <c r="J27" i="17"/>
  <c r="J26" i="17"/>
  <c r="J25" i="17"/>
  <c r="J78" i="17"/>
  <c r="J79" i="17"/>
  <c r="J51" i="17"/>
  <c r="J58" i="17"/>
  <c r="J74" i="17"/>
  <c r="J77" i="17"/>
  <c r="J80" i="17"/>
  <c r="J52" i="17"/>
  <c r="J55" i="17"/>
  <c r="J57" i="17"/>
  <c r="J76" i="17"/>
  <c r="J81" i="17"/>
  <c r="J10" i="17"/>
  <c r="J11" i="17"/>
  <c r="J12" i="17"/>
  <c r="J13" i="17"/>
  <c r="J14" i="17"/>
  <c r="J16" i="17"/>
  <c r="J23" i="17"/>
  <c r="D23" i="18"/>
  <c r="F23" i="18" s="1"/>
  <c r="D13" i="18" l="1"/>
  <c r="F13" i="18" s="1"/>
  <c r="D9" i="18"/>
  <c r="F9" i="18" s="1"/>
  <c r="D16" i="18"/>
  <c r="D25" i="18"/>
  <c r="F25" i="18" s="1"/>
  <c r="D10" i="18"/>
  <c r="F10" i="18" s="1"/>
  <c r="D20" i="18"/>
  <c r="D15" i="18"/>
  <c r="D21" i="18"/>
  <c r="F21" i="18" s="1"/>
  <c r="D22" i="18"/>
  <c r="F22" i="18" s="1"/>
  <c r="I53" i="17"/>
  <c r="F17" i="18" s="1"/>
  <c r="I151" i="17"/>
  <c r="I115" i="17"/>
  <c r="D24" i="18" s="1"/>
  <c r="F24" i="18" s="1"/>
  <c r="L163" i="17"/>
  <c r="F28" i="17"/>
  <c r="J19" i="17"/>
  <c r="J28" i="17"/>
  <c r="J31" i="17"/>
  <c r="J29" i="17"/>
  <c r="J32" i="17"/>
  <c r="J30" i="17"/>
  <c r="D27" i="18"/>
  <c r="F27" i="18" s="1"/>
  <c r="K32" i="17"/>
  <c r="K31" i="17"/>
  <c r="K30" i="17"/>
  <c r="K29" i="17"/>
  <c r="K28" i="17"/>
  <c r="L150" i="17"/>
  <c r="K123" i="17"/>
  <c r="K124" i="17"/>
  <c r="K125" i="17"/>
  <c r="K126" i="17"/>
  <c r="K127" i="17"/>
  <c r="K128" i="17"/>
  <c r="K129" i="17"/>
  <c r="K103" i="17"/>
  <c r="K104" i="17"/>
  <c r="K105" i="17"/>
  <c r="K106" i="17"/>
  <c r="K110" i="17"/>
  <c r="K112" i="17"/>
  <c r="K113" i="17"/>
  <c r="K114" i="17"/>
  <c r="K115" i="17"/>
  <c r="K116" i="17"/>
  <c r="K117" i="17"/>
  <c r="K118" i="17"/>
  <c r="K119" i="17"/>
  <c r="K120" i="17"/>
  <c r="K92" i="17"/>
  <c r="K93" i="17"/>
  <c r="K94" i="17"/>
  <c r="K95" i="17"/>
  <c r="K102" i="17"/>
  <c r="K91" i="17"/>
  <c r="K89" i="17"/>
  <c r="K88" i="17"/>
  <c r="K86" i="17"/>
  <c r="K84" i="17"/>
  <c r="K83" i="17"/>
  <c r="K60" i="17"/>
  <c r="K148" i="17"/>
  <c r="K143" i="17"/>
  <c r="K137" i="17"/>
  <c r="K147" i="17"/>
  <c r="K141" i="17"/>
  <c r="K135" i="17"/>
  <c r="K151" i="17"/>
  <c r="K145" i="17"/>
  <c r="K139" i="17"/>
  <c r="K134" i="17"/>
  <c r="K122" i="17"/>
  <c r="K99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97" i="17"/>
  <c r="K75" i="17"/>
  <c r="K53" i="17"/>
  <c r="K56" i="17"/>
  <c r="K149" i="17"/>
  <c r="K144" i="17"/>
  <c r="K78" i="17"/>
  <c r="K79" i="17"/>
  <c r="K51" i="17"/>
  <c r="K138" i="17"/>
  <c r="K58" i="17"/>
  <c r="K77" i="17"/>
  <c r="K80" i="17"/>
  <c r="K52" i="17"/>
  <c r="K55" i="17"/>
  <c r="K57" i="17"/>
  <c r="K42" i="17"/>
  <c r="K38" i="17"/>
  <c r="K33" i="17"/>
  <c r="K19" i="17"/>
  <c r="K18" i="17"/>
  <c r="K17" i="17"/>
  <c r="K24" i="17"/>
  <c r="K20" i="17"/>
  <c r="K76" i="17"/>
  <c r="K45" i="17"/>
  <c r="K41" i="17"/>
  <c r="K37" i="17"/>
  <c r="K27" i="17"/>
  <c r="K21" i="17"/>
  <c r="K44" i="17"/>
  <c r="K40" i="17"/>
  <c r="K36" i="17"/>
  <c r="K26" i="17"/>
  <c r="K22" i="17"/>
  <c r="K50" i="17"/>
  <c r="K43" i="17"/>
  <c r="K39" i="17"/>
  <c r="K35" i="17"/>
  <c r="K25" i="17"/>
  <c r="K81" i="17"/>
  <c r="K23" i="17"/>
  <c r="K16" i="17"/>
  <c r="K14" i="17"/>
  <c r="K13" i="17"/>
  <c r="K12" i="17"/>
  <c r="K11" i="17"/>
  <c r="K10" i="17"/>
  <c r="F19" i="18"/>
  <c r="D11" i="18" l="1"/>
  <c r="F11" i="18" s="1"/>
  <c r="J11" i="18" s="1"/>
  <c r="D105" i="18"/>
  <c r="F105" i="18" s="1"/>
  <c r="J154" i="17"/>
  <c r="L32" i="17"/>
  <c r="L31" i="17"/>
  <c r="L30" i="17"/>
  <c r="L29" i="17"/>
  <c r="M150" i="17"/>
  <c r="L123" i="17"/>
  <c r="L124" i="17"/>
  <c r="L125" i="17"/>
  <c r="L126" i="17"/>
  <c r="L127" i="17"/>
  <c r="D47" i="18" s="1"/>
  <c r="F47" i="18" s="1"/>
  <c r="L128" i="17"/>
  <c r="L129" i="17"/>
  <c r="L103" i="17"/>
  <c r="L104" i="17"/>
  <c r="L105" i="17"/>
  <c r="L106" i="17"/>
  <c r="L110" i="17"/>
  <c r="D46" i="18" s="1"/>
  <c r="F46" i="18" s="1"/>
  <c r="L112" i="17"/>
  <c r="L113" i="17"/>
  <c r="L114" i="17"/>
  <c r="L115" i="17"/>
  <c r="D42" i="18" s="1"/>
  <c r="F42" i="18" s="1"/>
  <c r="L116" i="17"/>
  <c r="L117" i="17"/>
  <c r="L118" i="17"/>
  <c r="L119" i="17"/>
  <c r="L120" i="17"/>
  <c r="L92" i="17"/>
  <c r="L93" i="17"/>
  <c r="L94" i="17"/>
  <c r="L95" i="17"/>
  <c r="L151" i="17"/>
  <c r="L149" i="17"/>
  <c r="L148" i="17"/>
  <c r="L147" i="17"/>
  <c r="L145" i="17"/>
  <c r="L144" i="17"/>
  <c r="L143" i="17"/>
  <c r="L141" i="17"/>
  <c r="L139" i="17"/>
  <c r="L138" i="17"/>
  <c r="L137" i="17"/>
  <c r="L135" i="17"/>
  <c r="L134" i="17"/>
  <c r="L122" i="17"/>
  <c r="L102" i="17"/>
  <c r="L99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97" i="17"/>
  <c r="L81" i="17"/>
  <c r="L60" i="17"/>
  <c r="L88" i="17"/>
  <c r="L53" i="17"/>
  <c r="L56" i="17"/>
  <c r="L86" i="17"/>
  <c r="L79" i="17"/>
  <c r="L51" i="17"/>
  <c r="L91" i="17"/>
  <c r="L84" i="17"/>
  <c r="L58" i="17"/>
  <c r="L80" i="17"/>
  <c r="L52" i="17"/>
  <c r="L55" i="17"/>
  <c r="L57" i="17"/>
  <c r="L50" i="17"/>
  <c r="L45" i="17"/>
  <c r="L44" i="17"/>
  <c r="L43" i="17"/>
  <c r="L42" i="17"/>
  <c r="L41" i="17"/>
  <c r="L40" i="17"/>
  <c r="L39" i="17"/>
  <c r="L38" i="17"/>
  <c r="L37" i="17"/>
  <c r="L36" i="17"/>
  <c r="L35" i="17"/>
  <c r="L33" i="17"/>
  <c r="L27" i="17"/>
  <c r="L26" i="17"/>
  <c r="L25" i="17"/>
  <c r="L24" i="17"/>
  <c r="L23" i="17"/>
  <c r="L22" i="17"/>
  <c r="L21" i="17"/>
  <c r="L20" i="17"/>
  <c r="L19" i="17"/>
  <c r="L18" i="17"/>
  <c r="L17" i="17"/>
  <c r="L89" i="17"/>
  <c r="L83" i="17"/>
  <c r="L16" i="17"/>
  <c r="L14" i="17"/>
  <c r="L13" i="17"/>
  <c r="L12" i="17"/>
  <c r="L11" i="17"/>
  <c r="L10" i="17"/>
  <c r="L28" i="17" l="1"/>
  <c r="D37" i="18" s="1"/>
  <c r="F37" i="18" s="1"/>
  <c r="M28" i="17"/>
  <c r="M31" i="17"/>
  <c r="M30" i="17"/>
  <c r="M32" i="17"/>
  <c r="M29" i="17"/>
  <c r="N150" i="17"/>
  <c r="M151" i="17"/>
  <c r="M149" i="17"/>
  <c r="M148" i="17"/>
  <c r="M147" i="17"/>
  <c r="M145" i="17"/>
  <c r="M144" i="17"/>
  <c r="M143" i="17"/>
  <c r="M141" i="17"/>
  <c r="M139" i="17"/>
  <c r="M138" i="17"/>
  <c r="M137" i="17"/>
  <c r="M135" i="17"/>
  <c r="M134" i="17"/>
  <c r="M122" i="17"/>
  <c r="M102" i="17"/>
  <c r="M123" i="17"/>
  <c r="M124" i="17"/>
  <c r="M125" i="17"/>
  <c r="M126" i="17"/>
  <c r="M127" i="17"/>
  <c r="M128" i="17"/>
  <c r="M129" i="17"/>
  <c r="M103" i="17"/>
  <c r="M104" i="17"/>
  <c r="M105" i="17"/>
  <c r="M106" i="17"/>
  <c r="M110" i="17"/>
  <c r="M112" i="17"/>
  <c r="M113" i="17"/>
  <c r="M116" i="17"/>
  <c r="M117" i="17"/>
  <c r="M118" i="17"/>
  <c r="M119" i="17"/>
  <c r="M120" i="17"/>
  <c r="M92" i="17"/>
  <c r="M93" i="17"/>
  <c r="M94" i="17"/>
  <c r="M95" i="17"/>
  <c r="M97" i="17"/>
  <c r="M91" i="17"/>
  <c r="M89" i="17"/>
  <c r="M88" i="17"/>
  <c r="M86" i="17"/>
  <c r="M84" i="17"/>
  <c r="M83" i="17"/>
  <c r="M61" i="17"/>
  <c r="M65" i="17"/>
  <c r="M69" i="17"/>
  <c r="M76" i="17"/>
  <c r="M73" i="17"/>
  <c r="M81" i="17"/>
  <c r="M99" i="17"/>
  <c r="M62" i="17"/>
  <c r="M66" i="17"/>
  <c r="M70" i="17"/>
  <c r="M75" i="17"/>
  <c r="M53" i="17"/>
  <c r="M56" i="17"/>
  <c r="M63" i="17"/>
  <c r="M67" i="17"/>
  <c r="M71" i="17"/>
  <c r="M78" i="17"/>
  <c r="M74" i="17"/>
  <c r="M79" i="17"/>
  <c r="M51" i="17"/>
  <c r="M50" i="17"/>
  <c r="M45" i="17"/>
  <c r="M44" i="17"/>
  <c r="M43" i="17"/>
  <c r="M42" i="17"/>
  <c r="M41" i="17"/>
  <c r="M40" i="17"/>
  <c r="M39" i="17"/>
  <c r="M38" i="17"/>
  <c r="M37" i="17"/>
  <c r="M36" i="17"/>
  <c r="M35" i="17"/>
  <c r="M33" i="17"/>
  <c r="M27" i="17"/>
  <c r="M26" i="17"/>
  <c r="M25" i="17"/>
  <c r="M23" i="17"/>
  <c r="M22" i="17"/>
  <c r="M21" i="17"/>
  <c r="M20" i="17"/>
  <c r="M19" i="17"/>
  <c r="M18" i="17"/>
  <c r="M17" i="17"/>
  <c r="M64" i="17"/>
  <c r="M68" i="17"/>
  <c r="M72" i="17"/>
  <c r="M77" i="17"/>
  <c r="M58" i="17"/>
  <c r="M60" i="17"/>
  <c r="M57" i="17"/>
  <c r="M52" i="17"/>
  <c r="M16" i="17"/>
  <c r="M14" i="17"/>
  <c r="M13" i="17"/>
  <c r="M12" i="17"/>
  <c r="M11" i="17"/>
  <c r="M10" i="17"/>
  <c r="M80" i="17"/>
  <c r="M55" i="17"/>
  <c r="D33" i="18"/>
  <c r="F33" i="18" s="1"/>
  <c r="D43" i="18"/>
  <c r="F43" i="18" s="1"/>
  <c r="D39" i="18"/>
  <c r="F39" i="18" s="1"/>
  <c r="D32" i="18"/>
  <c r="F32" i="18" s="1"/>
  <c r="D40" i="18"/>
  <c r="F40" i="18" s="1"/>
  <c r="D34" i="18"/>
  <c r="F34" i="18" s="1"/>
  <c r="D35" i="18"/>
  <c r="F35" i="18" s="1"/>
  <c r="D36" i="18"/>
  <c r="F36" i="18" s="1"/>
  <c r="D38" i="18"/>
  <c r="F38" i="18" s="1"/>
  <c r="D32" i="17"/>
  <c r="E32" i="17"/>
  <c r="M115" i="17" l="1"/>
  <c r="D164" i="17" s="1"/>
  <c r="M114" i="17"/>
  <c r="D166" i="17" s="1"/>
  <c r="M24" i="17"/>
  <c r="D163" i="17" s="1"/>
  <c r="N31" i="17"/>
  <c r="N30" i="17"/>
  <c r="N29" i="17"/>
  <c r="N28" i="17"/>
  <c r="N32" i="17"/>
  <c r="D31" i="18"/>
  <c r="F31" i="18" s="1"/>
  <c r="D41" i="18"/>
  <c r="F41" i="18" s="1"/>
  <c r="O150" i="17"/>
  <c r="N151" i="17"/>
  <c r="N149" i="17"/>
  <c r="N148" i="17"/>
  <c r="N147" i="17"/>
  <c r="N145" i="17"/>
  <c r="N144" i="17"/>
  <c r="N143" i="17"/>
  <c r="N141" i="17"/>
  <c r="N139" i="17"/>
  <c r="N138" i="17"/>
  <c r="N137" i="17"/>
  <c r="N135" i="17"/>
  <c r="N134" i="17"/>
  <c r="N122" i="17"/>
  <c r="N102" i="17"/>
  <c r="N124" i="17"/>
  <c r="N128" i="17"/>
  <c r="N104" i="17"/>
  <c r="N112" i="17"/>
  <c r="N99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51" i="17"/>
  <c r="N97" i="17"/>
  <c r="N125" i="17"/>
  <c r="N129" i="17"/>
  <c r="N105" i="17"/>
  <c r="N113" i="17"/>
  <c r="N116" i="17"/>
  <c r="N118" i="17"/>
  <c r="N120" i="17"/>
  <c r="N92" i="17"/>
  <c r="N94" i="17"/>
  <c r="N126" i="17"/>
  <c r="N106" i="17"/>
  <c r="N114" i="17"/>
  <c r="N91" i="17"/>
  <c r="N89" i="17"/>
  <c r="N88" i="17"/>
  <c r="N86" i="17"/>
  <c r="N84" i="17"/>
  <c r="N83" i="17"/>
  <c r="N123" i="17"/>
  <c r="N127" i="17"/>
  <c r="N103" i="17"/>
  <c r="N110" i="17"/>
  <c r="N115" i="17"/>
  <c r="N117" i="17"/>
  <c r="N119" i="17"/>
  <c r="N93" i="17"/>
  <c r="N95" i="17"/>
  <c r="N52" i="17"/>
  <c r="N55" i="17"/>
  <c r="N57" i="17"/>
  <c r="N53" i="17"/>
  <c r="N56" i="17"/>
  <c r="N50" i="17"/>
  <c r="N45" i="17"/>
  <c r="N44" i="17"/>
  <c r="N43" i="17"/>
  <c r="N42" i="17"/>
  <c r="N41" i="17"/>
  <c r="N40" i="17"/>
  <c r="N39" i="17"/>
  <c r="N38" i="17"/>
  <c r="N37" i="17"/>
  <c r="N36" i="17"/>
  <c r="N35" i="17"/>
  <c r="N33" i="17"/>
  <c r="N27" i="17"/>
  <c r="N26" i="17"/>
  <c r="N25" i="17"/>
  <c r="N24" i="17"/>
  <c r="N23" i="17"/>
  <c r="N22" i="17"/>
  <c r="N21" i="17"/>
  <c r="N20" i="17"/>
  <c r="N60" i="17"/>
  <c r="N58" i="17"/>
  <c r="N16" i="17"/>
  <c r="N14" i="17"/>
  <c r="N13" i="17"/>
  <c r="N12" i="17"/>
  <c r="N11" i="17"/>
  <c r="N10" i="17"/>
  <c r="N19" i="17"/>
  <c r="N18" i="17"/>
  <c r="N17" i="17"/>
  <c r="F30" i="18" l="1"/>
  <c r="D30" i="18"/>
  <c r="O32" i="17"/>
  <c r="O31" i="17"/>
  <c r="O30" i="17"/>
  <c r="O29" i="17"/>
  <c r="O28" i="17"/>
  <c r="L154" i="17"/>
  <c r="P150" i="17"/>
  <c r="O123" i="17"/>
  <c r="O124" i="17"/>
  <c r="O125" i="17"/>
  <c r="O126" i="17"/>
  <c r="O127" i="17"/>
  <c r="O128" i="17"/>
  <c r="O129" i="17"/>
  <c r="O103" i="17"/>
  <c r="O104" i="17"/>
  <c r="O105" i="17"/>
  <c r="O106" i="17"/>
  <c r="O110" i="17"/>
  <c r="O112" i="17"/>
  <c r="O113" i="17"/>
  <c r="O114" i="17"/>
  <c r="O115" i="17"/>
  <c r="O116" i="17"/>
  <c r="O117" i="17"/>
  <c r="O118" i="17"/>
  <c r="O119" i="17"/>
  <c r="O120" i="17"/>
  <c r="O92" i="17"/>
  <c r="O93" i="17"/>
  <c r="O94" i="17"/>
  <c r="O95" i="17"/>
  <c r="O151" i="17"/>
  <c r="O149" i="17"/>
  <c r="O148" i="17"/>
  <c r="O147" i="17"/>
  <c r="O145" i="17"/>
  <c r="O144" i="17"/>
  <c r="O143" i="17"/>
  <c r="O141" i="17"/>
  <c r="O139" i="17"/>
  <c r="O138" i="17"/>
  <c r="O137" i="17"/>
  <c r="O135" i="17"/>
  <c r="O134" i="17"/>
  <c r="O122" i="17"/>
  <c r="O102" i="17"/>
  <c r="O99" i="17"/>
  <c r="O61" i="17"/>
  <c r="O62" i="17"/>
  <c r="O63" i="17"/>
  <c r="O64" i="17"/>
  <c r="O65" i="17"/>
  <c r="O66" i="17"/>
  <c r="O67" i="17"/>
  <c r="O68" i="17"/>
  <c r="O69" i="17"/>
  <c r="D65" i="18" s="1"/>
  <c r="F65" i="18" s="1"/>
  <c r="O70" i="17"/>
  <c r="O71" i="17"/>
  <c r="O72" i="17"/>
  <c r="O73" i="17"/>
  <c r="O74" i="17"/>
  <c r="O75" i="17"/>
  <c r="O76" i="17"/>
  <c r="O77" i="17"/>
  <c r="O78" i="17"/>
  <c r="O79" i="17"/>
  <c r="O80" i="17"/>
  <c r="O81" i="17"/>
  <c r="O51" i="17"/>
  <c r="O52" i="17"/>
  <c r="O53" i="17"/>
  <c r="O55" i="17"/>
  <c r="O56" i="17"/>
  <c r="O57" i="17"/>
  <c r="O97" i="17"/>
  <c r="O91" i="17"/>
  <c r="O89" i="17"/>
  <c r="O88" i="17"/>
  <c r="O86" i="17"/>
  <c r="O84" i="17"/>
  <c r="O83" i="17"/>
  <c r="O58" i="17"/>
  <c r="O50" i="17"/>
  <c r="O45" i="17"/>
  <c r="O44" i="17"/>
  <c r="O43" i="17"/>
  <c r="O42" i="17"/>
  <c r="O41" i="17"/>
  <c r="O40" i="17"/>
  <c r="O39" i="17"/>
  <c r="O38" i="17"/>
  <c r="O37" i="17"/>
  <c r="O36" i="17"/>
  <c r="O35" i="17"/>
  <c r="O33" i="17"/>
  <c r="O27" i="17"/>
  <c r="O26" i="17"/>
  <c r="O25" i="17"/>
  <c r="O60" i="17"/>
  <c r="O24" i="17"/>
  <c r="O20" i="17"/>
  <c r="O21" i="17"/>
  <c r="O16" i="17"/>
  <c r="O14" i="17"/>
  <c r="O13" i="17"/>
  <c r="D56" i="18" s="1"/>
  <c r="F56" i="18" s="1"/>
  <c r="O12" i="17"/>
  <c r="O11" i="17"/>
  <c r="O10" i="17"/>
  <c r="O22" i="17"/>
  <c r="O23" i="17"/>
  <c r="O19" i="17"/>
  <c r="O18" i="17"/>
  <c r="O17" i="17"/>
  <c r="D48" i="18"/>
  <c r="F48" i="18" s="1"/>
  <c r="D50" i="18"/>
  <c r="F50" i="18" s="1"/>
  <c r="D49" i="18"/>
  <c r="F49" i="18" s="1"/>
  <c r="P32" i="17" l="1"/>
  <c r="P31" i="17"/>
  <c r="P30" i="17"/>
  <c r="P29" i="17"/>
  <c r="P28" i="17"/>
  <c r="Q150" i="17"/>
  <c r="P123" i="17"/>
  <c r="P124" i="17"/>
  <c r="P125" i="17"/>
  <c r="P126" i="17"/>
  <c r="P127" i="17"/>
  <c r="P128" i="17"/>
  <c r="P129" i="17"/>
  <c r="P103" i="17"/>
  <c r="P104" i="17"/>
  <c r="P105" i="17"/>
  <c r="P106" i="17"/>
  <c r="P110" i="17"/>
  <c r="P112" i="17"/>
  <c r="P113" i="17"/>
  <c r="P114" i="17"/>
  <c r="P115" i="17"/>
  <c r="P116" i="17"/>
  <c r="P117" i="17"/>
  <c r="P118" i="17"/>
  <c r="P119" i="17"/>
  <c r="P120" i="17"/>
  <c r="P92" i="17"/>
  <c r="P93" i="17"/>
  <c r="P94" i="17"/>
  <c r="P95" i="17"/>
  <c r="P97" i="17"/>
  <c r="P151" i="17"/>
  <c r="P149" i="17"/>
  <c r="P148" i="17"/>
  <c r="P147" i="17"/>
  <c r="P145" i="17"/>
  <c r="P144" i="17"/>
  <c r="P143" i="17"/>
  <c r="P141" i="17"/>
  <c r="P139" i="17"/>
  <c r="P138" i="17"/>
  <c r="P137" i="17"/>
  <c r="P135" i="17"/>
  <c r="P134" i="17"/>
  <c r="P122" i="17"/>
  <c r="P99" i="17"/>
  <c r="P61" i="17"/>
  <c r="P62" i="17"/>
  <c r="P63" i="17"/>
  <c r="D80" i="18" s="1"/>
  <c r="F80" i="18" s="1"/>
  <c r="P64" i="17"/>
  <c r="P65" i="17"/>
  <c r="P66" i="17"/>
  <c r="P67" i="17"/>
  <c r="P68" i="17"/>
  <c r="P69" i="17"/>
  <c r="D82" i="18" s="1"/>
  <c r="F82" i="18" s="1"/>
  <c r="P70" i="17"/>
  <c r="P71" i="17"/>
  <c r="P72" i="17"/>
  <c r="P73" i="17"/>
  <c r="P74" i="17"/>
  <c r="P75" i="17"/>
  <c r="P76" i="17"/>
  <c r="P77" i="17"/>
  <c r="P78" i="17"/>
  <c r="P91" i="17"/>
  <c r="P89" i="17"/>
  <c r="P88" i="17"/>
  <c r="P86" i="17"/>
  <c r="P84" i="17"/>
  <c r="P83" i="17"/>
  <c r="P60" i="17"/>
  <c r="P80" i="17"/>
  <c r="P52" i="17"/>
  <c r="P55" i="17"/>
  <c r="P57" i="17"/>
  <c r="D76" i="18" s="1"/>
  <c r="F76" i="18" s="1"/>
  <c r="P58" i="17"/>
  <c r="P81" i="17"/>
  <c r="P50" i="17"/>
  <c r="P45" i="17"/>
  <c r="P44" i="17"/>
  <c r="P43" i="17"/>
  <c r="P42" i="17"/>
  <c r="P41" i="17"/>
  <c r="P40" i="17"/>
  <c r="P39" i="17"/>
  <c r="P38" i="17"/>
  <c r="P37" i="17"/>
  <c r="P36" i="17"/>
  <c r="P35" i="17"/>
  <c r="P33" i="17"/>
  <c r="P27" i="17"/>
  <c r="P26" i="17"/>
  <c r="P25" i="17"/>
  <c r="P24" i="17"/>
  <c r="P23" i="17"/>
  <c r="P22" i="17"/>
  <c r="P21" i="17"/>
  <c r="P20" i="17"/>
  <c r="P19" i="17"/>
  <c r="P18" i="17"/>
  <c r="P17" i="17"/>
  <c r="P102" i="17"/>
  <c r="P53" i="17"/>
  <c r="D74" i="18" s="1"/>
  <c r="F74" i="18" s="1"/>
  <c r="P56" i="17"/>
  <c r="P79" i="17"/>
  <c r="P51" i="17"/>
  <c r="P16" i="17"/>
  <c r="P14" i="17"/>
  <c r="P13" i="17"/>
  <c r="D72" i="18" s="1"/>
  <c r="F72" i="18" s="1"/>
  <c r="P12" i="17"/>
  <c r="P11" i="17"/>
  <c r="P10" i="17"/>
  <c r="D61" i="18"/>
  <c r="F61" i="18" s="1"/>
  <c r="D55" i="18"/>
  <c r="F55" i="18" s="1"/>
  <c r="D54" i="18"/>
  <c r="F54" i="18" s="1"/>
  <c r="M154" i="17"/>
  <c r="Q31" i="17" l="1"/>
  <c r="Q28" i="17"/>
  <c r="Q32" i="17"/>
  <c r="Q30" i="17"/>
  <c r="Q29" i="17"/>
  <c r="D62" i="18"/>
  <c r="F62" i="18" s="1"/>
  <c r="F60" i="18" s="1"/>
  <c r="D59" i="18"/>
  <c r="F59" i="18" s="1"/>
  <c r="N154" i="17"/>
  <c r="R150" i="17"/>
  <c r="Q151" i="17"/>
  <c r="Q149" i="17"/>
  <c r="Q148" i="17"/>
  <c r="Q147" i="17"/>
  <c r="Q145" i="17"/>
  <c r="Q144" i="17"/>
  <c r="Q143" i="17"/>
  <c r="Q141" i="17"/>
  <c r="Q139" i="17"/>
  <c r="Q138" i="17"/>
  <c r="Q135" i="17"/>
  <c r="Q122" i="17"/>
  <c r="Q102" i="17"/>
  <c r="Q123" i="17"/>
  <c r="Q124" i="17"/>
  <c r="Q125" i="17"/>
  <c r="Q126" i="17"/>
  <c r="Q127" i="17"/>
  <c r="Q128" i="17"/>
  <c r="Q129" i="17"/>
  <c r="Q103" i="17"/>
  <c r="Q104" i="17"/>
  <c r="Q105" i="17"/>
  <c r="Q106" i="17"/>
  <c r="Q110" i="17"/>
  <c r="Q112" i="17"/>
  <c r="Q113" i="17"/>
  <c r="D94" i="18" s="1"/>
  <c r="F94" i="18" s="1"/>
  <c r="Q114" i="17"/>
  <c r="Q91" i="17"/>
  <c r="Q89" i="17"/>
  <c r="Q88" i="17"/>
  <c r="Q86" i="17"/>
  <c r="Q84" i="17"/>
  <c r="Q83" i="17"/>
  <c r="Q116" i="17"/>
  <c r="Q118" i="17"/>
  <c r="Q120" i="17"/>
  <c r="Q92" i="17"/>
  <c r="Q94" i="17"/>
  <c r="Q97" i="17"/>
  <c r="Q99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51" i="17"/>
  <c r="Q52" i="17"/>
  <c r="Q53" i="17"/>
  <c r="Q55" i="17"/>
  <c r="Q56" i="17"/>
  <c r="Q115" i="17"/>
  <c r="Q50" i="17"/>
  <c r="Q45" i="17"/>
  <c r="Q44" i="17"/>
  <c r="Q43" i="17"/>
  <c r="Q42" i="17"/>
  <c r="Q41" i="17"/>
  <c r="Q40" i="17"/>
  <c r="Q39" i="17"/>
  <c r="Q38" i="17"/>
  <c r="Q37" i="17"/>
  <c r="Q36" i="17"/>
  <c r="Q35" i="17"/>
  <c r="Q33" i="17"/>
  <c r="Q27" i="17"/>
  <c r="Q26" i="17"/>
  <c r="Q25" i="17"/>
  <c r="Q24" i="17"/>
  <c r="Q23" i="17"/>
  <c r="Q22" i="17"/>
  <c r="Q21" i="17"/>
  <c r="Q20" i="17"/>
  <c r="Q19" i="17"/>
  <c r="Q18" i="17"/>
  <c r="Q17" i="17"/>
  <c r="Q117" i="17"/>
  <c r="Q57" i="17"/>
  <c r="Q58" i="17"/>
  <c r="Q119" i="17"/>
  <c r="Q60" i="17"/>
  <c r="Q93" i="17"/>
  <c r="Q95" i="17"/>
  <c r="Q16" i="17"/>
  <c r="Q14" i="17"/>
  <c r="Q13" i="17"/>
  <c r="Q12" i="17"/>
  <c r="Q11" i="17"/>
  <c r="Q10" i="17"/>
  <c r="D90" i="18"/>
  <c r="F90" i="18" s="1"/>
  <c r="D86" i="18"/>
  <c r="F86" i="18" s="1"/>
  <c r="D84" i="18"/>
  <c r="F84" i="18" s="1"/>
  <c r="D85" i="18"/>
  <c r="F85" i="18" s="1"/>
  <c r="D83" i="18"/>
  <c r="F83" i="18" s="1"/>
  <c r="D81" i="18"/>
  <c r="F81" i="18" s="1"/>
  <c r="D75" i="18"/>
  <c r="D73" i="18"/>
  <c r="F73" i="18" s="1"/>
  <c r="D71" i="18"/>
  <c r="F71" i="18" s="1"/>
  <c r="D162" i="17" l="1"/>
  <c r="D60" i="18"/>
  <c r="R31" i="17"/>
  <c r="R29" i="17"/>
  <c r="R32" i="17"/>
  <c r="R30" i="17"/>
  <c r="R28" i="17"/>
  <c r="O154" i="17"/>
  <c r="D88" i="18"/>
  <c r="F88" i="18" s="1"/>
  <c r="F87" i="18" s="1"/>
  <c r="D79" i="18"/>
  <c r="F79" i="18" s="1"/>
  <c r="D78" i="18"/>
  <c r="F78" i="18" s="1"/>
  <c r="S150" i="17"/>
  <c r="R151" i="17"/>
  <c r="R149" i="17"/>
  <c r="R148" i="17"/>
  <c r="R147" i="17"/>
  <c r="R145" i="17"/>
  <c r="R144" i="17"/>
  <c r="R143" i="17"/>
  <c r="R141" i="17"/>
  <c r="R139" i="17"/>
  <c r="R138" i="17"/>
  <c r="R137" i="17"/>
  <c r="R135" i="17"/>
  <c r="R134" i="17"/>
  <c r="R122" i="17"/>
  <c r="R102" i="17"/>
  <c r="R123" i="17"/>
  <c r="R124" i="17"/>
  <c r="D102" i="18" s="1"/>
  <c r="F102" i="18" s="1"/>
  <c r="R125" i="17"/>
  <c r="R126" i="17"/>
  <c r="R127" i="17"/>
  <c r="R128" i="17"/>
  <c r="R129" i="17"/>
  <c r="R103" i="17"/>
  <c r="R104" i="17"/>
  <c r="R105" i="17"/>
  <c r="R106" i="17"/>
  <c r="R110" i="17"/>
  <c r="R112" i="17"/>
  <c r="R113" i="17"/>
  <c r="D98" i="18" s="1"/>
  <c r="F98" i="18" s="1"/>
  <c r="R114" i="17"/>
  <c r="R115" i="17"/>
  <c r="R116" i="17"/>
  <c r="R117" i="17"/>
  <c r="R118" i="17"/>
  <c r="R119" i="17"/>
  <c r="R120" i="17"/>
  <c r="R92" i="17"/>
  <c r="R93" i="17"/>
  <c r="R94" i="17"/>
  <c r="R95" i="17"/>
  <c r="R91" i="17"/>
  <c r="R89" i="17"/>
  <c r="R88" i="17"/>
  <c r="R86" i="17"/>
  <c r="R84" i="17"/>
  <c r="R83" i="17"/>
  <c r="R60" i="17"/>
  <c r="R97" i="17"/>
  <c r="R99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50" i="17"/>
  <c r="R45" i="17"/>
  <c r="R44" i="17"/>
  <c r="R43" i="17"/>
  <c r="R42" i="17"/>
  <c r="R41" i="17"/>
  <c r="R40" i="17"/>
  <c r="R39" i="17"/>
  <c r="R38" i="17"/>
  <c r="R37" i="17"/>
  <c r="R36" i="17"/>
  <c r="R35" i="17"/>
  <c r="R33" i="17"/>
  <c r="R27" i="17"/>
  <c r="R26" i="17"/>
  <c r="R25" i="17"/>
  <c r="R24" i="17"/>
  <c r="R76" i="17"/>
  <c r="R80" i="17"/>
  <c r="R73" i="17"/>
  <c r="R52" i="17"/>
  <c r="R55" i="17"/>
  <c r="R75" i="17"/>
  <c r="R81" i="17"/>
  <c r="R57" i="17"/>
  <c r="R58" i="17"/>
  <c r="R78" i="17"/>
  <c r="R74" i="17"/>
  <c r="R53" i="17"/>
  <c r="R56" i="17"/>
  <c r="R16" i="17"/>
  <c r="R14" i="17"/>
  <c r="R13" i="17"/>
  <c r="R12" i="17"/>
  <c r="R11" i="17"/>
  <c r="R10" i="17"/>
  <c r="R21" i="17"/>
  <c r="R51" i="17"/>
  <c r="R77" i="17"/>
  <c r="R22" i="17"/>
  <c r="R79" i="17"/>
  <c r="R23" i="17"/>
  <c r="R19" i="17"/>
  <c r="R18" i="17"/>
  <c r="R17" i="17"/>
  <c r="R20" i="17"/>
  <c r="D100" i="18" l="1"/>
  <c r="F100" i="18" s="1"/>
  <c r="F97" i="18" s="1"/>
  <c r="F77" i="18"/>
  <c r="G30" i="18"/>
  <c r="R154" i="17"/>
  <c r="D174" i="17" s="1"/>
  <c r="S32" i="17"/>
  <c r="S31" i="17"/>
  <c r="S30" i="17"/>
  <c r="S29" i="17"/>
  <c r="S28" i="17"/>
  <c r="D87" i="18"/>
  <c r="D95" i="18"/>
  <c r="P154" i="17"/>
  <c r="D170" i="17" s="1"/>
  <c r="D77" i="18"/>
  <c r="T150" i="17"/>
  <c r="S123" i="17"/>
  <c r="S124" i="17"/>
  <c r="S125" i="17"/>
  <c r="S126" i="17"/>
  <c r="S127" i="17"/>
  <c r="S128" i="17"/>
  <c r="S129" i="17"/>
  <c r="S103" i="17"/>
  <c r="S104" i="17"/>
  <c r="S105" i="17"/>
  <c r="S106" i="17"/>
  <c r="S110" i="17"/>
  <c r="S112" i="17"/>
  <c r="S113" i="17"/>
  <c r="S114" i="17"/>
  <c r="S115" i="17"/>
  <c r="S116" i="17"/>
  <c r="S117" i="17"/>
  <c r="S118" i="17"/>
  <c r="S119" i="17"/>
  <c r="S120" i="17"/>
  <c r="S92" i="17"/>
  <c r="S93" i="17"/>
  <c r="S94" i="17"/>
  <c r="S95" i="17"/>
  <c r="S148" i="17"/>
  <c r="S143" i="17"/>
  <c r="S137" i="17"/>
  <c r="S91" i="17"/>
  <c r="S89" i="17"/>
  <c r="S88" i="17"/>
  <c r="S86" i="17"/>
  <c r="S84" i="17"/>
  <c r="S83" i="17"/>
  <c r="S60" i="17"/>
  <c r="S147" i="17"/>
  <c r="S141" i="17"/>
  <c r="S135" i="17"/>
  <c r="S151" i="17"/>
  <c r="S145" i="17"/>
  <c r="S139" i="17"/>
  <c r="S134" i="17"/>
  <c r="S122" i="17"/>
  <c r="S97" i="17"/>
  <c r="S99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149" i="17"/>
  <c r="S144" i="17"/>
  <c r="S138" i="17"/>
  <c r="S102" i="17"/>
  <c r="S77" i="17"/>
  <c r="S79" i="17"/>
  <c r="S51" i="17"/>
  <c r="S76" i="17"/>
  <c r="S80" i="17"/>
  <c r="S52" i="17"/>
  <c r="S55" i="17"/>
  <c r="S75" i="17"/>
  <c r="S81" i="17"/>
  <c r="S57" i="17"/>
  <c r="S58" i="17"/>
  <c r="S78" i="17"/>
  <c r="S56" i="17"/>
  <c r="S21" i="17"/>
  <c r="S45" i="17"/>
  <c r="S41" i="17"/>
  <c r="S37" i="17"/>
  <c r="S27" i="17"/>
  <c r="S22" i="17"/>
  <c r="S44" i="17"/>
  <c r="S40" i="17"/>
  <c r="S36" i="17"/>
  <c r="S26" i="17"/>
  <c r="S23" i="17"/>
  <c r="S19" i="17"/>
  <c r="S18" i="17"/>
  <c r="S17" i="17"/>
  <c r="S53" i="17"/>
  <c r="S50" i="17"/>
  <c r="S43" i="17"/>
  <c r="S39" i="17"/>
  <c r="S35" i="17"/>
  <c r="S25" i="17"/>
  <c r="S20" i="17"/>
  <c r="S42" i="17"/>
  <c r="S38" i="17"/>
  <c r="S33" i="17"/>
  <c r="S24" i="17"/>
  <c r="S16" i="17"/>
  <c r="S14" i="17"/>
  <c r="S13" i="17"/>
  <c r="S12" i="17"/>
  <c r="S11" i="17"/>
  <c r="S10" i="17"/>
  <c r="F16" i="18"/>
  <c r="F20" i="18"/>
  <c r="D93" i="18" l="1"/>
  <c r="T32" i="17"/>
  <c r="T31" i="17"/>
  <c r="T30" i="17"/>
  <c r="T29" i="17"/>
  <c r="T28" i="17"/>
  <c r="K96" i="18"/>
  <c r="K98" i="18" s="1"/>
  <c r="U150" i="17"/>
  <c r="T123" i="17"/>
  <c r="T124" i="17"/>
  <c r="T125" i="17"/>
  <c r="T126" i="17"/>
  <c r="T127" i="17"/>
  <c r="T128" i="17"/>
  <c r="T129" i="17"/>
  <c r="T103" i="17"/>
  <c r="T104" i="17"/>
  <c r="T105" i="17"/>
  <c r="T106" i="17"/>
  <c r="T110" i="17"/>
  <c r="T112" i="17"/>
  <c r="T113" i="17"/>
  <c r="T114" i="17"/>
  <c r="T115" i="17"/>
  <c r="T116" i="17"/>
  <c r="T117" i="17"/>
  <c r="T118" i="17"/>
  <c r="T119" i="17"/>
  <c r="T120" i="17"/>
  <c r="T92" i="17"/>
  <c r="T93" i="17"/>
  <c r="T94" i="17"/>
  <c r="T95" i="17"/>
  <c r="T151" i="17"/>
  <c r="T149" i="17"/>
  <c r="T148" i="17"/>
  <c r="T147" i="17"/>
  <c r="T145" i="17"/>
  <c r="T144" i="17"/>
  <c r="T143" i="17"/>
  <c r="T141" i="17"/>
  <c r="T139" i="17"/>
  <c r="T138" i="17"/>
  <c r="T137" i="17"/>
  <c r="T135" i="17"/>
  <c r="T134" i="17"/>
  <c r="T122" i="17"/>
  <c r="T102" i="17"/>
  <c r="T97" i="17"/>
  <c r="T99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88" i="17"/>
  <c r="T53" i="17"/>
  <c r="T56" i="17"/>
  <c r="T79" i="17"/>
  <c r="T51" i="17"/>
  <c r="T86" i="17"/>
  <c r="T80" i="17"/>
  <c r="T60" i="17"/>
  <c r="T91" i="17"/>
  <c r="T84" i="17"/>
  <c r="T52" i="17"/>
  <c r="T55" i="17"/>
  <c r="T81" i="17"/>
  <c r="T57" i="17"/>
  <c r="T58" i="17"/>
  <c r="T89" i="17"/>
  <c r="T83" i="17"/>
  <c r="T50" i="17"/>
  <c r="T45" i="17"/>
  <c r="T44" i="17"/>
  <c r="T43" i="17"/>
  <c r="T42" i="17"/>
  <c r="T41" i="17"/>
  <c r="T40" i="17"/>
  <c r="T39" i="17"/>
  <c r="T38" i="17"/>
  <c r="T37" i="17"/>
  <c r="T36" i="17"/>
  <c r="T35" i="17"/>
  <c r="T33" i="17"/>
  <c r="T27" i="17"/>
  <c r="T26" i="17"/>
  <c r="T25" i="17"/>
  <c r="T24" i="17"/>
  <c r="T23" i="17"/>
  <c r="T22" i="17"/>
  <c r="T21" i="17"/>
  <c r="T20" i="17"/>
  <c r="T19" i="17"/>
  <c r="T18" i="17"/>
  <c r="T17" i="17"/>
  <c r="T78" i="17"/>
  <c r="T16" i="17"/>
  <c r="T14" i="17"/>
  <c r="T13" i="17"/>
  <c r="T12" i="17"/>
  <c r="T11" i="17"/>
  <c r="T10" i="17"/>
  <c r="Q154" i="17"/>
  <c r="D97" i="18"/>
  <c r="E66" i="13"/>
  <c r="D66" i="13"/>
  <c r="E33" i="13"/>
  <c r="D33" i="13"/>
  <c r="E31" i="17"/>
  <c r="D31" i="17"/>
  <c r="I254" i="8"/>
  <c r="I258" i="8" s="1"/>
  <c r="J248" i="8"/>
  <c r="I248" i="8"/>
  <c r="J241" i="8"/>
  <c r="I241" i="8"/>
  <c r="I233" i="8"/>
  <c r="J222" i="8"/>
  <c r="I222" i="8"/>
  <c r="L208" i="8"/>
  <c r="K208" i="8"/>
  <c r="J208" i="8"/>
  <c r="I208" i="8"/>
  <c r="K198" i="8"/>
  <c r="J198" i="8"/>
  <c r="I198" i="8"/>
  <c r="L197" i="8"/>
  <c r="L198" i="8" s="1"/>
  <c r="L193" i="8"/>
  <c r="K193" i="8"/>
  <c r="J193" i="8"/>
  <c r="I193" i="8"/>
  <c r="L185" i="8"/>
  <c r="K185" i="8"/>
  <c r="J185" i="8"/>
  <c r="I185" i="8"/>
  <c r="I187" i="8" s="1"/>
  <c r="D179" i="8"/>
  <c r="K177" i="8"/>
  <c r="J177" i="8"/>
  <c r="I177" i="8"/>
  <c r="I179" i="8" s="1"/>
  <c r="L175" i="8"/>
  <c r="L174" i="8"/>
  <c r="L173" i="8"/>
  <c r="L172" i="8"/>
  <c r="L171" i="8"/>
  <c r="L170" i="8"/>
  <c r="D167" i="8"/>
  <c r="D165" i="8"/>
  <c r="M164" i="8"/>
  <c r="M165" i="8" s="1"/>
  <c r="L164" i="8"/>
  <c r="L165" i="8" s="1"/>
  <c r="D164" i="8"/>
  <c r="J163" i="8"/>
  <c r="J162" i="8"/>
  <c r="I162" i="8"/>
  <c r="H162" i="8"/>
  <c r="J161" i="8"/>
  <c r="I161" i="8"/>
  <c r="D161" i="8"/>
  <c r="Q160" i="8"/>
  <c r="P160" i="8"/>
  <c r="J160" i="8"/>
  <c r="I160" i="8"/>
  <c r="Q159" i="8"/>
  <c r="P159" i="8"/>
  <c r="J159" i="8"/>
  <c r="I159" i="8"/>
  <c r="H159" i="8"/>
  <c r="X155" i="8"/>
  <c r="W155" i="8"/>
  <c r="V155" i="8"/>
  <c r="T155" i="8"/>
  <c r="R155" i="8"/>
  <c r="D175" i="8" s="1"/>
  <c r="Q155" i="8"/>
  <c r="D174" i="8" s="1"/>
  <c r="P155" i="8"/>
  <c r="D171" i="8" s="1"/>
  <c r="O155" i="8"/>
  <c r="D170" i="8" s="1"/>
  <c r="N155" i="8"/>
  <c r="M155" i="8"/>
  <c r="L155" i="8"/>
  <c r="K155" i="8"/>
  <c r="J155" i="8"/>
  <c r="E144" i="17"/>
  <c r="E137" i="17"/>
  <c r="E134" i="17"/>
  <c r="E30" i="17"/>
  <c r="E29" i="17"/>
  <c r="X4" i="8"/>
  <c r="C4" i="8"/>
  <c r="X4" i="6"/>
  <c r="C4" i="6"/>
  <c r="D92" i="18" l="1"/>
  <c r="G97" i="18"/>
  <c r="D173" i="17"/>
  <c r="F33" i="13"/>
  <c r="G33" i="13" s="1"/>
  <c r="D162" i="8"/>
  <c r="K194" i="8"/>
  <c r="E45" i="13"/>
  <c r="E38" i="13"/>
  <c r="E11" i="13"/>
  <c r="E11" i="17" s="1"/>
  <c r="E21" i="13"/>
  <c r="E21" i="17" s="1"/>
  <c r="E42" i="13"/>
  <c r="E55" i="13"/>
  <c r="E67" i="13"/>
  <c r="E75" i="13"/>
  <c r="E86" i="13"/>
  <c r="E96" i="13"/>
  <c r="E119" i="13"/>
  <c r="E145" i="13"/>
  <c r="J164" i="8"/>
  <c r="J166" i="8" s="1"/>
  <c r="D125" i="13"/>
  <c r="D125" i="17" s="1"/>
  <c r="E12" i="13"/>
  <c r="E12" i="17" s="1"/>
  <c r="E35" i="13"/>
  <c r="E35" i="17" s="1"/>
  <c r="E57" i="13"/>
  <c r="E68" i="13"/>
  <c r="E68" i="17" s="1"/>
  <c r="E76" i="13"/>
  <c r="E76" i="17" s="1"/>
  <c r="E88" i="13"/>
  <c r="E88" i="17" s="1"/>
  <c r="E97" i="13"/>
  <c r="E112" i="13"/>
  <c r="E112" i="17" s="1"/>
  <c r="E122" i="13"/>
  <c r="E135" i="13"/>
  <c r="E135" i="17" s="1"/>
  <c r="E147" i="13"/>
  <c r="D163" i="8"/>
  <c r="E125" i="13"/>
  <c r="E22" i="13"/>
  <c r="E43" i="13"/>
  <c r="E43" i="17" s="1"/>
  <c r="E13" i="13"/>
  <c r="E23" i="13"/>
  <c r="E36" i="13"/>
  <c r="E44" i="13"/>
  <c r="E60" i="13"/>
  <c r="E69" i="13"/>
  <c r="E69" i="17" s="1"/>
  <c r="E77" i="13"/>
  <c r="E89" i="13"/>
  <c r="E99" i="13"/>
  <c r="E113" i="13"/>
  <c r="E123" i="13"/>
  <c r="E123" i="17" s="1"/>
  <c r="E148" i="13"/>
  <c r="L194" i="8"/>
  <c r="D56" i="13"/>
  <c r="D56" i="17" s="1"/>
  <c r="E78" i="13"/>
  <c r="E78" i="17" s="1"/>
  <c r="E91" i="13"/>
  <c r="E91" i="17" s="1"/>
  <c r="E102" i="13"/>
  <c r="E102" i="17" s="1"/>
  <c r="E114" i="13"/>
  <c r="E114" i="17" s="1"/>
  <c r="E124" i="13"/>
  <c r="E124" i="17" s="1"/>
  <c r="E138" i="13"/>
  <c r="E138" i="17" s="1"/>
  <c r="E149" i="13"/>
  <c r="E149" i="17" s="1"/>
  <c r="I164" i="8"/>
  <c r="I166" i="8" s="1"/>
  <c r="E56" i="13"/>
  <c r="E56" i="17" s="1"/>
  <c r="E37" i="13"/>
  <c r="E25" i="13"/>
  <c r="E71" i="13"/>
  <c r="E103" i="13"/>
  <c r="E115" i="13"/>
  <c r="E126" i="13"/>
  <c r="E139" i="13"/>
  <c r="E139" i="17" s="1"/>
  <c r="D17" i="13"/>
  <c r="D17" i="17" s="1"/>
  <c r="E61" i="13"/>
  <c r="E17" i="13"/>
  <c r="E17" i="17" s="1"/>
  <c r="E14" i="13"/>
  <c r="E70" i="13"/>
  <c r="E62" i="13"/>
  <c r="E92" i="13"/>
  <c r="E26" i="13"/>
  <c r="E51" i="13"/>
  <c r="E72" i="13"/>
  <c r="E72" i="17" s="1"/>
  <c r="E80" i="13"/>
  <c r="E80" i="17" s="1"/>
  <c r="E104" i="13"/>
  <c r="E127" i="13"/>
  <c r="E127" i="17" s="1"/>
  <c r="E19" i="13"/>
  <c r="E27" i="13"/>
  <c r="E40" i="13"/>
  <c r="E52" i="13"/>
  <c r="E64" i="13"/>
  <c r="E73" i="13"/>
  <c r="E73" i="17" s="1"/>
  <c r="E83" i="13"/>
  <c r="E94" i="13"/>
  <c r="E105" i="13"/>
  <c r="E117" i="13"/>
  <c r="E128" i="13"/>
  <c r="E143" i="13"/>
  <c r="D120" i="13"/>
  <c r="E24" i="13"/>
  <c r="E16" i="13"/>
  <c r="E50" i="13"/>
  <c r="E79" i="13"/>
  <c r="E18" i="13"/>
  <c r="E39" i="13"/>
  <c r="E63" i="13"/>
  <c r="E93" i="13"/>
  <c r="E116" i="13"/>
  <c r="E116" i="17" s="1"/>
  <c r="E141" i="13"/>
  <c r="E10" i="13"/>
  <c r="E20" i="13"/>
  <c r="E41" i="13"/>
  <c r="E53" i="13"/>
  <c r="E65" i="13"/>
  <c r="E74" i="13"/>
  <c r="E84" i="13"/>
  <c r="E95" i="13"/>
  <c r="E106" i="13"/>
  <c r="E118" i="13"/>
  <c r="E129" i="13"/>
  <c r="J194" i="8"/>
  <c r="E120" i="13"/>
  <c r="E120" i="17" s="1"/>
  <c r="E95" i="18"/>
  <c r="F95" i="18" s="1"/>
  <c r="F93" i="18" s="1"/>
  <c r="F92" i="18" s="1"/>
  <c r="R160" i="8"/>
  <c r="R159" i="8"/>
  <c r="U31" i="17"/>
  <c r="U28" i="17"/>
  <c r="U32" i="17"/>
  <c r="U29" i="17"/>
  <c r="U30" i="17"/>
  <c r="D169" i="8"/>
  <c r="V150" i="17"/>
  <c r="U151" i="17"/>
  <c r="U149" i="17"/>
  <c r="U148" i="17"/>
  <c r="U147" i="17"/>
  <c r="U145" i="17"/>
  <c r="U144" i="17"/>
  <c r="U143" i="17"/>
  <c r="U141" i="17"/>
  <c r="U139" i="17"/>
  <c r="U138" i="17"/>
  <c r="U137" i="17"/>
  <c r="U135" i="17"/>
  <c r="U134" i="17"/>
  <c r="U122" i="17"/>
  <c r="U102" i="17"/>
  <c r="U123" i="17"/>
  <c r="U124" i="17"/>
  <c r="U125" i="17"/>
  <c r="U126" i="17"/>
  <c r="U127" i="17"/>
  <c r="U128" i="17"/>
  <c r="U129" i="17"/>
  <c r="U103" i="17"/>
  <c r="U104" i="17"/>
  <c r="U105" i="17"/>
  <c r="U106" i="17"/>
  <c r="U110" i="17"/>
  <c r="U112" i="17"/>
  <c r="U113" i="17"/>
  <c r="U114" i="17"/>
  <c r="U115" i="17"/>
  <c r="U116" i="17"/>
  <c r="U117" i="17"/>
  <c r="U118" i="17"/>
  <c r="U119" i="17"/>
  <c r="U120" i="17"/>
  <c r="U92" i="17"/>
  <c r="U93" i="17"/>
  <c r="U94" i="17"/>
  <c r="U95" i="17"/>
  <c r="U91" i="17"/>
  <c r="U89" i="17"/>
  <c r="U88" i="17"/>
  <c r="U86" i="17"/>
  <c r="U84" i="17"/>
  <c r="U83" i="17"/>
  <c r="U78" i="17"/>
  <c r="U97" i="17"/>
  <c r="U61" i="17"/>
  <c r="U65" i="17"/>
  <c r="U69" i="17"/>
  <c r="U77" i="17"/>
  <c r="U53" i="17"/>
  <c r="U56" i="17"/>
  <c r="U79" i="17"/>
  <c r="U60" i="17"/>
  <c r="U51" i="17"/>
  <c r="U99" i="17"/>
  <c r="U62" i="17"/>
  <c r="U66" i="17"/>
  <c r="U70" i="17"/>
  <c r="U73" i="17"/>
  <c r="U76" i="17"/>
  <c r="U80" i="17"/>
  <c r="U63" i="17"/>
  <c r="U67" i="17"/>
  <c r="U71" i="17"/>
  <c r="U75" i="17"/>
  <c r="U52" i="17"/>
  <c r="U55" i="17"/>
  <c r="U50" i="17"/>
  <c r="U45" i="17"/>
  <c r="U44" i="17"/>
  <c r="U43" i="17"/>
  <c r="U42" i="17"/>
  <c r="U41" i="17"/>
  <c r="U40" i="17"/>
  <c r="U39" i="17"/>
  <c r="U38" i="17"/>
  <c r="U37" i="17"/>
  <c r="U36" i="17"/>
  <c r="U35" i="17"/>
  <c r="U33" i="17"/>
  <c r="U27" i="17"/>
  <c r="U26" i="17"/>
  <c r="U25" i="17"/>
  <c r="U24" i="17"/>
  <c r="U23" i="17"/>
  <c r="U22" i="17"/>
  <c r="U21" i="17"/>
  <c r="U20" i="17"/>
  <c r="U19" i="17"/>
  <c r="U18" i="17"/>
  <c r="U17" i="17"/>
  <c r="U81" i="17"/>
  <c r="U57" i="17"/>
  <c r="U58" i="17"/>
  <c r="U72" i="17"/>
  <c r="U74" i="17"/>
  <c r="U16" i="17"/>
  <c r="U14" i="17"/>
  <c r="U13" i="17"/>
  <c r="U12" i="17"/>
  <c r="U11" i="17"/>
  <c r="U10" i="17"/>
  <c r="U64" i="17"/>
  <c r="U68" i="17"/>
  <c r="D29" i="17"/>
  <c r="D94" i="13"/>
  <c r="D99" i="13"/>
  <c r="D105" i="13"/>
  <c r="D113" i="13"/>
  <c r="D117" i="13"/>
  <c r="D122" i="13"/>
  <c r="D126" i="13"/>
  <c r="F134" i="13"/>
  <c r="G134" i="13" s="1"/>
  <c r="AA134" i="13" s="1"/>
  <c r="D139" i="13"/>
  <c r="D145" i="13"/>
  <c r="D30" i="17"/>
  <c r="D91" i="13"/>
  <c r="D95" i="13"/>
  <c r="D102" i="13"/>
  <c r="D106" i="13"/>
  <c r="D114" i="13"/>
  <c r="D118" i="13"/>
  <c r="D123" i="13"/>
  <c r="D127" i="13"/>
  <c r="D135" i="13"/>
  <c r="D92" i="13"/>
  <c r="D96" i="13"/>
  <c r="D115" i="13"/>
  <c r="D119" i="13"/>
  <c r="D124" i="13"/>
  <c r="D128" i="13"/>
  <c r="D143" i="13"/>
  <c r="D148" i="13"/>
  <c r="D97" i="13"/>
  <c r="D112" i="13"/>
  <c r="D116" i="13"/>
  <c r="D129" i="13"/>
  <c r="F144" i="13"/>
  <c r="G144" i="13" s="1"/>
  <c r="F15" i="18"/>
  <c r="F8" i="18" s="1"/>
  <c r="F6" i="18" s="1"/>
  <c r="F5" i="18" s="1"/>
  <c r="K154" i="17"/>
  <c r="F33" i="8"/>
  <c r="G33" i="8" s="1"/>
  <c r="F120" i="8"/>
  <c r="G120" i="8" s="1"/>
  <c r="F125" i="8"/>
  <c r="G125" i="8" s="1"/>
  <c r="V4" i="8"/>
  <c r="E49" i="8"/>
  <c r="E133" i="8"/>
  <c r="E34" i="8"/>
  <c r="E59" i="8"/>
  <c r="E82" i="8"/>
  <c r="D182" i="8"/>
  <c r="E121" i="8"/>
  <c r="E90" i="8"/>
  <c r="E101" i="8"/>
  <c r="E146" i="8"/>
  <c r="D173" i="8"/>
  <c r="E9" i="8"/>
  <c r="E136" i="8"/>
  <c r="E142" i="8"/>
  <c r="L176" i="8"/>
  <c r="L177" i="8" s="1"/>
  <c r="M177" i="8" s="1"/>
  <c r="D160" i="8" l="1"/>
  <c r="D159" i="8" s="1"/>
  <c r="D177" i="8" s="1"/>
  <c r="F116" i="13"/>
  <c r="G116" i="13" s="1"/>
  <c r="AB116" i="13" s="1"/>
  <c r="F112" i="13"/>
  <c r="G112" i="13" s="1"/>
  <c r="AA112" i="13" s="1"/>
  <c r="AC75" i="13"/>
  <c r="F139" i="13"/>
  <c r="G139" i="13" s="1"/>
  <c r="AA139" i="13" s="1"/>
  <c r="F127" i="13"/>
  <c r="G127" i="13" s="1"/>
  <c r="AB127" i="13" s="1"/>
  <c r="F123" i="13"/>
  <c r="G123" i="13" s="1"/>
  <c r="AA123" i="13" s="1"/>
  <c r="E93" i="18"/>
  <c r="E92" i="18" s="1"/>
  <c r="E75" i="18"/>
  <c r="F75" i="18" s="1"/>
  <c r="D172" i="17"/>
  <c r="G93" i="18"/>
  <c r="D161" i="17"/>
  <c r="D159" i="17" s="1"/>
  <c r="D158" i="17" s="1"/>
  <c r="AB134" i="13"/>
  <c r="AA33" i="13"/>
  <c r="AB33" i="13"/>
  <c r="AA144" i="13"/>
  <c r="AB144" i="13"/>
  <c r="D133" i="13"/>
  <c r="F125" i="13"/>
  <c r="G125" i="13" s="1"/>
  <c r="F120" i="13"/>
  <c r="G120" i="13" s="1"/>
  <c r="D88" i="13"/>
  <c r="D88" i="17" s="1"/>
  <c r="F88" i="17" s="1"/>
  <c r="D72" i="13"/>
  <c r="F72" i="13" s="1"/>
  <c r="G72" i="13" s="1"/>
  <c r="D27" i="13"/>
  <c r="D27" i="17" s="1"/>
  <c r="D86" i="13"/>
  <c r="D86" i="17" s="1"/>
  <c r="D44" i="13"/>
  <c r="D44" i="17" s="1"/>
  <c r="D141" i="13"/>
  <c r="D140" i="13" s="1"/>
  <c r="D43" i="13"/>
  <c r="D43" i="17" s="1"/>
  <c r="D61" i="13"/>
  <c r="D61" i="17" s="1"/>
  <c r="D16" i="13"/>
  <c r="D16" i="17" s="1"/>
  <c r="F95" i="13"/>
  <c r="G95" i="13" s="1"/>
  <c r="E140" i="13"/>
  <c r="F128" i="13"/>
  <c r="G128" i="13" s="1"/>
  <c r="E82" i="13"/>
  <c r="F151" i="13"/>
  <c r="G151" i="13" s="1"/>
  <c r="F113" i="13"/>
  <c r="G113" i="13" s="1"/>
  <c r="F119" i="13"/>
  <c r="G119" i="13" s="1"/>
  <c r="D68" i="13"/>
  <c r="F68" i="13" s="1"/>
  <c r="G68" i="13" s="1"/>
  <c r="D23" i="13"/>
  <c r="F23" i="13" s="1"/>
  <c r="G23" i="13" s="1"/>
  <c r="D79" i="13"/>
  <c r="D79" i="17" s="1"/>
  <c r="D40" i="13"/>
  <c r="F40" i="13" s="1"/>
  <c r="D39" i="13"/>
  <c r="F39" i="13" s="1"/>
  <c r="D55" i="13"/>
  <c r="D55" i="17" s="1"/>
  <c r="D11" i="13"/>
  <c r="D11" i="17" s="1"/>
  <c r="E95" i="17"/>
  <c r="E53" i="17"/>
  <c r="E141" i="17"/>
  <c r="E39" i="17"/>
  <c r="E16" i="17"/>
  <c r="E128" i="17"/>
  <c r="E83" i="17"/>
  <c r="E40" i="17"/>
  <c r="E104" i="17"/>
  <c r="E26" i="17"/>
  <c r="E14" i="17"/>
  <c r="E151" i="17"/>
  <c r="E103" i="17"/>
  <c r="F114" i="13"/>
  <c r="G114" i="13" s="1"/>
  <c r="E113" i="17"/>
  <c r="E23" i="17"/>
  <c r="E125" i="17"/>
  <c r="F125" i="17" s="1"/>
  <c r="F122" i="13"/>
  <c r="G122" i="13" s="1"/>
  <c r="E121" i="13"/>
  <c r="E119" i="17"/>
  <c r="E75" i="17"/>
  <c r="D45" i="13"/>
  <c r="D45" i="17" s="1"/>
  <c r="D104" i="13"/>
  <c r="F104" i="13" s="1"/>
  <c r="G104" i="13" s="1"/>
  <c r="D64" i="13"/>
  <c r="D64" i="17" s="1"/>
  <c r="D19" i="13"/>
  <c r="D19" i="17" s="1"/>
  <c r="D75" i="13"/>
  <c r="D75" i="17" s="1"/>
  <c r="D36" i="13"/>
  <c r="D36" i="17" s="1"/>
  <c r="D84" i="13"/>
  <c r="D84" i="17" s="1"/>
  <c r="D35" i="13"/>
  <c r="F35" i="13" s="1"/>
  <c r="D89" i="13"/>
  <c r="D89" i="17" s="1"/>
  <c r="D50" i="13"/>
  <c r="F50" i="13" s="1"/>
  <c r="G50" i="13" s="1"/>
  <c r="F129" i="13"/>
  <c r="G129" i="13" s="1"/>
  <c r="F117" i="13"/>
  <c r="G117" i="13" s="1"/>
  <c r="F92" i="13"/>
  <c r="G92" i="13" s="1"/>
  <c r="F99" i="13"/>
  <c r="G99" i="13" s="1"/>
  <c r="E59" i="13"/>
  <c r="E122" i="17"/>
  <c r="F110" i="13"/>
  <c r="G110" i="13" s="1"/>
  <c r="D14" i="13"/>
  <c r="D14" i="17" s="1"/>
  <c r="D71" i="13"/>
  <c r="F71" i="13" s="1"/>
  <c r="G71" i="13" s="1"/>
  <c r="D26" i="13"/>
  <c r="F26" i="13" s="1"/>
  <c r="G26" i="13" s="1"/>
  <c r="D78" i="13"/>
  <c r="D78" i="17" s="1"/>
  <c r="D83" i="13"/>
  <c r="D42" i="13"/>
  <c r="D42" i="17" s="1"/>
  <c r="E129" i="17"/>
  <c r="E84" i="17"/>
  <c r="E41" i="17"/>
  <c r="E18" i="17"/>
  <c r="E24" i="17"/>
  <c r="E117" i="17"/>
  <c r="E27" i="17"/>
  <c r="E92" i="17"/>
  <c r="E71" i="17"/>
  <c r="E101" i="13"/>
  <c r="F102" i="13"/>
  <c r="G102" i="13" s="1"/>
  <c r="E99" i="17"/>
  <c r="E60" i="17"/>
  <c r="E13" i="17"/>
  <c r="E110" i="17"/>
  <c r="E67" i="17"/>
  <c r="D149" i="13"/>
  <c r="F149" i="13" s="1"/>
  <c r="G149" i="13" s="1"/>
  <c r="D93" i="13"/>
  <c r="D90" i="13" s="1"/>
  <c r="D53" i="13"/>
  <c r="F53" i="13" s="1"/>
  <c r="G53" i="13" s="1"/>
  <c r="D10" i="13"/>
  <c r="D67" i="13"/>
  <c r="F67" i="13" s="1"/>
  <c r="G67" i="13" s="1"/>
  <c r="D22" i="13"/>
  <c r="D22" i="17" s="1"/>
  <c r="D74" i="13"/>
  <c r="D74" i="17" s="1"/>
  <c r="D25" i="13"/>
  <c r="D25" i="17" s="1"/>
  <c r="D121" i="13"/>
  <c r="D77" i="13"/>
  <c r="D77" i="17" s="1"/>
  <c r="D38" i="13"/>
  <c r="D38" i="17" s="1"/>
  <c r="F118" i="13"/>
  <c r="G118" i="13" s="1"/>
  <c r="F105" i="13"/>
  <c r="G105" i="13" s="1"/>
  <c r="F126" i="13"/>
  <c r="G126" i="13" s="1"/>
  <c r="F148" i="13"/>
  <c r="G148" i="13" s="1"/>
  <c r="F96" i="13"/>
  <c r="G96" i="13" s="1"/>
  <c r="D60" i="13"/>
  <c r="D103" i="13"/>
  <c r="F103" i="13" s="1"/>
  <c r="G103" i="13" s="1"/>
  <c r="D63" i="13"/>
  <c r="D63" i="17" s="1"/>
  <c r="D18" i="13"/>
  <c r="F18" i="13" s="1"/>
  <c r="G18" i="13" s="1"/>
  <c r="D70" i="13"/>
  <c r="D70" i="17" s="1"/>
  <c r="D21" i="13"/>
  <c r="F21" i="13" s="1"/>
  <c r="G21" i="13" s="1"/>
  <c r="D73" i="13"/>
  <c r="F73" i="13" s="1"/>
  <c r="G73" i="13" s="1"/>
  <c r="E118" i="17"/>
  <c r="E74" i="17"/>
  <c r="E20" i="17"/>
  <c r="E93" i="17"/>
  <c r="E79" i="17"/>
  <c r="D120" i="17"/>
  <c r="F120" i="17" s="1"/>
  <c r="E105" i="17"/>
  <c r="E64" i="17"/>
  <c r="E19" i="17"/>
  <c r="E62" i="17"/>
  <c r="E61" i="17"/>
  <c r="E126" i="17"/>
  <c r="E25" i="17"/>
  <c r="E136" i="13"/>
  <c r="F91" i="13"/>
  <c r="G91" i="13" s="1"/>
  <c r="E90" i="13"/>
  <c r="E148" i="17"/>
  <c r="E89" i="17"/>
  <c r="E44" i="17"/>
  <c r="E146" i="13"/>
  <c r="F97" i="13"/>
  <c r="G97" i="13" s="1"/>
  <c r="E96" i="17"/>
  <c r="E55" i="17"/>
  <c r="E38" i="17"/>
  <c r="D138" i="13"/>
  <c r="D138" i="17" s="1"/>
  <c r="D80" i="13"/>
  <c r="F80" i="13" s="1"/>
  <c r="G80" i="13" s="1"/>
  <c r="D41" i="13"/>
  <c r="D41" i="17" s="1"/>
  <c r="D142" i="13"/>
  <c r="D57" i="13"/>
  <c r="F57" i="13" s="1"/>
  <c r="G57" i="13" s="1"/>
  <c r="D13" i="13"/>
  <c r="F13" i="13" s="1"/>
  <c r="G13" i="13" s="1"/>
  <c r="D62" i="13"/>
  <c r="F62" i="13" s="1"/>
  <c r="G62" i="13" s="1"/>
  <c r="D12" i="13"/>
  <c r="D12" i="17" s="1"/>
  <c r="D69" i="13"/>
  <c r="F69" i="13" s="1"/>
  <c r="G69" i="13" s="1"/>
  <c r="D24" i="13"/>
  <c r="F24" i="13" s="1"/>
  <c r="G24" i="13" s="1"/>
  <c r="F106" i="13"/>
  <c r="G106" i="13" s="1"/>
  <c r="D182" i="13"/>
  <c r="E9" i="13"/>
  <c r="E49" i="13"/>
  <c r="F143" i="13"/>
  <c r="G143" i="13" s="1"/>
  <c r="E142" i="13"/>
  <c r="F94" i="13"/>
  <c r="G94" i="13" s="1"/>
  <c r="F115" i="13"/>
  <c r="G115" i="13" s="1"/>
  <c r="E147" i="17"/>
  <c r="E97" i="17"/>
  <c r="E57" i="17"/>
  <c r="F145" i="13"/>
  <c r="G145" i="13" s="1"/>
  <c r="D76" i="13"/>
  <c r="F76" i="13" s="1"/>
  <c r="G76" i="13" s="1"/>
  <c r="D37" i="13"/>
  <c r="F37" i="13" s="1"/>
  <c r="F137" i="13"/>
  <c r="G137" i="13" s="1"/>
  <c r="D52" i="13"/>
  <c r="F52" i="13" s="1"/>
  <c r="G52" i="13" s="1"/>
  <c r="D147" i="13"/>
  <c r="D147" i="17" s="1"/>
  <c r="D51" i="13"/>
  <c r="F51" i="13" s="1"/>
  <c r="G51" i="13" s="1"/>
  <c r="D65" i="13"/>
  <c r="F65" i="13" s="1"/>
  <c r="G65" i="13" s="1"/>
  <c r="D20" i="13"/>
  <c r="F20" i="13" s="1"/>
  <c r="G20" i="13" s="1"/>
  <c r="E106" i="17"/>
  <c r="E65" i="17"/>
  <c r="E10" i="17"/>
  <c r="D181" i="17" s="1"/>
  <c r="E63" i="17"/>
  <c r="E50" i="17"/>
  <c r="E143" i="17"/>
  <c r="E94" i="17"/>
  <c r="E52" i="17"/>
  <c r="E51" i="17"/>
  <c r="E70" i="17"/>
  <c r="E115" i="17"/>
  <c r="E37" i="17"/>
  <c r="F124" i="13"/>
  <c r="G124" i="13" s="1"/>
  <c r="E77" i="17"/>
  <c r="E36" i="17"/>
  <c r="E22" i="17"/>
  <c r="F135" i="13"/>
  <c r="G135" i="13" s="1"/>
  <c r="E133" i="13"/>
  <c r="E34" i="13"/>
  <c r="E145" i="17"/>
  <c r="E86" i="17"/>
  <c r="E42" i="17"/>
  <c r="E45" i="17"/>
  <c r="F79" i="8"/>
  <c r="G79" i="8" s="1"/>
  <c r="F25" i="8"/>
  <c r="G25" i="8" s="1"/>
  <c r="D143" i="17"/>
  <c r="D96" i="17"/>
  <c r="D106" i="17"/>
  <c r="D113" i="17"/>
  <c r="D137" i="17"/>
  <c r="F137" i="17" s="1"/>
  <c r="D92" i="17"/>
  <c r="D102" i="17"/>
  <c r="D151" i="17"/>
  <c r="D105" i="17"/>
  <c r="D129" i="17"/>
  <c r="D112" i="17"/>
  <c r="D124" i="17"/>
  <c r="D135" i="17"/>
  <c r="D91" i="17"/>
  <c r="D139" i="17"/>
  <c r="D94" i="17"/>
  <c r="D128" i="17"/>
  <c r="D99" i="17"/>
  <c r="D119" i="17"/>
  <c r="D127" i="17"/>
  <c r="D134" i="17"/>
  <c r="D95" i="17"/>
  <c r="D97" i="17"/>
  <c r="D115" i="17"/>
  <c r="D123" i="17"/>
  <c r="D126" i="17"/>
  <c r="D145" i="17"/>
  <c r="D110" i="17"/>
  <c r="D118" i="17"/>
  <c r="D122" i="17"/>
  <c r="D116" i="17"/>
  <c r="F16" i="8"/>
  <c r="G16" i="8" s="1"/>
  <c r="D144" i="17"/>
  <c r="D148" i="17"/>
  <c r="D114" i="17"/>
  <c r="D117" i="17"/>
  <c r="F122" i="8"/>
  <c r="G122" i="8" s="1"/>
  <c r="F118" i="8"/>
  <c r="G118" i="8" s="1"/>
  <c r="F77" i="8"/>
  <c r="G77" i="8" s="1"/>
  <c r="V32" i="17"/>
  <c r="V31" i="17"/>
  <c r="V30" i="17"/>
  <c r="V29" i="17"/>
  <c r="V28" i="17"/>
  <c r="F55" i="8"/>
  <c r="G55" i="8" s="1"/>
  <c r="F139" i="8"/>
  <c r="G139" i="8" s="1"/>
  <c r="F103" i="8"/>
  <c r="G103" i="8" s="1"/>
  <c r="F63" i="8"/>
  <c r="G63" i="8" s="1"/>
  <c r="F21" i="8"/>
  <c r="G21" i="8" s="1"/>
  <c r="F74" i="8"/>
  <c r="G74" i="8" s="1"/>
  <c r="F67" i="8"/>
  <c r="G67" i="8" s="1"/>
  <c r="F84" i="8"/>
  <c r="G84" i="8" s="1"/>
  <c r="F134" i="8"/>
  <c r="G134" i="8" s="1"/>
  <c r="D133" i="8"/>
  <c r="F50" i="8"/>
  <c r="G50" i="8" s="1"/>
  <c r="F89" i="8"/>
  <c r="G89" i="8" s="1"/>
  <c r="F22" i="8"/>
  <c r="G22" i="8" s="1"/>
  <c r="F91" i="8"/>
  <c r="G91" i="8" s="1"/>
  <c r="F135" i="8"/>
  <c r="G135" i="8" s="1"/>
  <c r="F124" i="8"/>
  <c r="G124" i="8" s="1"/>
  <c r="F126" i="8"/>
  <c r="G126" i="8" s="1"/>
  <c r="F115" i="8"/>
  <c r="G115" i="8" s="1"/>
  <c r="F83" i="8"/>
  <c r="G83" i="8" s="1"/>
  <c r="F106" i="8"/>
  <c r="G106" i="8" s="1"/>
  <c r="F78" i="8"/>
  <c r="G78" i="8" s="1"/>
  <c r="F92" i="8"/>
  <c r="G92" i="8" s="1"/>
  <c r="F60" i="8"/>
  <c r="G60" i="8" s="1"/>
  <c r="F26" i="8"/>
  <c r="G26" i="8" s="1"/>
  <c r="F71" i="8"/>
  <c r="G71" i="8" s="1"/>
  <c r="F123" i="8"/>
  <c r="G123" i="8" s="1"/>
  <c r="F68" i="8"/>
  <c r="G68" i="8" s="1"/>
  <c r="F65" i="8"/>
  <c r="G65" i="8" s="1"/>
  <c r="F20" i="8"/>
  <c r="G20" i="8" s="1"/>
  <c r="F151" i="8"/>
  <c r="G151" i="8" s="1"/>
  <c r="F137" i="8"/>
  <c r="G137" i="8" s="1"/>
  <c r="F23" i="8"/>
  <c r="G23" i="8" s="1"/>
  <c r="F52" i="8"/>
  <c r="G52" i="8" s="1"/>
  <c r="F147" i="8"/>
  <c r="G147" i="8" s="1"/>
  <c r="F105" i="8"/>
  <c r="G105" i="8" s="1"/>
  <c r="F51" i="8"/>
  <c r="G51" i="8" s="1"/>
  <c r="F102" i="8"/>
  <c r="G102" i="8" s="1"/>
  <c r="F113" i="8"/>
  <c r="G113" i="8" s="1"/>
  <c r="F13" i="8"/>
  <c r="G13" i="8" s="1"/>
  <c r="F14" i="8"/>
  <c r="G14" i="8" s="1"/>
  <c r="F96" i="8"/>
  <c r="G96" i="8" s="1"/>
  <c r="F143" i="8"/>
  <c r="G143" i="8" s="1"/>
  <c r="F69" i="8"/>
  <c r="G69" i="8" s="1"/>
  <c r="F24" i="8"/>
  <c r="G24" i="8" s="1"/>
  <c r="F62" i="8"/>
  <c r="G62" i="8" s="1"/>
  <c r="F80" i="8"/>
  <c r="G80" i="8" s="1"/>
  <c r="F145" i="8"/>
  <c r="G145" i="8" s="1"/>
  <c r="F141" i="8"/>
  <c r="G141" i="8" s="1"/>
  <c r="F99" i="8"/>
  <c r="G99" i="8" s="1"/>
  <c r="F61" i="8"/>
  <c r="G61" i="8" s="1"/>
  <c r="F72" i="8"/>
  <c r="G72" i="8" s="1"/>
  <c r="F112" i="8"/>
  <c r="G112" i="8" s="1"/>
  <c r="F57" i="8"/>
  <c r="G57" i="8" s="1"/>
  <c r="F86" i="8"/>
  <c r="G86" i="8" s="1"/>
  <c r="F27" i="8"/>
  <c r="G27" i="8" s="1"/>
  <c r="F138" i="8"/>
  <c r="G138" i="8" s="1"/>
  <c r="F95" i="8"/>
  <c r="G95" i="8" s="1"/>
  <c r="F117" i="8"/>
  <c r="G117" i="8" s="1"/>
  <c r="F88" i="8"/>
  <c r="G88" i="8" s="1"/>
  <c r="F70" i="8"/>
  <c r="G70" i="8" s="1"/>
  <c r="F73" i="8"/>
  <c r="G73" i="8" s="1"/>
  <c r="F97" i="8"/>
  <c r="G97" i="8" s="1"/>
  <c r="D142" i="8"/>
  <c r="F76" i="8"/>
  <c r="G76" i="8" s="1"/>
  <c r="F148" i="8"/>
  <c r="G148" i="8" s="1"/>
  <c r="F18" i="8"/>
  <c r="G18" i="8" s="1"/>
  <c r="F114" i="8"/>
  <c r="G114" i="8" s="1"/>
  <c r="F64" i="8"/>
  <c r="G64" i="8" s="1"/>
  <c r="F128" i="8"/>
  <c r="G128" i="8" s="1"/>
  <c r="F19" i="8"/>
  <c r="G19" i="8" s="1"/>
  <c r="F75" i="8"/>
  <c r="G75" i="8" s="1"/>
  <c r="F116" i="8"/>
  <c r="G116" i="8" s="1"/>
  <c r="F119" i="8"/>
  <c r="G119" i="8" s="1"/>
  <c r="F104" i="8"/>
  <c r="G104" i="8" s="1"/>
  <c r="F127" i="8"/>
  <c r="G127" i="8" s="1"/>
  <c r="F129" i="8"/>
  <c r="G129" i="8" s="1"/>
  <c r="F93" i="8"/>
  <c r="G93" i="8" s="1"/>
  <c r="F53" i="8"/>
  <c r="G53" i="8" s="1"/>
  <c r="F149" i="8"/>
  <c r="G149" i="8" s="1"/>
  <c r="D178" i="8"/>
  <c r="D146" i="8"/>
  <c r="D90" i="8"/>
  <c r="D121" i="8"/>
  <c r="F110" i="8"/>
  <c r="G110" i="8" s="1"/>
  <c r="F33" i="17"/>
  <c r="W150" i="17"/>
  <c r="V151" i="17"/>
  <c r="V149" i="17"/>
  <c r="V148" i="17"/>
  <c r="V147" i="17"/>
  <c r="V145" i="17"/>
  <c r="V144" i="17"/>
  <c r="V143" i="17"/>
  <c r="V141" i="17"/>
  <c r="V139" i="17"/>
  <c r="V138" i="17"/>
  <c r="V137" i="17"/>
  <c r="V135" i="17"/>
  <c r="V134" i="17"/>
  <c r="V122" i="17"/>
  <c r="V102" i="17"/>
  <c r="V115" i="17"/>
  <c r="V117" i="17"/>
  <c r="V119" i="17"/>
  <c r="V93" i="17"/>
  <c r="V97" i="17"/>
  <c r="V99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51" i="17"/>
  <c r="V124" i="17"/>
  <c r="V128" i="17"/>
  <c r="V104" i="17"/>
  <c r="V112" i="17"/>
  <c r="V95" i="17"/>
  <c r="V125" i="17"/>
  <c r="V129" i="17"/>
  <c r="V105" i="17"/>
  <c r="V113" i="17"/>
  <c r="V116" i="17"/>
  <c r="V118" i="17"/>
  <c r="V120" i="17"/>
  <c r="V92" i="17"/>
  <c r="V94" i="17"/>
  <c r="V126" i="17"/>
  <c r="V106" i="17"/>
  <c r="V114" i="17"/>
  <c r="V91" i="17"/>
  <c r="V89" i="17"/>
  <c r="V88" i="17"/>
  <c r="V86" i="17"/>
  <c r="V84" i="17"/>
  <c r="V83" i="17"/>
  <c r="V110" i="17"/>
  <c r="V60" i="17"/>
  <c r="V53" i="17"/>
  <c r="V56" i="17"/>
  <c r="V50" i="17"/>
  <c r="V45" i="17"/>
  <c r="V44" i="17"/>
  <c r="V43" i="17"/>
  <c r="V42" i="17"/>
  <c r="V41" i="17"/>
  <c r="V40" i="17"/>
  <c r="V39" i="17"/>
  <c r="V38" i="17"/>
  <c r="V37" i="17"/>
  <c r="V36" i="17"/>
  <c r="V35" i="17"/>
  <c r="V33" i="17"/>
  <c r="V27" i="17"/>
  <c r="V26" i="17"/>
  <c r="V25" i="17"/>
  <c r="V24" i="17"/>
  <c r="V23" i="17"/>
  <c r="V22" i="17"/>
  <c r="V21" i="17"/>
  <c r="V20" i="17"/>
  <c r="V19" i="17"/>
  <c r="V123" i="17"/>
  <c r="V127" i="17"/>
  <c r="V52" i="17"/>
  <c r="V55" i="17"/>
  <c r="V103" i="17"/>
  <c r="V57" i="17"/>
  <c r="V18" i="17"/>
  <c r="V17" i="17"/>
  <c r="V58" i="17"/>
  <c r="V16" i="17"/>
  <c r="V14" i="17"/>
  <c r="V13" i="17"/>
  <c r="V12" i="17"/>
  <c r="V11" i="17"/>
  <c r="V10" i="17"/>
  <c r="D9" i="8"/>
  <c r="F32" i="17"/>
  <c r="J155" i="17"/>
  <c r="D8" i="18"/>
  <c r="E161" i="17" s="1"/>
  <c r="D7" i="18"/>
  <c r="F31" i="17"/>
  <c r="E48" i="8"/>
  <c r="E8" i="8"/>
  <c r="D34" i="8"/>
  <c r="D101" i="8"/>
  <c r="D82" i="8"/>
  <c r="F94" i="8"/>
  <c r="G94" i="8" s="1"/>
  <c r="E131" i="8"/>
  <c r="D49" i="8"/>
  <c r="E153" i="8"/>
  <c r="F144" i="8"/>
  <c r="G144" i="8" s="1"/>
  <c r="D59" i="8"/>
  <c r="D136" i="8"/>
  <c r="V4" i="6"/>
  <c r="F161" i="17" l="1"/>
  <c r="F43" i="13"/>
  <c r="AA116" i="13"/>
  <c r="F78" i="13"/>
  <c r="G78" i="13" s="1"/>
  <c r="AB78" i="13" s="1"/>
  <c r="F64" i="13"/>
  <c r="G64" i="13" s="1"/>
  <c r="AA64" i="13" s="1"/>
  <c r="AB112" i="13"/>
  <c r="F89" i="13"/>
  <c r="G89" i="13" s="1"/>
  <c r="AB89" i="13" s="1"/>
  <c r="E142" i="17"/>
  <c r="E160" i="17"/>
  <c r="F160" i="17" s="1"/>
  <c r="F88" i="13"/>
  <c r="G88" i="13" s="1"/>
  <c r="AA88" i="13" s="1"/>
  <c r="F79" i="13"/>
  <c r="G79" i="13" s="1"/>
  <c r="AA79" i="13" s="1"/>
  <c r="AB139" i="13"/>
  <c r="AA127" i="13"/>
  <c r="AB123" i="13"/>
  <c r="E157" i="13"/>
  <c r="G8" i="18"/>
  <c r="AA21" i="13"/>
  <c r="AB21" i="13"/>
  <c r="AA20" i="13"/>
  <c r="AB20" i="13"/>
  <c r="AA18" i="13"/>
  <c r="AB18" i="13"/>
  <c r="AA23" i="13"/>
  <c r="AB23" i="13"/>
  <c r="AA24" i="13"/>
  <c r="AB24" i="13"/>
  <c r="AB26" i="13"/>
  <c r="AA26" i="13"/>
  <c r="E70" i="18"/>
  <c r="E52" i="18" s="1"/>
  <c r="AA76" i="13"/>
  <c r="AB76" i="13"/>
  <c r="AB143" i="13"/>
  <c r="AA143" i="13"/>
  <c r="AA62" i="13"/>
  <c r="AB62" i="13"/>
  <c r="AA91" i="13"/>
  <c r="AB91" i="13"/>
  <c r="AA110" i="13"/>
  <c r="AB110" i="13"/>
  <c r="AA114" i="13"/>
  <c r="AB114" i="13"/>
  <c r="AA39" i="13"/>
  <c r="AB39" i="13"/>
  <c r="AA145" i="13"/>
  <c r="AB145" i="13"/>
  <c r="AA148" i="13"/>
  <c r="AB148" i="13"/>
  <c r="AA149" i="13"/>
  <c r="AB149" i="13"/>
  <c r="AA35" i="13"/>
  <c r="AB35" i="13"/>
  <c r="AA40" i="13"/>
  <c r="AB40" i="13"/>
  <c r="AA128" i="13"/>
  <c r="AB128" i="13"/>
  <c r="AA65" i="13"/>
  <c r="AB65" i="13"/>
  <c r="AA57" i="13"/>
  <c r="AB57" i="13"/>
  <c r="AA97" i="13"/>
  <c r="AB97" i="13"/>
  <c r="AA126" i="13"/>
  <c r="AB126" i="13"/>
  <c r="AA51" i="13"/>
  <c r="AB51" i="13"/>
  <c r="AA99" i="13"/>
  <c r="AB99" i="13"/>
  <c r="AA95" i="13"/>
  <c r="AB95" i="13"/>
  <c r="AA72" i="13"/>
  <c r="AB72" i="13"/>
  <c r="AA124" i="13"/>
  <c r="AB124" i="13"/>
  <c r="AA106" i="13"/>
  <c r="AB106" i="13"/>
  <c r="AA103" i="13"/>
  <c r="AB103" i="13"/>
  <c r="AA105" i="13"/>
  <c r="AB105" i="13"/>
  <c r="AA92" i="13"/>
  <c r="AB92" i="13"/>
  <c r="AA122" i="13"/>
  <c r="AB122" i="13"/>
  <c r="AA68" i="13"/>
  <c r="AB68" i="13"/>
  <c r="AA52" i="13"/>
  <c r="AB52" i="13"/>
  <c r="AA115" i="13"/>
  <c r="AB115" i="13"/>
  <c r="AA80" i="13"/>
  <c r="AB80" i="13"/>
  <c r="AA67" i="13"/>
  <c r="AB67" i="13"/>
  <c r="AA117" i="13"/>
  <c r="AB117" i="13"/>
  <c r="AA119" i="13"/>
  <c r="AB119" i="13"/>
  <c r="AA120" i="13"/>
  <c r="AB120" i="13"/>
  <c r="AA137" i="13"/>
  <c r="AB137" i="13"/>
  <c r="AB94" i="13"/>
  <c r="AA94" i="13"/>
  <c r="AA69" i="13"/>
  <c r="AB69" i="13"/>
  <c r="AA96" i="13"/>
  <c r="AB96" i="13"/>
  <c r="AA118" i="13"/>
  <c r="AB118" i="13"/>
  <c r="AA71" i="13"/>
  <c r="AB71" i="13"/>
  <c r="AA129" i="13"/>
  <c r="AB129" i="13"/>
  <c r="AA113" i="13"/>
  <c r="AB113" i="13"/>
  <c r="AA125" i="13"/>
  <c r="AB125" i="13"/>
  <c r="AB135" i="13"/>
  <c r="AA135" i="13"/>
  <c r="AA37" i="13"/>
  <c r="AB37" i="13"/>
  <c r="AA73" i="13"/>
  <c r="AB73" i="13"/>
  <c r="AA43" i="13"/>
  <c r="AB43" i="13"/>
  <c r="AA53" i="13"/>
  <c r="AB53" i="13"/>
  <c r="AA102" i="13"/>
  <c r="AB102" i="13"/>
  <c r="AB50" i="13"/>
  <c r="AA50" i="13"/>
  <c r="AA151" i="13"/>
  <c r="AB151" i="13"/>
  <c r="AA104" i="13"/>
  <c r="AB104" i="13"/>
  <c r="F61" i="13"/>
  <c r="G61" i="13" s="1"/>
  <c r="F22" i="13"/>
  <c r="G22" i="13" s="1"/>
  <c r="F19" i="13"/>
  <c r="G19" i="13" s="1"/>
  <c r="F27" i="13"/>
  <c r="G27" i="13" s="1"/>
  <c r="F74" i="13"/>
  <c r="G74" i="13" s="1"/>
  <c r="F151" i="17"/>
  <c r="F42" i="13"/>
  <c r="F36" i="13"/>
  <c r="F44" i="13"/>
  <c r="F63" i="13"/>
  <c r="G63" i="13" s="1"/>
  <c r="F77" i="13"/>
  <c r="G77" i="13" s="1"/>
  <c r="F55" i="13"/>
  <c r="G55" i="13" s="1"/>
  <c r="D20" i="17"/>
  <c r="F20" i="17" s="1"/>
  <c r="F148" i="17"/>
  <c r="D101" i="13"/>
  <c r="D131" i="13" s="1"/>
  <c r="F45" i="13"/>
  <c r="E153" i="13"/>
  <c r="D136" i="13"/>
  <c r="F141" i="13"/>
  <c r="G141" i="13" s="1"/>
  <c r="D40" i="17"/>
  <c r="D141" i="17"/>
  <c r="D140" i="17" s="1"/>
  <c r="D24" i="17"/>
  <c r="F24" i="17" s="1"/>
  <c r="E48" i="13"/>
  <c r="F38" i="13"/>
  <c r="F93" i="13"/>
  <c r="G93" i="13" s="1"/>
  <c r="D52" i="17"/>
  <c r="F52" i="17" s="1"/>
  <c r="D18" i="17"/>
  <c r="F18" i="17" s="1"/>
  <c r="D103" i="17"/>
  <c r="F103" i="17" s="1"/>
  <c r="F25" i="13"/>
  <c r="G25" i="13" s="1"/>
  <c r="D149" i="17"/>
  <c r="F149" i="17" s="1"/>
  <c r="F79" i="17"/>
  <c r="D23" i="17"/>
  <c r="F23" i="17" s="1"/>
  <c r="E49" i="17"/>
  <c r="D65" i="17"/>
  <c r="F65" i="17" s="1"/>
  <c r="F86" i="13"/>
  <c r="G86" i="13" s="1"/>
  <c r="D82" i="13"/>
  <c r="D67" i="17"/>
  <c r="F67" i="17" s="1"/>
  <c r="F70" i="13"/>
  <c r="G70" i="13" s="1"/>
  <c r="D62" i="17"/>
  <c r="F62" i="17" s="1"/>
  <c r="D51" i="17"/>
  <c r="F51" i="17" s="1"/>
  <c r="D37" i="17"/>
  <c r="F25" i="17"/>
  <c r="D53" i="17"/>
  <c r="D39" i="17"/>
  <c r="D13" i="17"/>
  <c r="F13" i="17" s="1"/>
  <c r="D21" i="17"/>
  <c r="F21" i="17" s="1"/>
  <c r="AA13" i="13"/>
  <c r="AB13" i="13"/>
  <c r="D80" i="17"/>
  <c r="F80" i="17" s="1"/>
  <c r="F147" i="13"/>
  <c r="G147" i="13" s="1"/>
  <c r="F138" i="13"/>
  <c r="G138" i="13" s="1"/>
  <c r="D26" i="17"/>
  <c r="F26" i="17" s="1"/>
  <c r="E131" i="13"/>
  <c r="F16" i="13"/>
  <c r="G16" i="13" s="1"/>
  <c r="E59" i="17"/>
  <c r="F75" i="13"/>
  <c r="G75" i="13" s="1"/>
  <c r="F14" i="13"/>
  <c r="G14" i="13" s="1"/>
  <c r="F86" i="17"/>
  <c r="D59" i="13"/>
  <c r="D83" i="17"/>
  <c r="F83" i="17" s="1"/>
  <c r="D71" i="17"/>
  <c r="F71" i="17" s="1"/>
  <c r="F60" i="13"/>
  <c r="G60" i="13" s="1"/>
  <c r="F41" i="13"/>
  <c r="D104" i="17"/>
  <c r="D69" i="17"/>
  <c r="F69" i="17" s="1"/>
  <c r="D57" i="17"/>
  <c r="F57" i="17" s="1"/>
  <c r="D60" i="17"/>
  <c r="D93" i="17"/>
  <c r="F93" i="17" s="1"/>
  <c r="F84" i="13"/>
  <c r="G84" i="13" s="1"/>
  <c r="D34" i="13"/>
  <c r="F34" i="13" s="1"/>
  <c r="G34" i="13" s="1"/>
  <c r="D68" i="17"/>
  <c r="F68" i="17" s="1"/>
  <c r="E34" i="17"/>
  <c r="D76" i="17"/>
  <c r="F76" i="17" s="1"/>
  <c r="E8" i="13"/>
  <c r="D146" i="13"/>
  <c r="D35" i="17"/>
  <c r="E82" i="17"/>
  <c r="D49" i="13"/>
  <c r="F83" i="13"/>
  <c r="G83" i="13" s="1"/>
  <c r="D72" i="17"/>
  <c r="F72" i="17" s="1"/>
  <c r="D178" i="13"/>
  <c r="D9" i="13"/>
  <c r="D50" i="17"/>
  <c r="F50" i="17" s="1"/>
  <c r="D73" i="17"/>
  <c r="F73" i="17" s="1"/>
  <c r="D10" i="17"/>
  <c r="D177" i="17" s="1"/>
  <c r="E121" i="17"/>
  <c r="D121" i="17"/>
  <c r="D180" i="8"/>
  <c r="D184" i="8" s="1"/>
  <c r="F112" i="17"/>
  <c r="W32" i="17"/>
  <c r="W31" i="17"/>
  <c r="W30" i="17"/>
  <c r="W29" i="17"/>
  <c r="W28" i="17"/>
  <c r="F89" i="17"/>
  <c r="F19" i="17"/>
  <c r="D131" i="8"/>
  <c r="F94" i="17"/>
  <c r="F105" i="17"/>
  <c r="F123" i="17"/>
  <c r="F14" i="17"/>
  <c r="F92" i="17"/>
  <c r="F126" i="17"/>
  <c r="F22" i="17"/>
  <c r="F96" i="17"/>
  <c r="F115" i="17"/>
  <c r="D8" i="8"/>
  <c r="F127" i="17"/>
  <c r="D133" i="17"/>
  <c r="F55" i="17"/>
  <c r="F27" i="17"/>
  <c r="F129" i="17"/>
  <c r="D153" i="8"/>
  <c r="F74" i="17"/>
  <c r="F124" i="17"/>
  <c r="F70" i="17"/>
  <c r="W123" i="17"/>
  <c r="W124" i="17"/>
  <c r="W125" i="17"/>
  <c r="W126" i="17"/>
  <c r="W127" i="17"/>
  <c r="W128" i="17"/>
  <c r="W129" i="17"/>
  <c r="W103" i="17"/>
  <c r="W104" i="17"/>
  <c r="W105" i="17"/>
  <c r="W106" i="17"/>
  <c r="W110" i="17"/>
  <c r="W112" i="17"/>
  <c r="W113" i="17"/>
  <c r="W114" i="17"/>
  <c r="W115" i="17"/>
  <c r="W116" i="17"/>
  <c r="W117" i="17"/>
  <c r="W118" i="17"/>
  <c r="W119" i="17"/>
  <c r="W120" i="17"/>
  <c r="W92" i="17"/>
  <c r="W93" i="17"/>
  <c r="W94" i="17"/>
  <c r="W95" i="17"/>
  <c r="W151" i="17"/>
  <c r="W149" i="17"/>
  <c r="W148" i="17"/>
  <c r="W147" i="17"/>
  <c r="W145" i="17"/>
  <c r="W144" i="17"/>
  <c r="W143" i="17"/>
  <c r="W141" i="17"/>
  <c r="W139" i="17"/>
  <c r="W138" i="17"/>
  <c r="W137" i="17"/>
  <c r="W135" i="17"/>
  <c r="W134" i="17"/>
  <c r="W122" i="17"/>
  <c r="W102" i="17"/>
  <c r="W97" i="17"/>
  <c r="W99" i="17"/>
  <c r="W61" i="17"/>
  <c r="W62" i="17"/>
  <c r="W63" i="17"/>
  <c r="W64" i="17"/>
  <c r="W65" i="17"/>
  <c r="W66" i="17"/>
  <c r="W67" i="17"/>
  <c r="W68" i="17"/>
  <c r="W69" i="17"/>
  <c r="W70" i="17"/>
  <c r="W71" i="17"/>
  <c r="W72" i="17"/>
  <c r="W73" i="17"/>
  <c r="W74" i="17"/>
  <c r="W75" i="17"/>
  <c r="W76" i="17"/>
  <c r="W77" i="17"/>
  <c r="W78" i="17"/>
  <c r="W79" i="17"/>
  <c r="W80" i="17"/>
  <c r="W81" i="17"/>
  <c r="W51" i="17"/>
  <c r="W52" i="17"/>
  <c r="W53" i="17"/>
  <c r="W55" i="17"/>
  <c r="W56" i="17"/>
  <c r="W91" i="17"/>
  <c r="W89" i="17"/>
  <c r="W88" i="17"/>
  <c r="W86" i="17"/>
  <c r="W84" i="17"/>
  <c r="W83" i="17"/>
  <c r="W60" i="17"/>
  <c r="W57" i="17"/>
  <c r="W58" i="17"/>
  <c r="W50" i="17"/>
  <c r="W45" i="17"/>
  <c r="W44" i="17"/>
  <c r="W43" i="17"/>
  <c r="W42" i="17"/>
  <c r="W41" i="17"/>
  <c r="W40" i="17"/>
  <c r="W39" i="17"/>
  <c r="W38" i="17"/>
  <c r="W37" i="17"/>
  <c r="W36" i="17"/>
  <c r="W35" i="17"/>
  <c r="W33" i="17"/>
  <c r="W27" i="17"/>
  <c r="W26" i="17"/>
  <c r="W25" i="17"/>
  <c r="W24" i="17"/>
  <c r="W22" i="17"/>
  <c r="W18" i="17"/>
  <c r="W17" i="17"/>
  <c r="W23" i="17"/>
  <c r="W19" i="17"/>
  <c r="W16" i="17"/>
  <c r="W14" i="17"/>
  <c r="W13" i="17"/>
  <c r="W12" i="17"/>
  <c r="W11" i="17"/>
  <c r="W10" i="17"/>
  <c r="D169" i="17" s="1"/>
  <c r="D168" i="17" s="1"/>
  <c r="D176" i="17" s="1"/>
  <c r="W20" i="17"/>
  <c r="W21" i="17"/>
  <c r="F118" i="17"/>
  <c r="T154" i="17"/>
  <c r="F84" i="17"/>
  <c r="F117" i="17"/>
  <c r="F95" i="17"/>
  <c r="F63" i="17"/>
  <c r="F77" i="17"/>
  <c r="F29" i="17"/>
  <c r="F99" i="17"/>
  <c r="F30" i="17"/>
  <c r="F97" i="17"/>
  <c r="F78" i="17"/>
  <c r="F114" i="17"/>
  <c r="F145" i="17"/>
  <c r="F113" i="17"/>
  <c r="F144" i="17"/>
  <c r="F128" i="17"/>
  <c r="F138" i="17"/>
  <c r="F106" i="17"/>
  <c r="D6" i="18"/>
  <c r="D5" i="18" s="1"/>
  <c r="F64" i="17"/>
  <c r="F135" i="17"/>
  <c r="F147" i="17"/>
  <c r="F16" i="17"/>
  <c r="F150" i="17"/>
  <c r="F119" i="17"/>
  <c r="F102" i="17"/>
  <c r="F110" i="17"/>
  <c r="F75" i="17"/>
  <c r="F116" i="17"/>
  <c r="F91" i="17"/>
  <c r="E100" i="8"/>
  <c r="F34" i="8"/>
  <c r="G34" i="8" s="1"/>
  <c r="G4" i="8" s="1"/>
  <c r="E154" i="8"/>
  <c r="D48" i="8"/>
  <c r="G4" i="6"/>
  <c r="D179" i="17" l="1"/>
  <c r="D183" i="17" s="1"/>
  <c r="AB88" i="13"/>
  <c r="AA78" i="13"/>
  <c r="AB64" i="13"/>
  <c r="D90" i="17"/>
  <c r="AA89" i="13"/>
  <c r="AB79" i="13"/>
  <c r="D153" i="13"/>
  <c r="D154" i="13" s="1"/>
  <c r="D157" i="13"/>
  <c r="G4" i="13"/>
  <c r="AA19" i="13"/>
  <c r="AB19" i="13"/>
  <c r="AA14" i="13"/>
  <c r="AB14" i="13"/>
  <c r="AA27" i="13"/>
  <c r="AB27" i="13"/>
  <c r="AB22" i="13"/>
  <c r="AA22" i="13"/>
  <c r="AA25" i="13"/>
  <c r="AB25" i="13"/>
  <c r="AA34" i="13"/>
  <c r="AB34" i="13"/>
  <c r="AA55" i="13"/>
  <c r="AB55" i="13"/>
  <c r="AA138" i="13"/>
  <c r="AB138" i="13"/>
  <c r="AA86" i="13"/>
  <c r="AB86" i="13"/>
  <c r="AA141" i="13"/>
  <c r="AB141" i="13"/>
  <c r="AA77" i="13"/>
  <c r="AB77" i="13"/>
  <c r="AA147" i="13"/>
  <c r="AB147" i="13"/>
  <c r="AA63" i="13"/>
  <c r="AB63" i="13"/>
  <c r="AA93" i="13"/>
  <c r="AB93" i="13"/>
  <c r="AA44" i="13"/>
  <c r="AB44" i="13"/>
  <c r="AA61" i="13"/>
  <c r="AB61" i="13"/>
  <c r="AA75" i="13"/>
  <c r="AB75" i="13"/>
  <c r="AB38" i="13"/>
  <c r="AA38" i="13"/>
  <c r="AA45" i="13"/>
  <c r="AB45" i="13"/>
  <c r="AA36" i="13"/>
  <c r="AB36" i="13"/>
  <c r="AA83" i="13"/>
  <c r="AB83" i="13"/>
  <c r="AA41" i="13"/>
  <c r="AB41" i="13"/>
  <c r="AA42" i="13"/>
  <c r="AB42" i="13"/>
  <c r="AA60" i="13"/>
  <c r="AB60" i="13"/>
  <c r="AB70" i="13"/>
  <c r="AA70" i="13"/>
  <c r="AA84" i="13"/>
  <c r="AB84" i="13"/>
  <c r="AB74" i="13"/>
  <c r="AA74" i="13"/>
  <c r="AA16" i="13"/>
  <c r="AB16" i="13"/>
  <c r="E154" i="13"/>
  <c r="D101" i="17"/>
  <c r="D131" i="17" s="1"/>
  <c r="E100" i="13"/>
  <c r="D146" i="17"/>
  <c r="D82" i="17"/>
  <c r="D49" i="17"/>
  <c r="D9" i="17"/>
  <c r="F53" i="17"/>
  <c r="D34" i="17"/>
  <c r="F34" i="17" s="1"/>
  <c r="G34" i="17" s="1"/>
  <c r="D59" i="17"/>
  <c r="D106" i="18"/>
  <c r="F106" i="18" s="1"/>
  <c r="F104" i="17"/>
  <c r="D48" i="13"/>
  <c r="D8" i="13"/>
  <c r="D180" i="13"/>
  <c r="D154" i="8"/>
  <c r="X150" i="17"/>
  <c r="X31" i="17"/>
  <c r="X29" i="17"/>
  <c r="D100" i="8"/>
  <c r="X124" i="17"/>
  <c r="X126" i="17"/>
  <c r="X106" i="17"/>
  <c r="X114" i="17"/>
  <c r="X117" i="17"/>
  <c r="X147" i="17"/>
  <c r="X141" i="17"/>
  <c r="X135" i="17"/>
  <c r="X97" i="17"/>
  <c r="X63" i="17"/>
  <c r="X68" i="17"/>
  <c r="X83" i="17"/>
  <c r="X45" i="17"/>
  <c r="X20" i="17"/>
  <c r="X80" i="17"/>
  <c r="X12" i="17"/>
  <c r="X11" i="17"/>
  <c r="X10" i="17"/>
  <c r="X55" i="17"/>
  <c r="D136" i="17"/>
  <c r="F61" i="17"/>
  <c r="D142" i="17"/>
  <c r="F143" i="17"/>
  <c r="E90" i="17"/>
  <c r="E146" i="17"/>
  <c r="E101" i="17"/>
  <c r="F139" i="17"/>
  <c r="E136" i="17"/>
  <c r="F60" i="17"/>
  <c r="E140" i="17"/>
  <c r="F141" i="17"/>
  <c r="F122" i="17"/>
  <c r="E9" i="17"/>
  <c r="E8" i="17" s="1"/>
  <c r="E133" i="17"/>
  <c r="F134" i="17"/>
  <c r="E4" i="8"/>
  <c r="E155" i="8"/>
  <c r="E4" i="6"/>
  <c r="D109" i="18" l="1"/>
  <c r="E155" i="13"/>
  <c r="E4" i="13"/>
  <c r="D48" i="17"/>
  <c r="D8" i="17"/>
  <c r="D184" i="13"/>
  <c r="D100" i="13"/>
  <c r="D4" i="13" s="1"/>
  <c r="D4" i="8"/>
  <c r="X16" i="17"/>
  <c r="X58" i="17"/>
  <c r="G58" i="17" s="1"/>
  <c r="X64" i="17"/>
  <c r="G64" i="17" s="1"/>
  <c r="X93" i="17"/>
  <c r="G93" i="17" s="1"/>
  <c r="X32" i="17"/>
  <c r="X52" i="17"/>
  <c r="G52" i="17" s="1"/>
  <c r="X33" i="17"/>
  <c r="X42" i="17"/>
  <c r="X78" i="17"/>
  <c r="X91" i="17"/>
  <c r="X70" i="17"/>
  <c r="X62" i="17"/>
  <c r="X138" i="17"/>
  <c r="X149" i="17"/>
  <c r="X120" i="17"/>
  <c r="X112" i="17"/>
  <c r="G112" i="17" s="1"/>
  <c r="X127" i="17"/>
  <c r="G127" i="17" s="1"/>
  <c r="X18" i="17"/>
  <c r="G18" i="17" s="1"/>
  <c r="X88" i="17"/>
  <c r="G88" i="17" s="1"/>
  <c r="X41" i="17"/>
  <c r="X137" i="17"/>
  <c r="X56" i="17"/>
  <c r="G56" i="17" s="1"/>
  <c r="X21" i="17"/>
  <c r="X35" i="17"/>
  <c r="X43" i="17"/>
  <c r="X102" i="17"/>
  <c r="X77" i="17"/>
  <c r="G77" i="17" s="1"/>
  <c r="X69" i="17"/>
  <c r="G69" i="17" s="1"/>
  <c r="X61" i="17"/>
  <c r="X139" i="17"/>
  <c r="X151" i="17"/>
  <c r="G151" i="17" s="1"/>
  <c r="X119" i="17"/>
  <c r="G119" i="17" s="1"/>
  <c r="X110" i="17"/>
  <c r="X19" i="17"/>
  <c r="G19" i="17" s="1"/>
  <c r="X71" i="17"/>
  <c r="X148" i="17"/>
  <c r="G148" i="17" s="1"/>
  <c r="X53" i="17"/>
  <c r="X22" i="17"/>
  <c r="G22" i="17" s="1"/>
  <c r="X36" i="17"/>
  <c r="X44" i="17"/>
  <c r="X60" i="17"/>
  <c r="G60" i="17" s="1"/>
  <c r="X76" i="17"/>
  <c r="G76" i="17" s="1"/>
  <c r="X99" i="17"/>
  <c r="X118" i="17"/>
  <c r="X125" i="17"/>
  <c r="X129" i="17"/>
  <c r="G129" i="17" s="1"/>
  <c r="X57" i="17"/>
  <c r="X128" i="17"/>
  <c r="G128" i="17" s="1"/>
  <c r="X51" i="17"/>
  <c r="X23" i="17"/>
  <c r="X37" i="17"/>
  <c r="X75" i="17"/>
  <c r="G75" i="17" s="1"/>
  <c r="X67" i="17"/>
  <c r="X143" i="17"/>
  <c r="G96" i="17"/>
  <c r="X105" i="17"/>
  <c r="X28" i="17"/>
  <c r="G28" i="17" s="1"/>
  <c r="X26" i="17"/>
  <c r="G26" i="17" s="1"/>
  <c r="X72" i="17"/>
  <c r="X27" i="17"/>
  <c r="G27" i="17" s="1"/>
  <c r="X113" i="17"/>
  <c r="G113" i="17" s="1"/>
  <c r="X13" i="17"/>
  <c r="X79" i="17"/>
  <c r="G79" i="17" s="1"/>
  <c r="X24" i="17"/>
  <c r="X38" i="17"/>
  <c r="X84" i="17"/>
  <c r="X74" i="17"/>
  <c r="X66" i="17"/>
  <c r="X122" i="17"/>
  <c r="G122" i="17" s="1"/>
  <c r="X144" i="17"/>
  <c r="X95" i="17"/>
  <c r="X116" i="17"/>
  <c r="X104" i="17"/>
  <c r="X123" i="17"/>
  <c r="X40" i="17"/>
  <c r="X81" i="17"/>
  <c r="X89" i="17"/>
  <c r="G89" i="17" s="1"/>
  <c r="X92" i="17"/>
  <c r="X14" i="17"/>
  <c r="X17" i="17"/>
  <c r="G17" i="17" s="1"/>
  <c r="X25" i="17"/>
  <c r="X39" i="17"/>
  <c r="X50" i="17"/>
  <c r="X86" i="17"/>
  <c r="G86" i="17" s="1"/>
  <c r="X73" i="17"/>
  <c r="X65" i="17"/>
  <c r="X134" i="17"/>
  <c r="X145" i="17"/>
  <c r="G145" i="17" s="1"/>
  <c r="X94" i="17"/>
  <c r="X115" i="17"/>
  <c r="G115" i="17" s="1"/>
  <c r="X103" i="17"/>
  <c r="G103" i="17" s="1"/>
  <c r="X30" i="17"/>
  <c r="D155" i="8"/>
  <c r="D68" i="18"/>
  <c r="F68" i="18" s="1"/>
  <c r="F53" i="18" s="1"/>
  <c r="G106" i="17"/>
  <c r="G147" i="17"/>
  <c r="G114" i="17"/>
  <c r="G68" i="17"/>
  <c r="G141" i="17"/>
  <c r="V154" i="17"/>
  <c r="V4" i="17" s="1"/>
  <c r="G126" i="17"/>
  <c r="D152" i="17"/>
  <c r="D153" i="17" s="1"/>
  <c r="E152" i="17"/>
  <c r="E131" i="17"/>
  <c r="G92" i="18"/>
  <c r="E48" i="17"/>
  <c r="E100" i="17" s="1"/>
  <c r="D100" i="17" l="1"/>
  <c r="D154" i="17" s="1"/>
  <c r="D155" i="13"/>
  <c r="G143" i="17"/>
  <c r="G102" i="17"/>
  <c r="G81" i="17"/>
  <c r="G123" i="17"/>
  <c r="G25" i="17"/>
  <c r="G50" i="17"/>
  <c r="G99" i="17"/>
  <c r="G95" i="17"/>
  <c r="G70" i="17"/>
  <c r="G30" i="17"/>
  <c r="G67" i="17"/>
  <c r="G51" i="17"/>
  <c r="G72" i="17"/>
  <c r="G24" i="17"/>
  <c r="G144" i="17"/>
  <c r="G23" i="17"/>
  <c r="G62" i="17"/>
  <c r="G29" i="17"/>
  <c r="G134" i="17"/>
  <c r="G138" i="17"/>
  <c r="G120" i="17"/>
  <c r="G20" i="17"/>
  <c r="G61" i="17"/>
  <c r="D53" i="18"/>
  <c r="G53" i="18" s="1"/>
  <c r="G57" i="17"/>
  <c r="G91" i="17"/>
  <c r="G149" i="17"/>
  <c r="G65" i="17"/>
  <c r="G94" i="17"/>
  <c r="G97" i="17"/>
  <c r="G124" i="17"/>
  <c r="W154" i="17"/>
  <c r="G66" i="17"/>
  <c r="G105" i="17"/>
  <c r="G92" i="17"/>
  <c r="G117" i="17"/>
  <c r="G33" i="17"/>
  <c r="G32" i="17"/>
  <c r="G84" i="17"/>
  <c r="G13" i="17"/>
  <c r="G78" i="17"/>
  <c r="G150" i="17"/>
  <c r="G80" i="17"/>
  <c r="G31" i="17"/>
  <c r="G74" i="17"/>
  <c r="G63" i="17"/>
  <c r="G135" i="17"/>
  <c r="G116" i="17"/>
  <c r="G139" i="17"/>
  <c r="G110" i="17"/>
  <c r="G53" i="17"/>
  <c r="G16" i="17"/>
  <c r="G71" i="17"/>
  <c r="G137" i="17"/>
  <c r="G125" i="17"/>
  <c r="G14" i="17"/>
  <c r="G104" i="17"/>
  <c r="G118" i="17"/>
  <c r="G73" i="17"/>
  <c r="G55" i="17"/>
  <c r="G83" i="17"/>
  <c r="G21" i="17"/>
  <c r="E153" i="17"/>
  <c r="E4" i="17" s="1"/>
  <c r="D4" i="17" l="1"/>
  <c r="E154" i="17"/>
  <c r="G4" i="17"/>
  <c r="X154" i="17"/>
  <c r="X4" i="17"/>
  <c r="D91" i="18" l="1"/>
  <c r="D107" i="18"/>
  <c r="D110" i="18" s="1"/>
  <c r="D70" i="18" l="1"/>
  <c r="G70" i="18" s="1"/>
  <c r="F91" i="18"/>
  <c r="F70" i="18" s="1"/>
  <c r="F52" i="18" s="1"/>
  <c r="F104" i="18" s="1"/>
  <c r="F107" i="18" s="1"/>
  <c r="F110" i="18" s="1"/>
  <c r="D52" i="18" l="1"/>
  <c r="D104" i="18" s="1"/>
  <c r="D108" i="18" s="1"/>
  <c r="G52" i="18" l="1"/>
  <c r="G7" i="18"/>
  <c r="J15" i="18"/>
  <c r="J23" i="18"/>
  <c r="J24" i="18"/>
  <c r="J27" i="18"/>
  <c r="J10" i="18"/>
  <c r="J22" i="18"/>
  <c r="J25" i="18"/>
  <c r="J9" i="18"/>
  <c r="J16" i="18"/>
  <c r="J12" i="18"/>
  <c r="J20" i="18"/>
  <c r="L10" i="18"/>
  <c r="M10" i="18" s="1"/>
  <c r="J17" i="18"/>
  <c r="J13" i="18"/>
  <c r="J21" i="18"/>
  <c r="J18" i="18"/>
  <c r="F108" i="18"/>
  <c r="J19" i="18"/>
</calcChain>
</file>

<file path=xl/sharedStrings.xml><?xml version="1.0" encoding="utf-8"?>
<sst xmlns="http://schemas.openxmlformats.org/spreadsheetml/2006/main" count="8795" uniqueCount="994">
  <si>
    <t>2017(Q4)</t>
  </si>
  <si>
    <t>KRW</t>
  </si>
  <si>
    <t>USD</t>
  </si>
  <si>
    <t>Ex rate Information</t>
    <phoneticPr fontId="4" type="noConversion"/>
  </si>
  <si>
    <t>평균환율</t>
    <phoneticPr fontId="6" type="noConversion"/>
  </si>
  <si>
    <t>기말환율</t>
    <phoneticPr fontId="6" type="noConversion"/>
  </si>
  <si>
    <t>Currency</t>
    <phoneticPr fontId="6" type="noConversion"/>
  </si>
  <si>
    <t>2018(Q4)</t>
    <phoneticPr fontId="6" type="noConversion"/>
  </si>
  <si>
    <t>2019(Q2)</t>
    <phoneticPr fontId="6" type="noConversion"/>
  </si>
  <si>
    <t>2019(Q3)</t>
    <phoneticPr fontId="6" type="noConversion"/>
  </si>
  <si>
    <t>2019(Q4)</t>
    <phoneticPr fontId="6" type="noConversion"/>
  </si>
  <si>
    <t>USD</t>
    <phoneticPr fontId="6" type="noConversion"/>
  </si>
  <si>
    <t>Account code</t>
  </si>
  <si>
    <t>Account Name</t>
  </si>
  <si>
    <t>자산</t>
  </si>
  <si>
    <t>BS</t>
  </si>
  <si>
    <t>Ⅰ.유동자산</t>
  </si>
  <si>
    <t>A1101</t>
  </si>
  <si>
    <t>현금시재</t>
  </si>
  <si>
    <t>A11010</t>
  </si>
  <si>
    <t>현금및현금성자산</t>
  </si>
  <si>
    <t>A1102</t>
  </si>
  <si>
    <t>보통예금</t>
  </si>
  <si>
    <t>A1103</t>
  </si>
  <si>
    <t>국고보조금-현금및현금성자산</t>
  </si>
  <si>
    <t>A1104</t>
  </si>
  <si>
    <t>정기예.적금</t>
  </si>
  <si>
    <t>A11040</t>
  </si>
  <si>
    <t>단기금융상품</t>
  </si>
  <si>
    <t>A1105</t>
  </si>
  <si>
    <t>당기손익-공정가치금융자산(유동)</t>
  </si>
  <si>
    <t>A1106</t>
  </si>
  <si>
    <t>외상매출금</t>
  </si>
  <si>
    <t>A11060</t>
  </si>
  <si>
    <t>매출채권</t>
  </si>
  <si>
    <t>A1106C</t>
  </si>
  <si>
    <t>외상매출금/Intercompany</t>
  </si>
  <si>
    <t>A1106-1</t>
  </si>
  <si>
    <t>현재가치할인차금(유동)-외상매출금</t>
  </si>
  <si>
    <t>A1107</t>
  </si>
  <si>
    <t>대손충당금-외상매출금</t>
  </si>
  <si>
    <t>A1107C</t>
  </si>
  <si>
    <t>대손충당금-외상매출금/Intercompany</t>
  </si>
  <si>
    <t>A1109</t>
  </si>
  <si>
    <t>단기대여금</t>
  </si>
  <si>
    <t>A11090</t>
  </si>
  <si>
    <t>기타금융자산</t>
  </si>
  <si>
    <t>A1109-1</t>
  </si>
  <si>
    <t>현재가치할인차금-단기대여금</t>
  </si>
  <si>
    <t>A1111</t>
  </si>
  <si>
    <t>미수수익</t>
  </si>
  <si>
    <t>A1112</t>
  </si>
  <si>
    <t>미수금</t>
  </si>
  <si>
    <t>A1115</t>
  </si>
  <si>
    <t>선급금</t>
  </si>
  <si>
    <t>A11150</t>
  </si>
  <si>
    <t>기타유동자산</t>
  </si>
  <si>
    <t>A1116</t>
  </si>
  <si>
    <t>선급비용</t>
  </si>
  <si>
    <t>A1119</t>
  </si>
  <si>
    <t>당기법인세자산</t>
  </si>
  <si>
    <t>A11190</t>
  </si>
  <si>
    <t>A1118</t>
  </si>
  <si>
    <t>유동성이연법인세자산</t>
  </si>
  <si>
    <t>A11180</t>
  </si>
  <si>
    <t>이연법인세자산</t>
  </si>
  <si>
    <t/>
  </si>
  <si>
    <t>A1201</t>
  </si>
  <si>
    <t>상품</t>
  </si>
  <si>
    <t>A12001</t>
  </si>
  <si>
    <t>재고자산</t>
  </si>
  <si>
    <t>A1202</t>
  </si>
  <si>
    <t>제품</t>
  </si>
  <si>
    <t>A1203</t>
  </si>
  <si>
    <t>제품평가충당금</t>
  </si>
  <si>
    <t>A1204</t>
  </si>
  <si>
    <t>원재료</t>
  </si>
  <si>
    <t>A1205</t>
  </si>
  <si>
    <t>원재료평가충당금</t>
  </si>
  <si>
    <t>A1206</t>
  </si>
  <si>
    <t>부재료</t>
  </si>
  <si>
    <t>A1207</t>
  </si>
  <si>
    <t>재공품</t>
  </si>
  <si>
    <t>A1208</t>
  </si>
  <si>
    <t>재공품평가충당금</t>
  </si>
  <si>
    <t>A1209</t>
  </si>
  <si>
    <t>반제품</t>
  </si>
  <si>
    <t>A1210</t>
  </si>
  <si>
    <t>반제품평가충당금</t>
  </si>
  <si>
    <t>A1211</t>
  </si>
  <si>
    <t>미착품</t>
  </si>
  <si>
    <t>Ⅱ.비유동자산</t>
  </si>
  <si>
    <t>A2103</t>
  </si>
  <si>
    <t>장기대여금</t>
  </si>
  <si>
    <t>A21030</t>
  </si>
  <si>
    <t>기타금융자산(비유동)</t>
  </si>
  <si>
    <t>A2103-1</t>
  </si>
  <si>
    <t>현재가치할인차금-장기대여금</t>
  </si>
  <si>
    <t>A2102</t>
  </si>
  <si>
    <t>당기손익-공정가치금융자산(비유동)</t>
  </si>
  <si>
    <t>A2104</t>
  </si>
  <si>
    <t>장기매도가능증권</t>
  </si>
  <si>
    <t>A21040</t>
  </si>
  <si>
    <t>매도가능금융자산</t>
  </si>
  <si>
    <t>A2106</t>
  </si>
  <si>
    <t>종속기업투자</t>
  </si>
  <si>
    <t>A21060</t>
  </si>
  <si>
    <t>종속관계기업투자</t>
  </si>
  <si>
    <t>A2107</t>
  </si>
  <si>
    <t>관계기업투자</t>
  </si>
  <si>
    <t>A2402</t>
  </si>
  <si>
    <t>임차보증금</t>
  </si>
  <si>
    <t>A2402-1</t>
  </si>
  <si>
    <t>현재가치할인차금-임차보증금</t>
  </si>
  <si>
    <t>A2403</t>
  </si>
  <si>
    <t>회원권</t>
  </si>
  <si>
    <t>A2406</t>
  </si>
  <si>
    <t>비유동매출채권</t>
  </si>
  <si>
    <t>A24060</t>
  </si>
  <si>
    <t>A2406C</t>
  </si>
  <si>
    <t>비유동매출채권/Intercompany</t>
  </si>
  <si>
    <t>A2406-1</t>
  </si>
  <si>
    <t>현재가치할인차금(비유동)-비유동외상매출금</t>
  </si>
  <si>
    <t>A2406-2</t>
  </si>
  <si>
    <t>대손충당금-비유동매출채권</t>
  </si>
  <si>
    <t>(2)유형자산</t>
  </si>
  <si>
    <t>A2201</t>
  </si>
  <si>
    <t>토지</t>
  </si>
  <si>
    <t>A22000</t>
  </si>
  <si>
    <t>유형자산</t>
  </si>
  <si>
    <t>A2202</t>
  </si>
  <si>
    <t>건물</t>
  </si>
  <si>
    <t>A2202-1</t>
  </si>
  <si>
    <t>감가상각누계액-건물</t>
  </si>
  <si>
    <t>A2203</t>
  </si>
  <si>
    <t>구축물</t>
  </si>
  <si>
    <t>A2203-1</t>
  </si>
  <si>
    <t>감가상각누계액-구축물</t>
  </si>
  <si>
    <t>A2204</t>
  </si>
  <si>
    <t>기계장치</t>
  </si>
  <si>
    <t>A2204-1</t>
  </si>
  <si>
    <t>감가상각누계액-기계장치</t>
  </si>
  <si>
    <t>A2204-2</t>
  </si>
  <si>
    <t>손상차손누계액-기계장치</t>
  </si>
  <si>
    <t>A2205</t>
  </si>
  <si>
    <t>차량운반구</t>
  </si>
  <si>
    <t>A2205-1</t>
  </si>
  <si>
    <t>감가상각누계액-차량운반구</t>
  </si>
  <si>
    <t>A2206</t>
  </si>
  <si>
    <t>공구와기구</t>
  </si>
  <si>
    <t>A2206-1</t>
  </si>
  <si>
    <t>감가상각누계액-공구와기구</t>
  </si>
  <si>
    <t>A2206-2</t>
  </si>
  <si>
    <t>손상차손누계액-공구와기구</t>
  </si>
  <si>
    <t>A2207</t>
  </si>
  <si>
    <t>비품</t>
  </si>
  <si>
    <t>A2207-1</t>
  </si>
  <si>
    <t>감가상각누계액-비품</t>
  </si>
  <si>
    <t>A2208</t>
  </si>
  <si>
    <t>건설중인자산</t>
  </si>
  <si>
    <t>A2209</t>
  </si>
  <si>
    <t>시설장치</t>
  </si>
  <si>
    <t>A2209-1</t>
  </si>
  <si>
    <t>감가상각누계액-시설장치</t>
  </si>
  <si>
    <t>A2211</t>
  </si>
  <si>
    <t>사용권자산</t>
  </si>
  <si>
    <t>A2211-1</t>
  </si>
  <si>
    <t>사용권자산-감가상각누계액</t>
  </si>
  <si>
    <t>(3)무형자산</t>
  </si>
  <si>
    <t>A2301</t>
  </si>
  <si>
    <t>영업권</t>
  </si>
  <si>
    <t>A23000</t>
  </si>
  <si>
    <t>무형자산</t>
  </si>
  <si>
    <t>A2302</t>
  </si>
  <si>
    <t>소프트웨어</t>
  </si>
  <si>
    <t>A2303</t>
  </si>
  <si>
    <t>산업재산권</t>
  </si>
  <si>
    <t>A2304</t>
  </si>
  <si>
    <t>골프회원권</t>
  </si>
  <si>
    <t>A2305</t>
  </si>
  <si>
    <t>토지이용권</t>
  </si>
  <si>
    <t>A2306</t>
  </si>
  <si>
    <t>고객관계</t>
  </si>
  <si>
    <t>A2401</t>
  </si>
  <si>
    <t>A24010</t>
  </si>
  <si>
    <t>자산총계</t>
  </si>
  <si>
    <t>부채</t>
  </si>
  <si>
    <t>Ⅰ.유동부채</t>
  </si>
  <si>
    <t>L1001</t>
  </si>
  <si>
    <t>외상매입금</t>
  </si>
  <si>
    <t>L10010</t>
  </si>
  <si>
    <t>매입채무</t>
  </si>
  <si>
    <t>L1001C</t>
  </si>
  <si>
    <t>외상매입금/Intercompany</t>
  </si>
  <si>
    <t>L1002</t>
  </si>
  <si>
    <t>미지급금</t>
  </si>
  <si>
    <t>L10020</t>
  </si>
  <si>
    <t>기타금융부채(유동)</t>
  </si>
  <si>
    <t>L1002C</t>
  </si>
  <si>
    <t>미지급금/Intercompany</t>
  </si>
  <si>
    <t>L1003</t>
  </si>
  <si>
    <t>예수금</t>
  </si>
  <si>
    <t>L10030</t>
  </si>
  <si>
    <t>기타유동부채</t>
  </si>
  <si>
    <t>L1006</t>
  </si>
  <si>
    <t>선수금</t>
  </si>
  <si>
    <t>L1017</t>
  </si>
  <si>
    <t>계약부채</t>
  </si>
  <si>
    <t>L10170</t>
  </si>
  <si>
    <t>L1007</t>
  </si>
  <si>
    <t>단기차입금</t>
  </si>
  <si>
    <t>L10070</t>
  </si>
  <si>
    <t>차입금(유동)</t>
  </si>
  <si>
    <t>L1008</t>
  </si>
  <si>
    <t>미지급세금</t>
  </si>
  <si>
    <t>L10080</t>
  </si>
  <si>
    <t>당기법인세부채</t>
  </si>
  <si>
    <t>L1009</t>
  </si>
  <si>
    <t>미지급비용</t>
  </si>
  <si>
    <t>L1010</t>
  </si>
  <si>
    <t>유동성장기부채</t>
  </si>
  <si>
    <t>L1011</t>
  </si>
  <si>
    <t>연월차충당부채</t>
  </si>
  <si>
    <t>L1022</t>
  </si>
  <si>
    <t>리스부채(유동)</t>
  </si>
  <si>
    <t>L10220</t>
  </si>
  <si>
    <t>L1022-1</t>
  </si>
  <si>
    <t>현재가치할인차금-리스부채(유동)</t>
  </si>
  <si>
    <t>Ⅱ.비유동부채</t>
  </si>
  <si>
    <t>L2001</t>
  </si>
  <si>
    <t>사채</t>
  </si>
  <si>
    <t>L20010</t>
  </si>
  <si>
    <t>사채(비유동)</t>
  </si>
  <si>
    <t>L2002</t>
  </si>
  <si>
    <t>장기차입금</t>
  </si>
  <si>
    <t>L20020</t>
  </si>
  <si>
    <t>차입금(비유동)</t>
  </si>
  <si>
    <t>L2003</t>
  </si>
  <si>
    <t>임대보증금</t>
  </si>
  <si>
    <t>L20030</t>
  </si>
  <si>
    <t>기타금융부채(비유동)</t>
  </si>
  <si>
    <t>L2006</t>
  </si>
  <si>
    <t>지급보증부채</t>
  </si>
  <si>
    <t>L2011</t>
  </si>
  <si>
    <t>기타장기종업원급여채무</t>
  </si>
  <si>
    <t>L20110</t>
  </si>
  <si>
    <t>장기종업원급여</t>
  </si>
  <si>
    <t>L2016</t>
  </si>
  <si>
    <t>리스부채(비유동)</t>
  </si>
  <si>
    <t>L20160</t>
  </si>
  <si>
    <t>L2016-1</t>
  </si>
  <si>
    <t>현재가치할인차금-리스부채(비유동)</t>
  </si>
  <si>
    <t>부채총계</t>
  </si>
  <si>
    <t>자본</t>
  </si>
  <si>
    <t>지배주주지분</t>
  </si>
  <si>
    <t>Ⅰ.자본금</t>
  </si>
  <si>
    <t>S1001</t>
  </si>
  <si>
    <t>보통주자본금</t>
  </si>
  <si>
    <t>S1000</t>
  </si>
  <si>
    <t>자본금</t>
  </si>
  <si>
    <t>II.자본잉여금</t>
  </si>
  <si>
    <t>S2001</t>
  </si>
  <si>
    <t>주식발행초과금</t>
  </si>
  <si>
    <t>S2000</t>
  </si>
  <si>
    <t>자본잉여금</t>
  </si>
  <si>
    <t>S2002</t>
  </si>
  <si>
    <t>자기주식처분이익</t>
  </si>
  <si>
    <t>S2003</t>
  </si>
  <si>
    <t>전환권대가</t>
  </si>
  <si>
    <t>II.자본조정</t>
  </si>
  <si>
    <t>S3001</t>
  </si>
  <si>
    <t>주식선택권</t>
  </si>
  <si>
    <t>S3000</t>
  </si>
  <si>
    <t>자본조정</t>
  </si>
  <si>
    <t>III.기타포괄손익누계액</t>
  </si>
  <si>
    <t>S5001</t>
  </si>
  <si>
    <t>관계기업의기타포괄손익에대한지분(AOCI)</t>
  </si>
  <si>
    <t>S5000</t>
  </si>
  <si>
    <t>기타포괄손익누계액</t>
  </si>
  <si>
    <t>S5002</t>
  </si>
  <si>
    <t>해외사업환산손익(AOCI)</t>
  </si>
  <si>
    <t>S5003</t>
  </si>
  <si>
    <t>재평가잉여금</t>
  </si>
  <si>
    <t>IV.이익잉여금</t>
  </si>
  <si>
    <t>S4001</t>
  </si>
  <si>
    <t>이익준비금</t>
  </si>
  <si>
    <t>S4000</t>
  </si>
  <si>
    <t>이익잉여금</t>
  </si>
  <si>
    <t>S4005</t>
  </si>
  <si>
    <t>순확정부채재측정요소(AOCI)</t>
  </si>
  <si>
    <t>S4003</t>
  </si>
  <si>
    <t>당기순이익</t>
  </si>
  <si>
    <t>S4004</t>
  </si>
  <si>
    <t>미처분이익잉여금</t>
  </si>
  <si>
    <t>비지배지분</t>
  </si>
  <si>
    <t>S0501N</t>
  </si>
  <si>
    <t>비지배지분-자본금</t>
  </si>
  <si>
    <t>S0501</t>
  </si>
  <si>
    <t>S0502N</t>
  </si>
  <si>
    <t>비지배지분-자본잉여금</t>
  </si>
  <si>
    <t>S0503N</t>
  </si>
  <si>
    <t>비지배지분-기타포괄손익누계액</t>
  </si>
  <si>
    <t>S0504N</t>
  </si>
  <si>
    <t>비지배지분-이익잉여금(결손금)</t>
  </si>
  <si>
    <t>자본총계</t>
  </si>
  <si>
    <t>부채와자본총계</t>
  </si>
  <si>
    <t>PL</t>
  </si>
  <si>
    <t>Ⅰ.매출액</t>
  </si>
  <si>
    <t>P1101</t>
  </si>
  <si>
    <t>상품매출</t>
  </si>
  <si>
    <t>P10000</t>
  </si>
  <si>
    <t>매출</t>
  </si>
  <si>
    <t>P1101C</t>
  </si>
  <si>
    <t>상품매출/Intercompany</t>
  </si>
  <si>
    <t>P1102</t>
  </si>
  <si>
    <t>제품매출</t>
  </si>
  <si>
    <t>P1102C</t>
  </si>
  <si>
    <t>제품매출/Intercompany</t>
  </si>
  <si>
    <t>P1103</t>
  </si>
  <si>
    <t>수출매출</t>
  </si>
  <si>
    <t>P1103C</t>
  </si>
  <si>
    <t>수출매출/Intercompany</t>
  </si>
  <si>
    <t>II.매출원가</t>
  </si>
  <si>
    <t>E1001</t>
  </si>
  <si>
    <t>상품매출원가</t>
  </si>
  <si>
    <t>E10000</t>
  </si>
  <si>
    <t>매출원가</t>
  </si>
  <si>
    <t>E1001C</t>
  </si>
  <si>
    <t>상품매출원가/Intercompany</t>
  </si>
  <si>
    <t>E1002</t>
  </si>
  <si>
    <t>제품매출원가</t>
  </si>
  <si>
    <t>E1002C</t>
  </si>
  <si>
    <t>제품매출원가/Intercompany</t>
  </si>
  <si>
    <t>III.매출총이익</t>
  </si>
  <si>
    <t>IV.판매비와관리비</t>
  </si>
  <si>
    <t>E2001</t>
  </si>
  <si>
    <t>임원급여</t>
  </si>
  <si>
    <t>E20000</t>
  </si>
  <si>
    <t>판매비와관리비</t>
  </si>
  <si>
    <t>E2002</t>
  </si>
  <si>
    <t>직원급여</t>
  </si>
  <si>
    <t>E2003</t>
  </si>
  <si>
    <t>퇴직급여</t>
  </si>
  <si>
    <t>E2004</t>
  </si>
  <si>
    <t>복리후생비</t>
  </si>
  <si>
    <t>E2005</t>
  </si>
  <si>
    <t>여비교통비</t>
  </si>
  <si>
    <t>E2006</t>
  </si>
  <si>
    <t>접대비</t>
  </si>
  <si>
    <t>E2007</t>
  </si>
  <si>
    <t>통신비</t>
  </si>
  <si>
    <t>E2008</t>
  </si>
  <si>
    <t>전력비</t>
  </si>
  <si>
    <t>E2009</t>
  </si>
  <si>
    <t>세금과공과금</t>
  </si>
  <si>
    <t>E2010</t>
  </si>
  <si>
    <t>감가상각비</t>
  </si>
  <si>
    <t>E2011</t>
  </si>
  <si>
    <t>지급임차료</t>
  </si>
  <si>
    <t>E2013</t>
  </si>
  <si>
    <t>수선비</t>
  </si>
  <si>
    <t>E2012</t>
  </si>
  <si>
    <t>보험료</t>
  </si>
  <si>
    <t>E2014</t>
  </si>
  <si>
    <t>차량유지비</t>
  </si>
  <si>
    <t>E2015</t>
  </si>
  <si>
    <t>경상연구개발비</t>
  </si>
  <si>
    <t>E2015C</t>
  </si>
  <si>
    <t>경상연구개발비/Intercompany</t>
  </si>
  <si>
    <t>E2016</t>
  </si>
  <si>
    <t>운반비</t>
  </si>
  <si>
    <t>E2016C</t>
  </si>
  <si>
    <t>운반비/Intercompany</t>
  </si>
  <si>
    <t>E2017</t>
  </si>
  <si>
    <t>교육훈련비</t>
  </si>
  <si>
    <t>E2018</t>
  </si>
  <si>
    <t>도서인쇄비</t>
  </si>
  <si>
    <t>E2019</t>
  </si>
  <si>
    <t>소모품비</t>
  </si>
  <si>
    <t>E2019C</t>
  </si>
  <si>
    <t>소모품비/Intercompany</t>
  </si>
  <si>
    <t>E2020</t>
  </si>
  <si>
    <t>지급수수료</t>
  </si>
  <si>
    <t>E2020C</t>
  </si>
  <si>
    <t>지급수수료/Intercompany</t>
  </si>
  <si>
    <t>E2021</t>
  </si>
  <si>
    <t>광고선전비</t>
  </si>
  <si>
    <t>E2023</t>
  </si>
  <si>
    <t>판매촉진비</t>
  </si>
  <si>
    <t>E2022</t>
  </si>
  <si>
    <t>대손상각비</t>
  </si>
  <si>
    <t>E2024</t>
  </si>
  <si>
    <t>수출제비용</t>
  </si>
  <si>
    <t>E2024C</t>
  </si>
  <si>
    <t>수출제비용/Intercompany</t>
  </si>
  <si>
    <t>E2025</t>
  </si>
  <si>
    <t>무형고정자산상각</t>
  </si>
  <si>
    <t>E2028</t>
  </si>
  <si>
    <t>기타의판매관리비</t>
  </si>
  <si>
    <t>E2030</t>
  </si>
  <si>
    <t>주식보상비용</t>
  </si>
  <si>
    <t>V.영업이익</t>
  </si>
  <si>
    <t>VI.영업외수익</t>
  </si>
  <si>
    <t>P2001</t>
  </si>
  <si>
    <t>이자수익</t>
  </si>
  <si>
    <t>P20000</t>
  </si>
  <si>
    <t>기타수익</t>
  </si>
  <si>
    <t>P2002</t>
  </si>
  <si>
    <t>외환차익</t>
  </si>
  <si>
    <t>P2003</t>
  </si>
  <si>
    <t>외화환산이익</t>
  </si>
  <si>
    <t>P2006</t>
  </si>
  <si>
    <t>P2012</t>
  </si>
  <si>
    <t>투자자산처분이익</t>
  </si>
  <si>
    <t>P2013</t>
  </si>
  <si>
    <t>지분법이익</t>
  </si>
  <si>
    <t>P40000</t>
  </si>
  <si>
    <t>종속기업의당기손익에대한지분</t>
  </si>
  <si>
    <t>P2014</t>
  </si>
  <si>
    <t>잡이익</t>
  </si>
  <si>
    <t>VII.영업외비용</t>
  </si>
  <si>
    <t>E3001</t>
  </si>
  <si>
    <t>이자비용</t>
  </si>
  <si>
    <t>E30000</t>
  </si>
  <si>
    <t>기타비용</t>
  </si>
  <si>
    <t>E3002</t>
  </si>
  <si>
    <t>외환차손</t>
  </si>
  <si>
    <t>E3005</t>
  </si>
  <si>
    <t>외화환산손실</t>
  </si>
  <si>
    <t>E3016</t>
  </si>
  <si>
    <t>지분법손실</t>
  </si>
  <si>
    <t>E3012</t>
  </si>
  <si>
    <t>투자자산손상차손</t>
  </si>
  <si>
    <t>E3015</t>
  </si>
  <si>
    <t>투자자산처분손실</t>
  </si>
  <si>
    <t>E3008</t>
  </si>
  <si>
    <t>유형자산처분손실</t>
  </si>
  <si>
    <t>E3017</t>
  </si>
  <si>
    <t>잡손실</t>
  </si>
  <si>
    <t>VIII.금융수익</t>
  </si>
  <si>
    <t>P3001</t>
  </si>
  <si>
    <t>이자수익(금융)</t>
  </si>
  <si>
    <t>P30000</t>
  </si>
  <si>
    <t>금융수익</t>
  </si>
  <si>
    <t>P3001C</t>
  </si>
  <si>
    <t>이자수익(금융)/Intercompany</t>
  </si>
  <si>
    <t>IX.금융비용</t>
  </si>
  <si>
    <t>E4001</t>
  </si>
  <si>
    <t>이자비용(금융)</t>
  </si>
  <si>
    <t>E40000</t>
  </si>
  <si>
    <t>금융비용</t>
  </si>
  <si>
    <t>E4001C</t>
  </si>
  <si>
    <t>이자비용(금융)/Intercompany</t>
  </si>
  <si>
    <t>E4009</t>
  </si>
  <si>
    <t>금융자산평가손실</t>
  </si>
  <si>
    <t>X.관계기업의 당기손익에 대한 지분</t>
  </si>
  <si>
    <t>P4001</t>
  </si>
  <si>
    <t>종속기업의당기손익에대한지분(P&amp;L)</t>
  </si>
  <si>
    <t>XI.법인세비용차감전순이익</t>
  </si>
  <si>
    <t>XII.법인세비용</t>
  </si>
  <si>
    <t>E5001</t>
  </si>
  <si>
    <t>법인세비용</t>
  </si>
  <si>
    <t>E50000</t>
  </si>
  <si>
    <t>XIII.당기순이익</t>
  </si>
  <si>
    <t>P0501N</t>
  </si>
  <si>
    <t>지배주주지분당기순이익(손실)</t>
  </si>
  <si>
    <t>N0101N</t>
  </si>
  <si>
    <t>비지배지분-당기순이익(손실)</t>
  </si>
  <si>
    <t>XIV.기타포괄손익</t>
  </si>
  <si>
    <t>O1001</t>
  </si>
  <si>
    <t>순확정급여부채의재측정요소(OCI)</t>
  </si>
  <si>
    <t>O10000</t>
  </si>
  <si>
    <t>기타포괄손익</t>
  </si>
  <si>
    <t>O1002</t>
  </si>
  <si>
    <t>종속관계기업의기타포괄손익에대한지분(OCI)</t>
  </si>
  <si>
    <t>O1003</t>
  </si>
  <si>
    <t>해외사업환산손익(OCI)</t>
  </si>
  <si>
    <t>O1004</t>
  </si>
  <si>
    <t>매도가능금융자산의평가손익(OCI)</t>
  </si>
  <si>
    <t>O1005</t>
  </si>
  <si>
    <t>현금흐름위험회피파생상품평가손익(OCI)</t>
  </si>
  <si>
    <t>P900000</t>
  </si>
  <si>
    <t>총포괄손익</t>
  </si>
  <si>
    <t>지배주주지분기타포괄손익</t>
  </si>
  <si>
    <t>비지배주주지분기타포괄손익</t>
  </si>
  <si>
    <t>O1001N</t>
  </si>
  <si>
    <t>비지배지분-(OCI)순확정급여부채의재측정요소</t>
  </si>
  <si>
    <t>O10010</t>
  </si>
  <si>
    <t>기타포괄손익-비지배지분</t>
  </si>
  <si>
    <t>O1002N</t>
  </si>
  <si>
    <t>비지배지분-(OCI)관계기업의기타포괄손익에대한지분</t>
  </si>
  <si>
    <t>O1003N</t>
  </si>
  <si>
    <t>비지배지분-(OCI)해외사업환산손익</t>
  </si>
  <si>
    <t>O1004N</t>
  </si>
  <si>
    <t>비지배지분-(OCI)매도가능금융자산의평가손익</t>
  </si>
  <si>
    <t>O1005N</t>
  </si>
  <si>
    <t>비지배지분-(OCI)현금흐름위험회피파생상품평가손익</t>
  </si>
  <si>
    <t>IFRS PKG Version</t>
    <phoneticPr fontId="6" type="noConversion"/>
  </si>
  <si>
    <t>Local Currency</t>
    <phoneticPr fontId="6" type="noConversion"/>
  </si>
  <si>
    <t>Disclosure Level -</t>
    <phoneticPr fontId="2" type="noConversion"/>
  </si>
  <si>
    <t>IFRS</t>
    <phoneticPr fontId="2" type="noConversion"/>
  </si>
  <si>
    <t>SDB Korea</t>
    <phoneticPr fontId="6" type="noConversion"/>
  </si>
  <si>
    <t>Code</t>
    <phoneticPr fontId="2" type="noConversion"/>
  </si>
  <si>
    <t>Account (P/D Level))</t>
    <phoneticPr fontId="2" type="noConversion"/>
  </si>
  <si>
    <t>A11050</t>
  </si>
  <si>
    <t>A1121</t>
  </si>
  <si>
    <t>반환재고회수권(계약자산)</t>
  </si>
  <si>
    <t>A21020</t>
  </si>
  <si>
    <t>L1023</t>
  </si>
  <si>
    <t>환불부채(반품관련)</t>
  </si>
  <si>
    <t>L2004</t>
  </si>
  <si>
    <t>퇴직급여충당부채</t>
  </si>
  <si>
    <t>L20040</t>
  </si>
  <si>
    <t>순확정급여부채</t>
  </si>
  <si>
    <t>S4002</t>
  </si>
  <si>
    <t>관계기업의이익잉여금에대한지분(AOCI)</t>
  </si>
  <si>
    <t>P1104</t>
  </si>
  <si>
    <t>용역매출</t>
  </si>
  <si>
    <t>E1003</t>
  </si>
  <si>
    <t>수출매출원가</t>
  </si>
  <si>
    <t>E1003C</t>
  </si>
  <si>
    <t>수출매출원가/Intercompany</t>
  </si>
  <si>
    <t>E1004</t>
  </si>
  <si>
    <t>용역매출원가</t>
  </si>
  <si>
    <t>유형자산처분이익</t>
  </si>
  <si>
    <t>P3010</t>
  </si>
  <si>
    <t>금융자산평가이익</t>
  </si>
  <si>
    <t>O1006</t>
  </si>
  <si>
    <t>종속관계기업의이익이여금에대한지분(OCI)</t>
  </si>
  <si>
    <t>IFRS Consolidation Worksheet</t>
    <phoneticPr fontId="6" type="noConversion"/>
  </si>
  <si>
    <t>Date :</t>
    <phoneticPr fontId="6" type="noConversion"/>
  </si>
  <si>
    <t>비지배주주지분</t>
  </si>
  <si>
    <t>O1006N</t>
  </si>
  <si>
    <t>비지배지분-(OCI)관계기업의이익잉여금에대한지분</t>
  </si>
  <si>
    <t>조정금액 순효과</t>
  </si>
  <si>
    <t>XIV.지배주주기타포괄손익</t>
  </si>
  <si>
    <t>연결정산표</t>
    <phoneticPr fontId="6" type="noConversion"/>
  </si>
  <si>
    <t>단순합산</t>
    <phoneticPr fontId="6" type="noConversion"/>
  </si>
  <si>
    <t>연결조정분개</t>
    <phoneticPr fontId="6" type="noConversion"/>
  </si>
  <si>
    <t>조정금액 순효과</t>
    <phoneticPr fontId="6" type="noConversion"/>
  </si>
  <si>
    <t>전기말 대비 변동</t>
    <phoneticPr fontId="6" type="noConversion"/>
  </si>
  <si>
    <t>비고</t>
    <phoneticPr fontId="6" type="noConversion"/>
  </si>
  <si>
    <t>CF Worksheet</t>
    <phoneticPr fontId="24" type="noConversion"/>
  </si>
  <si>
    <r>
      <rPr>
        <sz val="9"/>
        <color theme="1"/>
        <rFont val="맑은 고딕"/>
        <family val="3"/>
        <charset val="129"/>
      </rPr>
      <t>검증</t>
    </r>
    <phoneticPr fontId="24" type="noConversion"/>
  </si>
  <si>
    <r>
      <rPr>
        <sz val="9"/>
        <rFont val="맑은 고딕"/>
        <family val="3"/>
        <charset val="129"/>
      </rPr>
      <t>대차검증</t>
    </r>
    <phoneticPr fontId="4" type="noConversion"/>
  </si>
  <si>
    <t>Account 
Code</t>
    <phoneticPr fontId="24" type="noConversion"/>
  </si>
  <si>
    <t>Account</t>
    <phoneticPr fontId="24" type="noConversion"/>
  </si>
  <si>
    <r>
      <rPr>
        <b/>
        <sz val="9"/>
        <color theme="0"/>
        <rFont val="맑은 고딕"/>
        <family val="3"/>
        <charset val="129"/>
      </rPr>
      <t>증감</t>
    </r>
  </si>
  <si>
    <r>
      <rPr>
        <b/>
        <sz val="9"/>
        <color theme="0"/>
        <rFont val="맑은 고딕"/>
        <family val="3"/>
        <charset val="129"/>
      </rPr>
      <t>검증</t>
    </r>
  </si>
  <si>
    <r>
      <rPr>
        <b/>
        <sz val="9"/>
        <color theme="0"/>
        <rFont val="맑은 고딕"/>
        <family val="3"/>
        <charset val="129"/>
      </rPr>
      <t>영업활동으로</t>
    </r>
    <r>
      <rPr>
        <b/>
        <sz val="9"/>
        <color theme="0"/>
        <rFont val="Tahoma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인한</t>
    </r>
    <r>
      <rPr>
        <b/>
        <sz val="9"/>
        <color theme="0"/>
        <rFont val="Tahoma"/>
        <family val="2"/>
      </rPr>
      <t xml:space="preserve"> </t>
    </r>
    <r>
      <rPr>
        <b/>
        <sz val="9"/>
        <color theme="0"/>
        <rFont val="맑은 고딕"/>
        <family val="3"/>
        <charset val="129"/>
      </rPr>
      <t>현금흐름</t>
    </r>
    <phoneticPr fontId="4" type="noConversion"/>
  </si>
  <si>
    <r>
      <rPr>
        <b/>
        <sz val="9"/>
        <color theme="0"/>
        <rFont val="맑은 고딕"/>
        <family val="3"/>
        <charset val="129"/>
      </rPr>
      <t>투자활동</t>
    </r>
    <phoneticPr fontId="4" type="noConversion"/>
  </si>
  <si>
    <r>
      <rPr>
        <b/>
        <sz val="9"/>
        <color theme="0"/>
        <rFont val="맑은 고딕"/>
        <family val="3"/>
        <charset val="129"/>
      </rPr>
      <t>재무활동</t>
    </r>
    <phoneticPr fontId="4" type="noConversion"/>
  </si>
  <si>
    <r>
      <rPr>
        <b/>
        <sz val="9"/>
        <color theme="0"/>
        <rFont val="맑은 고딕"/>
        <family val="3"/>
        <charset val="129"/>
      </rPr>
      <t>대체</t>
    </r>
    <phoneticPr fontId="4" type="noConversion"/>
  </si>
  <si>
    <t>K-IFRS</t>
    <phoneticPr fontId="24" type="noConversion"/>
  </si>
  <si>
    <t>Description</t>
  </si>
  <si>
    <t>Amount</t>
    <phoneticPr fontId="4" type="noConversion"/>
  </si>
  <si>
    <r>
      <rPr>
        <b/>
        <sz val="9"/>
        <color theme="0"/>
        <rFont val="맑은 고딕"/>
        <family val="3"/>
        <charset val="129"/>
      </rPr>
      <t>유출없는비용</t>
    </r>
    <phoneticPr fontId="4" type="noConversion"/>
  </si>
  <si>
    <r>
      <rPr>
        <b/>
        <sz val="9"/>
        <color theme="0"/>
        <rFont val="맑은 고딕"/>
        <family val="3"/>
        <charset val="129"/>
      </rPr>
      <t>유입없는수익</t>
    </r>
    <phoneticPr fontId="4" type="noConversion"/>
  </si>
  <si>
    <r>
      <rPr>
        <b/>
        <sz val="9"/>
        <color theme="0"/>
        <rFont val="맑은 고딕"/>
        <family val="3"/>
        <charset val="129"/>
      </rPr>
      <t>간접법</t>
    </r>
    <phoneticPr fontId="4" type="noConversion"/>
  </si>
  <si>
    <r>
      <rPr>
        <b/>
        <sz val="9"/>
        <color theme="0"/>
        <rFont val="맑은 고딕"/>
        <family val="3"/>
        <charset val="129"/>
      </rPr>
      <t>직접법</t>
    </r>
    <phoneticPr fontId="4" type="noConversion"/>
  </si>
  <si>
    <r>
      <rPr>
        <b/>
        <sz val="9"/>
        <color theme="0"/>
        <rFont val="맑은 고딕"/>
        <family val="3"/>
        <charset val="129"/>
      </rPr>
      <t xml:space="preserve">자산증감
</t>
    </r>
    <r>
      <rPr>
        <b/>
        <sz val="9"/>
        <color theme="0"/>
        <rFont val="Tahoma"/>
        <family val="2"/>
      </rPr>
      <t>(</t>
    </r>
    <r>
      <rPr>
        <b/>
        <sz val="9"/>
        <color theme="0"/>
        <rFont val="맑은 고딕"/>
        <family val="3"/>
        <charset val="129"/>
      </rPr>
      <t>현금유출입</t>
    </r>
    <r>
      <rPr>
        <b/>
        <sz val="9"/>
        <color theme="0"/>
        <rFont val="Tahoma"/>
        <family val="2"/>
      </rPr>
      <t>)</t>
    </r>
    <phoneticPr fontId="4" type="noConversion"/>
  </si>
  <si>
    <r>
      <rPr>
        <b/>
        <sz val="9"/>
        <color theme="0"/>
        <rFont val="맑은 고딕"/>
        <family val="3"/>
        <charset val="129"/>
      </rPr>
      <t>현금유입</t>
    </r>
    <phoneticPr fontId="4" type="noConversion"/>
  </si>
  <si>
    <r>
      <rPr>
        <b/>
        <sz val="9"/>
        <color theme="0"/>
        <rFont val="맑은 고딕"/>
        <family val="3"/>
        <charset val="129"/>
      </rPr>
      <t>현금유출</t>
    </r>
    <phoneticPr fontId="4" type="noConversion"/>
  </si>
  <si>
    <t>Description #No</t>
    <phoneticPr fontId="4" type="noConversion"/>
  </si>
  <si>
    <r>
      <rPr>
        <b/>
        <sz val="9"/>
        <color theme="0"/>
        <rFont val="맑은 고딕"/>
        <family val="3"/>
        <charset val="129"/>
      </rPr>
      <t>차변금액</t>
    </r>
    <phoneticPr fontId="4" type="noConversion"/>
  </si>
  <si>
    <r>
      <rPr>
        <b/>
        <sz val="9"/>
        <color theme="0"/>
        <rFont val="맑은 고딕"/>
        <family val="3"/>
        <charset val="129"/>
      </rPr>
      <t>대변금액</t>
    </r>
    <phoneticPr fontId="4" type="noConversion"/>
  </si>
  <si>
    <t>유동자산</t>
  </si>
  <si>
    <t>당좌자산</t>
  </si>
  <si>
    <t>외화환산이익</t>
    <phoneticPr fontId="32" type="noConversion"/>
  </si>
  <si>
    <t>외화환산손실</t>
    <phoneticPr fontId="32" type="noConversion"/>
  </si>
  <si>
    <t>금융자산평가이익</t>
    <phoneticPr fontId="2" type="noConversion"/>
  </si>
  <si>
    <t>대손상각비</t>
    <phoneticPr fontId="2" type="noConversion"/>
  </si>
  <si>
    <t>이자수익(금융)</t>
    <phoneticPr fontId="2" type="noConversion"/>
  </si>
  <si>
    <t>법인세비용</t>
    <phoneticPr fontId="2" type="noConversion"/>
  </si>
  <si>
    <t>재고자산</t>
    <phoneticPr fontId="32" type="noConversion"/>
  </si>
  <si>
    <t>비유동자산</t>
  </si>
  <si>
    <t>투자자산</t>
  </si>
  <si>
    <t>금융자산평가손실</t>
    <phoneticPr fontId="2" type="noConversion"/>
  </si>
  <si>
    <t>투자자산처분이익</t>
    <phoneticPr fontId="2" type="noConversion"/>
  </si>
  <si>
    <t>감가상각비</t>
    <phoneticPr fontId="2" type="noConversion"/>
  </si>
  <si>
    <t>유형자산처분이익</t>
    <phoneticPr fontId="2" type="noConversion"/>
  </si>
  <si>
    <t>유형자산처분손실</t>
    <phoneticPr fontId="2" type="noConversion"/>
  </si>
  <si>
    <t>무형자산상각비</t>
    <phoneticPr fontId="24" type="noConversion"/>
  </si>
  <si>
    <t>회원권(골프회원권 등)</t>
  </si>
  <si>
    <t>기타비유동자산</t>
  </si>
  <si>
    <t>법인세비용</t>
    <phoneticPr fontId="24" type="noConversion"/>
  </si>
  <si>
    <t>유동부채</t>
  </si>
  <si>
    <t>외화환산이익</t>
    <phoneticPr fontId="2" type="noConversion"/>
  </si>
  <si>
    <t>외화환산손실</t>
    <phoneticPr fontId="2" type="noConversion"/>
  </si>
  <si>
    <t>계약부채</t>
    <phoneticPr fontId="2" type="noConversion"/>
  </si>
  <si>
    <t>이자비용(금융)</t>
    <phoneticPr fontId="2" type="noConversion"/>
  </si>
  <si>
    <t>연차충당부채전입</t>
    <phoneticPr fontId="2" type="noConversion"/>
  </si>
  <si>
    <t>비유동부채</t>
  </si>
  <si>
    <t>지급보증부채</t>
    <phoneticPr fontId="2" type="noConversion"/>
  </si>
  <si>
    <t>우선주자본금</t>
  </si>
  <si>
    <t>주식선택권</t>
    <phoneticPr fontId="2" type="noConversion"/>
  </si>
  <si>
    <t>주식보상비용</t>
    <phoneticPr fontId="2" type="noConversion"/>
  </si>
  <si>
    <t>기타포괄손익누계액</t>
    <phoneticPr fontId="24" type="noConversion"/>
  </si>
  <si>
    <t>당기순이익</t>
    <phoneticPr fontId="2" type="noConversion"/>
  </si>
  <si>
    <t>금액</t>
  </si>
  <si>
    <t>검증</t>
  </si>
  <si>
    <t>외화환산</t>
    <phoneticPr fontId="4" type="noConversion"/>
  </si>
  <si>
    <t>외화환산이익</t>
    <phoneticPr fontId="4" type="noConversion"/>
  </si>
  <si>
    <t>외화환산손실</t>
    <phoneticPr fontId="4" type="noConversion"/>
  </si>
  <si>
    <t>CF</t>
    <phoneticPr fontId="2" type="noConversion"/>
  </si>
  <si>
    <t>PL</t>
    <phoneticPr fontId="2" type="noConversion"/>
  </si>
  <si>
    <t>Diff</t>
    <phoneticPr fontId="2" type="noConversion"/>
  </si>
  <si>
    <t>Ⅰ. 영업활동으로 인한 현금흐름</t>
  </si>
  <si>
    <t>현금</t>
  </si>
  <si>
    <t>1. 영업에서 창출된 현금</t>
  </si>
  <si>
    <t>(1) 당기순이익</t>
  </si>
  <si>
    <t>미수금</t>
    <phoneticPr fontId="32" type="noConversion"/>
  </si>
  <si>
    <t>(2) 수익비용의 조정</t>
  </si>
  <si>
    <t>(3) 자산부채의 변동</t>
  </si>
  <si>
    <t>2. 이자의 수취</t>
  </si>
  <si>
    <t>Total</t>
    <phoneticPr fontId="24" type="noConversion"/>
  </si>
  <si>
    <t>3. 이자의 지급</t>
  </si>
  <si>
    <t>P/L</t>
    <phoneticPr fontId="24" type="noConversion"/>
  </si>
  <si>
    <t>4. 배당금의 수취</t>
  </si>
  <si>
    <t>Check</t>
    <phoneticPr fontId="24" type="noConversion"/>
  </si>
  <si>
    <t>5. 법인세의 환급(납부)</t>
  </si>
  <si>
    <t>Ⅱ. 투자활동으로 인한 현금흐름</t>
  </si>
  <si>
    <t>감가상각비</t>
    <phoneticPr fontId="4" type="noConversion"/>
  </si>
  <si>
    <t>판매관리비</t>
    <phoneticPr fontId="4" type="noConversion"/>
  </si>
  <si>
    <t>제조원가</t>
    <phoneticPr fontId="4" type="noConversion"/>
  </si>
  <si>
    <t>연구개발비</t>
    <phoneticPr fontId="4" type="noConversion"/>
  </si>
  <si>
    <t>Total</t>
    <phoneticPr fontId="4" type="noConversion"/>
  </si>
  <si>
    <t>1. 투자활동으로 인한 현금유입액</t>
  </si>
  <si>
    <t>2. 투자활동으로 인한 현금유출액</t>
  </si>
  <si>
    <t>기계장치</t>
    <phoneticPr fontId="2" type="noConversion"/>
  </si>
  <si>
    <t>차량운반구</t>
    <phoneticPr fontId="4" type="noConversion"/>
  </si>
  <si>
    <t>Ⅲ. 재무활동으로 인한 현금흐름</t>
  </si>
  <si>
    <t>공구와기구</t>
    <phoneticPr fontId="2" type="noConversion"/>
  </si>
  <si>
    <t>1. 재무활동으로 인한 현금유입액</t>
  </si>
  <si>
    <t>비품</t>
    <phoneticPr fontId="4" type="noConversion"/>
  </si>
  <si>
    <t>2. 재무활동으로 인한 현금유출액</t>
  </si>
  <si>
    <t>시설장치</t>
    <phoneticPr fontId="4" type="noConversion"/>
  </si>
  <si>
    <t>사용권자산</t>
    <phoneticPr fontId="2" type="noConversion"/>
  </si>
  <si>
    <t>Ⅳ. 현금의 증가</t>
  </si>
  <si>
    <t>Ⅴ. 기초의 현금</t>
  </si>
  <si>
    <t>현금및현금성자산의 환율변동효과</t>
  </si>
  <si>
    <t>추정기말현금</t>
  </si>
  <si>
    <t>무형자산상각비</t>
    <phoneticPr fontId="4" type="noConversion"/>
  </si>
  <si>
    <t>Ⅵ. 기말의 현금</t>
  </si>
  <si>
    <t>게임라이선스</t>
    <phoneticPr fontId="4" type="noConversion"/>
  </si>
  <si>
    <t>연차충당부채</t>
    <phoneticPr fontId="4" type="noConversion"/>
  </si>
  <si>
    <t>2018년말</t>
    <phoneticPr fontId="4" type="noConversion"/>
  </si>
  <si>
    <t>2019년말</t>
    <phoneticPr fontId="4" type="noConversion"/>
  </si>
  <si>
    <t>2020년말</t>
    <phoneticPr fontId="4" type="noConversion"/>
  </si>
  <si>
    <t>발생주의분</t>
  </si>
  <si>
    <t>현금보상분</t>
  </si>
  <si>
    <t>퇴직급여</t>
    <phoneticPr fontId="4" type="noConversion"/>
  </si>
  <si>
    <t>경상연구개발비</t>
    <phoneticPr fontId="4" type="noConversion"/>
  </si>
  <si>
    <t>합계</t>
    <phoneticPr fontId="4" type="noConversion"/>
  </si>
  <si>
    <t>대손상각비/환입</t>
    <phoneticPr fontId="4" type="noConversion"/>
  </si>
  <si>
    <t>대손상각비</t>
    <phoneticPr fontId="4" type="noConversion"/>
  </si>
  <si>
    <t>대손충당금환입</t>
    <phoneticPr fontId="4" type="noConversion"/>
  </si>
  <si>
    <t>기타의대손상각비</t>
    <phoneticPr fontId="4" type="noConversion"/>
  </si>
  <si>
    <t>기타의대손충당금환입</t>
    <phoneticPr fontId="4" type="noConversion"/>
  </si>
  <si>
    <t>매출채권</t>
    <phoneticPr fontId="4" type="noConversion"/>
  </si>
  <si>
    <t>대여금</t>
  </si>
  <si>
    <t>미수금</t>
    <phoneticPr fontId="4" type="noConversion"/>
  </si>
  <si>
    <t>선급금</t>
    <phoneticPr fontId="4" type="noConversion"/>
  </si>
  <si>
    <t>유동성장기대여금</t>
  </si>
  <si>
    <t>장기대여금</t>
    <phoneticPr fontId="4" type="noConversion"/>
  </si>
  <si>
    <t>검증</t>
    <phoneticPr fontId="4" type="noConversion"/>
  </si>
  <si>
    <t>유형자산처분</t>
    <phoneticPr fontId="4" type="noConversion"/>
  </si>
  <si>
    <t>유형자산처분이익</t>
    <phoneticPr fontId="4" type="noConversion"/>
  </si>
  <si>
    <t>유형자산처분손실</t>
    <phoneticPr fontId="4" type="noConversion"/>
  </si>
  <si>
    <t>토지</t>
    <phoneticPr fontId="4" type="noConversion"/>
  </si>
  <si>
    <t>구축물</t>
    <phoneticPr fontId="4" type="noConversion"/>
  </si>
  <si>
    <t>리스개량자산</t>
    <phoneticPr fontId="4" type="noConversion"/>
  </si>
  <si>
    <t>이자비용(금융)</t>
    <phoneticPr fontId="4" type="noConversion"/>
  </si>
  <si>
    <t>단기차입금</t>
    <phoneticPr fontId="4" type="noConversion"/>
  </si>
  <si>
    <t>유동성장기차입금</t>
    <phoneticPr fontId="4" type="noConversion"/>
  </si>
  <si>
    <t>전환사채</t>
    <phoneticPr fontId="4" type="noConversion"/>
  </si>
  <si>
    <t>전환사채(할인차금)</t>
  </si>
  <si>
    <t>회사채(액면)</t>
    <phoneticPr fontId="4" type="noConversion"/>
  </si>
  <si>
    <t>회사채(할증금)</t>
    <phoneticPr fontId="4" type="noConversion"/>
  </si>
  <si>
    <t>장기차입금</t>
    <phoneticPr fontId="4" type="noConversion"/>
  </si>
  <si>
    <t>투자자산처분</t>
    <phoneticPr fontId="4" type="noConversion"/>
  </si>
  <si>
    <t>투자자산처분이익</t>
    <phoneticPr fontId="4" type="noConversion"/>
  </si>
  <si>
    <t>투자자산처분손실</t>
    <phoneticPr fontId="4" type="noConversion"/>
  </si>
  <si>
    <t>단기투자자산</t>
  </si>
  <si>
    <t>장기금융상품</t>
  </si>
  <si>
    <t>종속기업투자주식</t>
    <phoneticPr fontId="4" type="noConversion"/>
  </si>
  <si>
    <t>(*10)</t>
    <phoneticPr fontId="4" type="noConversion"/>
  </si>
  <si>
    <t>무형자산처분</t>
    <phoneticPr fontId="4" type="noConversion"/>
  </si>
  <si>
    <t>무형자산처분이익</t>
    <phoneticPr fontId="4" type="noConversion"/>
  </si>
  <si>
    <t>무형자산처분손실</t>
    <phoneticPr fontId="4" type="noConversion"/>
  </si>
  <si>
    <t>산업재산권</t>
    <phoneticPr fontId="4" type="noConversion"/>
  </si>
  <si>
    <t>(*11)</t>
    <phoneticPr fontId="4" type="noConversion"/>
  </si>
  <si>
    <t>이자비용</t>
    <phoneticPr fontId="4" type="noConversion"/>
  </si>
  <si>
    <t>금액</t>
    <phoneticPr fontId="4" type="noConversion"/>
  </si>
  <si>
    <t>기초미지급비용</t>
    <phoneticPr fontId="4" type="noConversion"/>
  </si>
  <si>
    <t>이자비용..</t>
    <phoneticPr fontId="4" type="noConversion"/>
  </si>
  <si>
    <t>전환사채할인발행차금상각</t>
    <phoneticPr fontId="4" type="noConversion"/>
  </si>
  <si>
    <t>이자지급액</t>
    <phoneticPr fontId="4" type="noConversion"/>
  </si>
  <si>
    <t>기말미지급이자</t>
    <phoneticPr fontId="4" type="noConversion"/>
  </si>
  <si>
    <t xml:space="preserve">Merger with </t>
    <phoneticPr fontId="2" type="noConversion"/>
  </si>
  <si>
    <t>(1)당좌자산</t>
  </si>
  <si>
    <t>(2)재고자산</t>
  </si>
  <si>
    <t>당기순이익효과</t>
  </si>
  <si>
    <t>구분</t>
  </si>
  <si>
    <t>2018년 12월말</t>
  </si>
  <si>
    <t>보험수리적손익</t>
  </si>
  <si>
    <t>배당</t>
  </si>
  <si>
    <t>매도가능증권처분이익</t>
  </si>
  <si>
    <t>이익잉여금변동</t>
  </si>
  <si>
    <t>2019년 12월말</t>
  </si>
  <si>
    <t>단수</t>
  </si>
  <si>
    <t>무형자산상각비</t>
  </si>
  <si>
    <t>연차충당부채전입</t>
  </si>
  <si>
    <t>외화환산</t>
  </si>
  <si>
    <t>CF</t>
  </si>
  <si>
    <t>Diff</t>
  </si>
  <si>
    <t>Total</t>
  </si>
  <si>
    <t>P/L</t>
  </si>
  <si>
    <t>Check</t>
  </si>
  <si>
    <t>판매관리비</t>
  </si>
  <si>
    <t>제조원가</t>
  </si>
  <si>
    <t>연구개발비</t>
  </si>
  <si>
    <t>게임라이선스</t>
  </si>
  <si>
    <t>연차충당부채</t>
  </si>
  <si>
    <t>2018년말</t>
  </si>
  <si>
    <t>2019년말</t>
  </si>
  <si>
    <t>2020년말</t>
  </si>
  <si>
    <t>합계</t>
  </si>
  <si>
    <t>대손상각비/환입</t>
  </si>
  <si>
    <t>대손충당금환입</t>
  </si>
  <si>
    <t>기타의대손상각비</t>
  </si>
  <si>
    <t>기타의대손충당금환입</t>
  </si>
  <si>
    <t>유형자산처분</t>
  </si>
  <si>
    <t>리스개량자산</t>
  </si>
  <si>
    <t>유동성장기차입금</t>
  </si>
  <si>
    <t>전환사채</t>
  </si>
  <si>
    <t>회사채(액면)</t>
  </si>
  <si>
    <t>회사채(할증금)</t>
  </si>
  <si>
    <t>투자자산처분</t>
  </si>
  <si>
    <t>종속기업투자주식</t>
  </si>
  <si>
    <t>(*10)</t>
  </si>
  <si>
    <t>무형자산처분</t>
  </si>
  <si>
    <t>무형자산처분이익</t>
  </si>
  <si>
    <t>무형자산처분손실</t>
  </si>
  <si>
    <t>(*11)</t>
  </si>
  <si>
    <t>기초미지급비용</t>
  </si>
  <si>
    <t>이자비용..</t>
  </si>
  <si>
    <t>전환사채할인발행차금상각</t>
  </si>
  <si>
    <t>이자지급액</t>
  </si>
  <si>
    <t>기말미지급이자</t>
  </si>
  <si>
    <t>차변</t>
    <phoneticPr fontId="4" type="noConversion"/>
  </si>
  <si>
    <t>대변</t>
    <phoneticPr fontId="4" type="noConversion"/>
  </si>
  <si>
    <r>
      <t xml:space="preserve">CF Worksheet
</t>
    </r>
    <r>
      <rPr>
        <b/>
        <sz val="12"/>
        <color theme="0"/>
        <rFont val="Tahoma"/>
        <family val="2"/>
      </rPr>
      <t>- Aggregated</t>
    </r>
    <phoneticPr fontId="24" type="noConversion"/>
  </si>
  <si>
    <t>관계기업의당기손익에대한지분</t>
  </si>
  <si>
    <t>5. 배당금의 수취</t>
  </si>
  <si>
    <t>비품의 처분</t>
  </si>
  <si>
    <t>토지의 취득</t>
  </si>
  <si>
    <t>건물의 취득</t>
  </si>
  <si>
    <t>비품의 취득</t>
  </si>
  <si>
    <t>단기차입금의 상환</t>
  </si>
  <si>
    <t>Ⅳ. 현금및현금성자산의 순증감</t>
  </si>
  <si>
    <t>Ⅵ. 현금및현금성자산의 환율변동효과</t>
  </si>
  <si>
    <t>Ⅵ 기말의 현금</t>
  </si>
  <si>
    <t>기초현금검증</t>
  </si>
  <si>
    <t>기말현금검증</t>
  </si>
  <si>
    <t>단순합산 CF</t>
    <phoneticPr fontId="4" type="noConversion"/>
  </si>
  <si>
    <t>연결조정반영</t>
    <phoneticPr fontId="4" type="noConversion"/>
  </si>
  <si>
    <t>조정후 CF</t>
    <phoneticPr fontId="4" type="noConversion"/>
  </si>
  <si>
    <t>Ⅰ. 영업활동으로 인한 현금흐름</t>
    <phoneticPr fontId="4" type="noConversion"/>
  </si>
  <si>
    <t>1. 영업에서 창출된 현금</t>
    <phoneticPr fontId="4" type="noConversion"/>
  </si>
  <si>
    <t>(1) 당기순이익</t>
    <phoneticPr fontId="4" type="noConversion"/>
  </si>
  <si>
    <t>(2) 수익비용의 조정</t>
    <phoneticPr fontId="4" type="noConversion"/>
  </si>
  <si>
    <t>(3) 자산부채의 변동</t>
    <phoneticPr fontId="4" type="noConversion"/>
  </si>
  <si>
    <t>계약부채</t>
    <phoneticPr fontId="4" type="noConversion"/>
  </si>
  <si>
    <t>2. 이자의 수취</t>
    <phoneticPr fontId="4" type="noConversion"/>
  </si>
  <si>
    <t>3. 이자의 지급</t>
    <phoneticPr fontId="4" type="noConversion"/>
  </si>
  <si>
    <t>4. 법인세의 납부</t>
    <phoneticPr fontId="4" type="noConversion"/>
  </si>
  <si>
    <t>Ⅱ. 투자활동으로 인한 현금흐름</t>
    <phoneticPr fontId="4" type="noConversion"/>
  </si>
  <si>
    <t>1. 투자활동으로 인한 현금유입액</t>
    <phoneticPr fontId="4" type="noConversion"/>
  </si>
  <si>
    <t>단기대여금의 감소</t>
    <phoneticPr fontId="4" type="noConversion"/>
  </si>
  <si>
    <t>종속기업투자주식의 처분</t>
    <phoneticPr fontId="4" type="noConversion"/>
  </si>
  <si>
    <t>장기대여금의 감소</t>
    <phoneticPr fontId="4" type="noConversion"/>
  </si>
  <si>
    <t>유형자산의 처분</t>
    <phoneticPr fontId="4" type="noConversion"/>
  </si>
  <si>
    <t>건물의 처분</t>
    <phoneticPr fontId="4" type="noConversion"/>
  </si>
  <si>
    <t>구축물의 처분</t>
    <phoneticPr fontId="4" type="noConversion"/>
  </si>
  <si>
    <t>차량운반구의 처분</t>
    <phoneticPr fontId="4" type="noConversion"/>
  </si>
  <si>
    <t>무형자산의 처분</t>
    <phoneticPr fontId="4" type="noConversion"/>
  </si>
  <si>
    <t>기타의무형자산의 처분</t>
    <phoneticPr fontId="4" type="noConversion"/>
  </si>
  <si>
    <t>2. 투자활동으로 인한 현금유출액</t>
    <phoneticPr fontId="4" type="noConversion"/>
  </si>
  <si>
    <t>종속기업투자주식의 증가</t>
    <phoneticPr fontId="4" type="noConversion"/>
  </si>
  <si>
    <t>유형자산의 취득</t>
    <phoneticPr fontId="4" type="noConversion"/>
  </si>
  <si>
    <t>시설장치의 취득</t>
    <phoneticPr fontId="4" type="noConversion"/>
  </si>
  <si>
    <t>건설중인자산의 취득</t>
    <phoneticPr fontId="4" type="noConversion"/>
  </si>
  <si>
    <t>무형자산의 취득</t>
    <phoneticPr fontId="4" type="noConversion"/>
  </si>
  <si>
    <t>소프트웨어의 취득</t>
    <phoneticPr fontId="4" type="noConversion"/>
  </si>
  <si>
    <t>기타의무형자산의 취득</t>
    <phoneticPr fontId="4" type="noConversion"/>
  </si>
  <si>
    <t>연결범위변동으로 인한 현금유출</t>
    <phoneticPr fontId="4" type="noConversion"/>
  </si>
  <si>
    <t>Ⅲ. 재무활동으로 인한 현금흐름</t>
    <phoneticPr fontId="4" type="noConversion"/>
  </si>
  <si>
    <t>1. 재무활동으로 인한 현금유입액</t>
    <phoneticPr fontId="4" type="noConversion"/>
  </si>
  <si>
    <t>유상증자</t>
    <phoneticPr fontId="4" type="noConversion"/>
  </si>
  <si>
    <t>2. 재무활동으로 인한 현금유출액</t>
    <phoneticPr fontId="4" type="noConversion"/>
  </si>
  <si>
    <t>유동성장기부채의 상환</t>
    <phoneticPr fontId="4" type="noConversion"/>
  </si>
  <si>
    <t>장기차입금의 상환</t>
    <phoneticPr fontId="4" type="noConversion"/>
  </si>
  <si>
    <t>배당금의 지급</t>
    <phoneticPr fontId="4" type="noConversion"/>
  </si>
  <si>
    <t>기초현금검증</t>
    <phoneticPr fontId="4" type="noConversion"/>
  </si>
  <si>
    <t>기말현금검증</t>
    <phoneticPr fontId="4" type="noConversion"/>
  </si>
  <si>
    <t>A1200</t>
  </si>
  <si>
    <t>A1200</t>
    <phoneticPr fontId="2" type="noConversion"/>
  </si>
  <si>
    <t>비유동매출채권</t>
    <phoneticPr fontId="4" type="noConversion"/>
  </si>
  <si>
    <t>당기손익공정가치금융자산의 감소</t>
    <phoneticPr fontId="4" type="noConversion"/>
  </si>
  <si>
    <t>기계장치의 처분</t>
    <phoneticPr fontId="4" type="noConversion"/>
  </si>
  <si>
    <t>임차보증금의 감소</t>
    <phoneticPr fontId="4" type="noConversion"/>
  </si>
  <si>
    <t>장기대여금의 증가</t>
    <phoneticPr fontId="4" type="noConversion"/>
  </si>
  <si>
    <t>기계장치의 취득</t>
    <phoneticPr fontId="4" type="noConversion"/>
  </si>
  <si>
    <t>공구와기구의 취득</t>
    <phoneticPr fontId="2" type="noConversion"/>
  </si>
  <si>
    <t>임차보증금의 증가</t>
    <phoneticPr fontId="4" type="noConversion"/>
  </si>
  <si>
    <t>연결범위변동으로 인한 현금유입</t>
    <phoneticPr fontId="4" type="noConversion"/>
  </si>
  <si>
    <t>리스부채의 상환</t>
    <phoneticPr fontId="4" type="noConversion"/>
  </si>
  <si>
    <t>내부거래 상계</t>
    <phoneticPr fontId="4" type="noConversion"/>
  </si>
  <si>
    <t>매출채권/Intercompany</t>
  </si>
  <si>
    <t>미수수익</t>
    <phoneticPr fontId="4" type="noConversion"/>
  </si>
  <si>
    <t>매입채무/Intercompany</t>
  </si>
  <si>
    <t>미지급비용</t>
    <phoneticPr fontId="4" type="noConversion"/>
  </si>
  <si>
    <t>선수금/Intercompany</t>
  </si>
  <si>
    <t>단기차입금/Intercompany</t>
  </si>
  <si>
    <t>이자수익</t>
    <phoneticPr fontId="4" type="noConversion"/>
  </si>
  <si>
    <t>매입채무/Intercompany</t>
    <phoneticPr fontId="4" type="noConversion"/>
  </si>
  <si>
    <t>매출채권/Intercompany</t>
    <phoneticPr fontId="4" type="noConversion"/>
  </si>
  <si>
    <t>자산의 감소 -&gt; 현금의 증가</t>
    <phoneticPr fontId="4" type="noConversion"/>
  </si>
  <si>
    <t>부채의 감소 -&gt; 현금의 감소</t>
    <phoneticPr fontId="4" type="noConversion"/>
  </si>
  <si>
    <t>비유동매출채권/Intercompany</t>
    <phoneticPr fontId="2" type="noConversion"/>
  </si>
  <si>
    <t>19년 지분투자</t>
    <phoneticPr fontId="2" type="noConversion"/>
  </si>
  <si>
    <t>19년 유상증자</t>
    <phoneticPr fontId="2" type="noConversion"/>
  </si>
  <si>
    <t>본사</t>
    <phoneticPr fontId="2" type="noConversion"/>
  </si>
  <si>
    <t>과    목</t>
    <phoneticPr fontId="2" type="noConversion"/>
  </si>
  <si>
    <t>본계정대체</t>
  </si>
  <si>
    <t>정산표</t>
    <phoneticPr fontId="2" type="noConversion"/>
  </si>
  <si>
    <t>A1117</t>
  </si>
  <si>
    <t>부가세대급금</t>
  </si>
  <si>
    <t>A1122</t>
  </si>
  <si>
    <t>계약자산</t>
  </si>
  <si>
    <t>부가세대급금</t>
    <phoneticPr fontId="2" type="noConversion"/>
  </si>
  <si>
    <t>계약자산</t>
    <phoneticPr fontId="2" type="noConversion"/>
  </si>
  <si>
    <t>High Level</t>
  </si>
  <si>
    <t>Low Level</t>
  </si>
  <si>
    <t>차변</t>
  </si>
  <si>
    <t>대변</t>
  </si>
  <si>
    <t>A2302-1</t>
  </si>
  <si>
    <t>상각누계액-소프트웨어</t>
  </si>
  <si>
    <t>A2303-1</t>
  </si>
  <si>
    <t>상각누계액-산업재산권</t>
  </si>
  <si>
    <t>L1005</t>
  </si>
  <si>
    <t>기타보증금(부채)</t>
  </si>
  <si>
    <t>L1025</t>
  </si>
  <si>
    <t>선수수익</t>
  </si>
  <si>
    <t>S5004</t>
  </si>
  <si>
    <t>매도가능증권평가손익</t>
  </si>
  <si>
    <t>P1105</t>
  </si>
  <si>
    <t>상품매출-수출</t>
  </si>
  <si>
    <t>P1106</t>
  </si>
  <si>
    <t>로열티매출</t>
  </si>
  <si>
    <t>E2031</t>
  </si>
  <si>
    <t>수도광열비</t>
  </si>
  <si>
    <t>P2015</t>
  </si>
  <si>
    <t>수입임대료</t>
  </si>
  <si>
    <t>E3004</t>
  </si>
  <si>
    <t>기부금</t>
  </si>
  <si>
    <t>Local Currency</t>
  </si>
  <si>
    <t>BN Korea</t>
  </si>
  <si>
    <t>Bionote USA Inc.</t>
  </si>
  <si>
    <t>PKG V1.0</t>
  </si>
  <si>
    <t>재고자산평가손실</t>
  </si>
  <si>
    <t>미지급금</t>
    <phoneticPr fontId="2" type="noConversion"/>
  </si>
  <si>
    <t>구축물</t>
    <phoneticPr fontId="2" type="noConversion"/>
  </si>
  <si>
    <t>단기차입금의 차입</t>
    <phoneticPr fontId="4" type="noConversion"/>
  </si>
  <si>
    <t>미국법인</t>
    <phoneticPr fontId="2" type="noConversion"/>
  </si>
  <si>
    <t>IFRS Consol ADJ Entry</t>
    <phoneticPr fontId="6" type="noConversion"/>
  </si>
  <si>
    <t>CoA</t>
    <phoneticPr fontId="4" type="noConversion"/>
  </si>
  <si>
    <r>
      <rPr>
        <b/>
        <sz val="9"/>
        <color theme="0"/>
        <rFont val="맑은 고딕"/>
        <family val="3"/>
        <charset val="129"/>
      </rPr>
      <t>차변계정</t>
    </r>
    <phoneticPr fontId="4" type="noConversion"/>
  </si>
  <si>
    <r>
      <rPr>
        <b/>
        <sz val="9"/>
        <color theme="0"/>
        <rFont val="맑은 고딕"/>
        <family val="3"/>
        <charset val="129"/>
      </rPr>
      <t>대변계정</t>
    </r>
    <phoneticPr fontId="4" type="noConversion"/>
  </si>
  <si>
    <t>Description</t>
    <phoneticPr fontId="4" type="noConversion"/>
  </si>
  <si>
    <r>
      <rPr>
        <b/>
        <sz val="9"/>
        <color theme="0"/>
        <rFont val="맑은 고딕"/>
        <family val="3"/>
        <charset val="129"/>
      </rPr>
      <t>계정</t>
    </r>
    <phoneticPr fontId="4" type="noConversion"/>
  </si>
  <si>
    <t>Entity</t>
    <phoneticPr fontId="4" type="noConversion"/>
  </si>
  <si>
    <r>
      <rPr>
        <b/>
        <sz val="9"/>
        <color theme="0"/>
        <rFont val="맑은 고딕"/>
        <family val="3"/>
        <charset val="129"/>
      </rPr>
      <t>내역</t>
    </r>
    <phoneticPr fontId="4" type="noConversion"/>
  </si>
  <si>
    <t>1. 투자주식 상계</t>
    <phoneticPr fontId="6" type="noConversion"/>
  </si>
  <si>
    <t>1) 지분법 하의 종속회사 자본금과 본사 종속회사 투자주식간의 상계</t>
    <phoneticPr fontId="6" type="noConversion"/>
  </si>
  <si>
    <t>3. 내부거래 상계</t>
    <phoneticPr fontId="6" type="noConversion"/>
  </si>
  <si>
    <t>1) 채권채무 상계</t>
  </si>
  <si>
    <t>2) 수익비용 상계</t>
    <phoneticPr fontId="6" type="noConversion"/>
  </si>
  <si>
    <t>4. 재고자산 미실현손익 제거</t>
    <phoneticPr fontId="6" type="noConversion"/>
  </si>
  <si>
    <t>5. 지분법 회계처리</t>
    <phoneticPr fontId="6" type="noConversion"/>
  </si>
  <si>
    <t>1. 투자주식 상계</t>
  </si>
  <si>
    <t>BN  USA</t>
  </si>
  <si>
    <t>3. 내부거래 상계</t>
  </si>
  <si>
    <t>2) 수익비용 상계</t>
  </si>
  <si>
    <t>4. 재고자산 미실현손익 제거</t>
  </si>
  <si>
    <t>5. 지분법 회계처리</t>
  </si>
  <si>
    <t xml:space="preserve">6. 연결 이연법인세 </t>
  </si>
  <si>
    <t>7. 기타 조정분개</t>
  </si>
  <si>
    <t>Diff(미국법인 증자)</t>
    <phoneticPr fontId="2" type="noConversion"/>
  </si>
  <si>
    <t>지분투자액(미국법인)</t>
    <phoneticPr fontId="2" type="noConversion"/>
  </si>
  <si>
    <t xml:space="preserve"> / 제조원가 및 경상연구개발비 배부비용</t>
    <phoneticPr fontId="2" type="noConversion"/>
  </si>
  <si>
    <t>P1107</t>
  </si>
  <si>
    <t>기타매출</t>
  </si>
  <si>
    <t>1) SDB korea 2019년 11월 7일 취득(2019년 9월말 취득 간주 3Q후 3개월 변동) 지분법 평가</t>
    <phoneticPr fontId="6" type="noConversion"/>
  </si>
  <si>
    <t>L20180</t>
  </si>
  <si>
    <t>L2018</t>
  </si>
  <si>
    <t>E1006</t>
  </si>
  <si>
    <t>이연법인세부채</t>
  </si>
  <si>
    <t>S1002</t>
  </si>
  <si>
    <t>L2018</t>
    <phoneticPr fontId="2" type="noConversion"/>
  </si>
  <si>
    <t>Account 
Code</t>
  </si>
  <si>
    <t>Account</t>
  </si>
  <si>
    <t>A1000</t>
  </si>
  <si>
    <t>A1100</t>
  </si>
  <si>
    <t>A2000</t>
  </si>
  <si>
    <t>A2100</t>
  </si>
  <si>
    <t>A2200</t>
  </si>
  <si>
    <t>A2300</t>
  </si>
  <si>
    <t>A2400</t>
  </si>
  <si>
    <t>L1000</t>
  </si>
  <si>
    <t>L2000</t>
  </si>
  <si>
    <t>P1100</t>
  </si>
  <si>
    <t>매출액</t>
  </si>
  <si>
    <t>제품매출-수출</t>
  </si>
  <si>
    <t>제품매출-수출/Intercompany</t>
  </si>
  <si>
    <t>E1000</t>
  </si>
  <si>
    <t>제품매출원가-수출</t>
  </si>
  <si>
    <t>제품매출원가-수출/Intercompany</t>
  </si>
  <si>
    <t>상푸매출원가-수출</t>
  </si>
  <si>
    <t>E1005</t>
  </si>
  <si>
    <t>로열티매출원가</t>
  </si>
  <si>
    <t>매출총이익</t>
  </si>
  <si>
    <t>E2000</t>
  </si>
  <si>
    <t>영업이익</t>
  </si>
  <si>
    <t>P2000</t>
  </si>
  <si>
    <t>영업외수익</t>
  </si>
  <si>
    <t>E3000</t>
  </si>
  <si>
    <t>영업외비용</t>
  </si>
  <si>
    <t>P3000</t>
  </si>
  <si>
    <t>E4000</t>
  </si>
  <si>
    <t>P4000</t>
  </si>
  <si>
    <t>법인세차감전계속사업이익</t>
  </si>
  <si>
    <t>기본주당순이익</t>
  </si>
  <si>
    <t>희석주당순이익</t>
  </si>
  <si>
    <t>매도가능증권평가손익(OCI)</t>
  </si>
  <si>
    <t>K-IFRS</t>
  </si>
  <si>
    <t>미국법인 이연법인세 자산 인식 X(설립 초기로 이연법인세 자산성 없음)</t>
  </si>
  <si>
    <t>1) 연결이연법인세 : 미실현손익에 대한 이연법인세는 우선적으로 인식함. 종속기업 지분해당액과 세무상기준액과의 차이는 발생 원천을 구별하여 이연법인세자산/부채를 인식함.</t>
    <phoneticPr fontId="6" type="noConversion"/>
  </si>
  <si>
    <t>별도 정산표 v5.0</t>
    <phoneticPr fontId="2" type="noConversion"/>
  </si>
  <si>
    <t>이자비용(리스)</t>
  </si>
  <si>
    <t>2) 인니법인 지분법 평가</t>
  </si>
  <si>
    <t>A2402B</t>
  </si>
  <si>
    <t>기타보증금</t>
  </si>
  <si>
    <t>L1004</t>
  </si>
  <si>
    <t>부가세예수금</t>
  </si>
  <si>
    <t>L1005B</t>
  </si>
  <si>
    <t>임대보증금(부채)</t>
  </si>
  <si>
    <t>P3006</t>
  </si>
  <si>
    <t>금융자산처분이익</t>
  </si>
  <si>
    <t>장기종업원급여</t>
    <phoneticPr fontId="2" type="noConversion"/>
  </si>
  <si>
    <t>Account 
Code</t>
    <phoneticPr fontId="2" type="noConversion"/>
  </si>
  <si>
    <t>Account</t>
    <phoneticPr fontId="2" type="noConversion"/>
  </si>
  <si>
    <t>희석주당순이익</t>
    <phoneticPr fontId="2" type="noConversion"/>
  </si>
  <si>
    <t>기타포괄손익</t>
    <phoneticPr fontId="2" type="noConversion"/>
  </si>
  <si>
    <t>O1001</t>
    <phoneticPr fontId="2" type="noConversion"/>
  </si>
  <si>
    <t>순확정급여부채의재측정요소(OCI)</t>
    <phoneticPr fontId="2" type="noConversion"/>
  </si>
  <si>
    <t>O1002</t>
    <phoneticPr fontId="2" type="noConversion"/>
  </si>
  <si>
    <t>종속관계기업의기타포괄손익에대한지분(OCI)</t>
    <phoneticPr fontId="2" type="noConversion"/>
  </si>
  <si>
    <t>O1003</t>
    <phoneticPr fontId="2" type="noConversion"/>
  </si>
  <si>
    <t>해외사업환산손익(OCI)</t>
    <phoneticPr fontId="2" type="noConversion"/>
  </si>
  <si>
    <t>총포괄손익</t>
    <phoneticPr fontId="2" type="noConversion"/>
  </si>
  <si>
    <t>2020(Q4)</t>
    <phoneticPr fontId="6" type="noConversion"/>
  </si>
  <si>
    <t>불입자본과 투자주식 상계</t>
  </si>
  <si>
    <t>(2020추가취득)</t>
  </si>
  <si>
    <t>(2019년 중 지배력 획득일)</t>
  </si>
  <si>
    <t>이자비용(리스)</t>
    <phoneticPr fontId="2" type="noConversion"/>
  </si>
  <si>
    <t>금융자산처분이익</t>
    <phoneticPr fontId="2" type="noConversion"/>
  </si>
  <si>
    <t>단기금융상품의 감소</t>
    <phoneticPr fontId="4" type="noConversion"/>
  </si>
  <si>
    <t>금융상품의 증가</t>
    <phoneticPr fontId="4" type="noConversion"/>
  </si>
  <si>
    <t>당기손익-공정가치금융자산(비유동)의 증가</t>
  </si>
  <si>
    <t>당기손익-공정가치금융자산(유동)의 증가</t>
  </si>
  <si>
    <t>차량운반구의 취득</t>
    <phoneticPr fontId="2" type="noConversion"/>
  </si>
  <si>
    <t>임대보증금의 증가</t>
  </si>
  <si>
    <t>임대보증금의 증가</t>
    <phoneticPr fontId="4" type="noConversion"/>
  </si>
  <si>
    <t>상품매출</t>
    <phoneticPr fontId="2" type="noConversion"/>
  </si>
  <si>
    <t>2020 4Q</t>
  </si>
  <si>
    <t>2020 4Q</t>
    <phoneticPr fontId="4" type="noConversion"/>
  </si>
  <si>
    <t>리스부채 이자비용 차감</t>
  </si>
  <si>
    <t>연결 정산표 v7.0_A-1. 별도FS</t>
    <phoneticPr fontId="2" type="noConversion"/>
  </si>
  <si>
    <t>010-9929-5133</t>
    <phoneticPr fontId="2" type="noConversion"/>
  </si>
  <si>
    <r>
      <rPr>
        <b/>
        <sz val="8"/>
        <color rgb="FFFF0000"/>
        <rFont val="맑은 고딕"/>
        <family val="3"/>
        <charset val="129"/>
      </rPr>
      <t>연결</t>
    </r>
    <r>
      <rPr>
        <b/>
        <sz val="8"/>
        <color rgb="FFFF0000"/>
        <rFont val="Tahoma"/>
        <family val="3"/>
      </rPr>
      <t xml:space="preserve"> v6.0</t>
    </r>
    <phoneticPr fontId="2" type="noConversion"/>
  </si>
  <si>
    <t>2020 연결 정산표 V6.0</t>
    <phoneticPr fontId="2" type="noConversion"/>
  </si>
  <si>
    <t>별도 정산표 v6.0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</si>
</sst>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  <numFmt numFmtId="177" formatCode="_-* #,##0.00_-;\-* #,##0.00_-;_-* &quot;-&quot;_-;_-@_-"/>
    <numFmt numFmtId="178" formatCode="_(* #,##0.00_);_(* \(#,##0.00\);_(* &quot;-&quot;??_);_(@_)"/>
    <numFmt numFmtId="179" formatCode="#,##0_);[Red]\(#,##0\)"/>
    <numFmt numFmtId="180" formatCode="_-* #,##0.0_-;\-* #,##0.0_-;_-* &quot;-&quot;?_-;_-@_-"/>
    <numFmt numFmtId="181" formatCode="#,##0.00_);[Red]\(#,##0.00\)"/>
    <numFmt numFmtId="182" formatCode="_ * #,##0.00_ ;_ * &quot;₩&quot;\!\-#,##0.00_ ;_ * &quot;-&quot;??_ ;_ @_ "/>
    <numFmt numFmtId="183" formatCode="_(* #,##0_);_(* \(#,##0\);_(* &quot;-&quot;??_);_(@_)"/>
    <numFmt numFmtId="184" formatCode="#,##0.0_);[Red]\(#,##0.0\)"/>
    <numFmt numFmtId="185" formatCode="_(* #,##0.0_);_(* \(#,##0.0\);_(* &quot;-&quot;??_);_(@_)"/>
    <numFmt numFmtId="186" formatCode="_(* #,##0_);_(* \(#,##0\);_(* &quot;-&quot;_);_(@_)"/>
    <numFmt numFmtId="187" formatCode="_(* #,##0.0_);_(* \(#,##0.0\);_(* &quot;-&quot;?_);_(@_)"/>
    <numFmt numFmtId="188" formatCode="0.0%"/>
  </numFmts>
  <fonts count="6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FF0000"/>
      <name val="Tahoma"/>
      <family val="2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FF0000"/>
      <name val="Tahoma"/>
      <family val="2"/>
    </font>
    <font>
      <i/>
      <sz val="9"/>
      <color rgb="FFFF0000"/>
      <name val="맑은 고딕"/>
      <family val="3"/>
      <charset val="129"/>
      <scheme val="minor"/>
    </font>
    <font>
      <b/>
      <sz val="9"/>
      <color rgb="FFFF0000"/>
      <name val="Tahoma"/>
      <family val="2"/>
    </font>
    <font>
      <sz val="9"/>
      <color theme="1"/>
      <name val="맑은 고딕"/>
      <family val="2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0"/>
      <name val="Tahoma"/>
      <family val="2"/>
    </font>
    <font>
      <sz val="9"/>
      <color theme="1"/>
      <name val="Tahoma"/>
      <family val="2"/>
    </font>
    <font>
      <sz val="9"/>
      <color theme="1"/>
      <name val="ta"/>
    </font>
    <font>
      <sz val="9"/>
      <color theme="1"/>
      <name val="ta"/>
      <family val="2"/>
    </font>
    <font>
      <sz val="9"/>
      <color rgb="FFFF0000"/>
      <name val="맑은 고딕"/>
      <family val="3"/>
      <charset val="129"/>
      <scheme val="minor"/>
    </font>
    <font>
      <sz val="10"/>
      <name val="바탕체"/>
      <family val="1"/>
      <charset val="129"/>
    </font>
    <font>
      <b/>
      <sz val="9"/>
      <color theme="0"/>
      <name val="맑은 고딕"/>
      <family val="3"/>
      <charset val="129"/>
    </font>
    <font>
      <sz val="12"/>
      <name val="바탕체"/>
      <family val="1"/>
      <charset val="129"/>
    </font>
    <font>
      <b/>
      <sz val="16"/>
      <color theme="0"/>
      <name val="Tahoma"/>
      <family val="2"/>
    </font>
    <font>
      <sz val="8"/>
      <name val="맑은 고딕"/>
      <family val="3"/>
      <charset val="129"/>
    </font>
    <font>
      <sz val="9"/>
      <color rgb="FF002060"/>
      <name val="Tahoma"/>
      <family val="2"/>
    </font>
    <font>
      <sz val="9"/>
      <color theme="1"/>
      <name val="맑은 고딕"/>
      <family val="3"/>
      <charset val="129"/>
    </font>
    <font>
      <sz val="9"/>
      <name val="Tahoma"/>
      <family val="2"/>
    </font>
    <font>
      <sz val="9"/>
      <name val="맑은 고딕"/>
      <family val="3"/>
      <charset val="129"/>
    </font>
    <font>
      <sz val="8"/>
      <name val="Tahoma"/>
      <family val="2"/>
    </font>
    <font>
      <sz val="8"/>
      <color indexed="10"/>
      <name val="Tahoma"/>
      <family val="2"/>
    </font>
    <font>
      <b/>
      <sz val="9"/>
      <color theme="5" tint="0.79998168889431442"/>
      <name val="Tahoma"/>
      <family val="2"/>
    </font>
    <font>
      <sz val="8"/>
      <name val="바탕체"/>
      <family val="1"/>
      <charset val="129"/>
    </font>
    <font>
      <b/>
      <sz val="8"/>
      <name val="맑은 고딕"/>
      <family val="3"/>
      <charset val="129"/>
    </font>
    <font>
      <sz val="11"/>
      <name val="돋움"/>
      <family val="3"/>
      <charset val="129"/>
    </font>
    <font>
      <b/>
      <sz val="12"/>
      <color theme="0"/>
      <name val="Tahoma"/>
      <family val="2"/>
    </font>
    <font>
      <sz val="8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i/>
      <sz val="1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inor"/>
    </font>
    <font>
      <b/>
      <sz val="16"/>
      <color rgb="FFFF0000"/>
      <name val="Tahoma"/>
      <family val="2"/>
    </font>
    <font>
      <b/>
      <sz val="11"/>
      <color rgb="FFFF0000"/>
      <name val="맑은 고딕"/>
      <family val="3"/>
      <charset val="129"/>
      <scheme val="minor"/>
    </font>
    <font>
      <b/>
      <sz val="9"/>
      <color rgb="FFFF0000"/>
      <name val="Tahoma"/>
      <family val="3"/>
      <charset val="129"/>
    </font>
    <font>
      <i/>
      <sz val="8"/>
      <color rgb="FFFF0000"/>
      <name val="맑은 고딕"/>
      <family val="3"/>
      <charset val="129"/>
      <scheme val="minor"/>
    </font>
    <font>
      <b/>
      <sz val="8"/>
      <color rgb="FFFF0000"/>
      <name val="Tahoma"/>
      <family val="2"/>
    </font>
    <font>
      <sz val="8"/>
      <color theme="1"/>
      <name val="맑은 고딕"/>
      <family val="3"/>
      <charset val="129"/>
      <scheme val="minor"/>
    </font>
    <font>
      <b/>
      <sz val="8"/>
      <color rgb="FF0070C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color theme="0"/>
      <name val="Tahoma"/>
      <family val="2"/>
    </font>
    <font>
      <b/>
      <sz val="10"/>
      <color theme="0"/>
      <name val="Tahoma"/>
      <family val="2"/>
    </font>
    <font>
      <sz val="8"/>
      <color theme="1"/>
      <name val="Tahoma"/>
      <family val="2"/>
    </font>
    <font>
      <sz val="8"/>
      <color theme="1"/>
      <name val="ta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ta"/>
      <family val="2"/>
    </font>
    <font>
      <sz val="1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</font>
    <font>
      <b/>
      <sz val="8"/>
      <color rgb="FFFF0000"/>
      <name val="Tahoma"/>
      <family val="3"/>
    </font>
    <font>
      <b/>
      <sz val="8"/>
      <color rgb="FFFF0000"/>
      <name val="Tahoma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rgb="FF3366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/>
      <right style="thin">
        <color theme="3"/>
      </right>
      <top/>
      <bottom/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</borders>
  <cellStyleXfs count="16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0" fontId="20" fillId="0" borderId="0"/>
    <xf numFmtId="41" fontId="8" fillId="0" borderId="0" applyFont="0" applyFill="0" applyBorder="0" applyAlignment="0" applyProtection="0">
      <alignment vertical="center"/>
    </xf>
    <xf numFmtId="0" fontId="22" fillId="0" borderId="0"/>
    <xf numFmtId="182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4" fillId="0" borderId="0"/>
    <xf numFmtId="0" fontId="34" fillId="0" borderId="0">
      <alignment vertical="center"/>
    </xf>
  </cellStyleXfs>
  <cellXfs count="370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4" applyFont="1">
      <alignment vertical="center"/>
    </xf>
    <xf numFmtId="176" fontId="7" fillId="2" borderId="1" xfId="5" applyNumberFormat="1" applyFont="1" applyFill="1" applyBorder="1" applyAlignment="1">
      <alignment horizontal="center" vertical="center"/>
    </xf>
    <xf numFmtId="14" fontId="7" fillId="2" borderId="1" xfId="5" applyNumberFormat="1" applyFont="1" applyFill="1" applyBorder="1" applyAlignment="1">
      <alignment horizontal="center" vertical="center"/>
    </xf>
    <xf numFmtId="177" fontId="5" fillId="0" borderId="1" xfId="5" applyNumberFormat="1" applyFont="1" applyBorder="1">
      <alignment vertical="center"/>
    </xf>
    <xf numFmtId="43" fontId="5" fillId="0" borderId="0" xfId="4" applyNumberFormat="1" applyFont="1">
      <alignment vertical="center"/>
    </xf>
    <xf numFmtId="9" fontId="5" fillId="0" borderId="0" xfId="4" applyNumberFormat="1" applyFont="1">
      <alignment vertical="center"/>
    </xf>
    <xf numFmtId="177" fontId="5" fillId="0" borderId="0" xfId="4" applyNumberFormat="1" applyFont="1">
      <alignment vertical="center"/>
    </xf>
    <xf numFmtId="0" fontId="11" fillId="3" borderId="0" xfId="4" applyFont="1" applyFill="1">
      <alignment vertical="center"/>
    </xf>
    <xf numFmtId="178" fontId="11" fillId="3" borderId="0" xfId="4" applyNumberFormat="1" applyFont="1" applyFill="1">
      <alignment vertical="center"/>
    </xf>
    <xf numFmtId="178" fontId="10" fillId="0" borderId="0" xfId="4" applyNumberFormat="1" applyFont="1">
      <alignment vertical="center"/>
    </xf>
    <xf numFmtId="0" fontId="10" fillId="0" borderId="0" xfId="4" applyFont="1">
      <alignment vertical="center"/>
    </xf>
    <xf numFmtId="0" fontId="12" fillId="0" borderId="0" xfId="0" applyFont="1">
      <alignment vertical="center"/>
    </xf>
    <xf numFmtId="0" fontId="13" fillId="4" borderId="0" xfId="4" applyFont="1" applyFill="1">
      <alignment vertical="center"/>
    </xf>
    <xf numFmtId="178" fontId="14" fillId="0" borderId="0" xfId="6" applyFont="1">
      <alignment vertical="center"/>
    </xf>
    <xf numFmtId="178" fontId="14" fillId="0" borderId="0" xfId="6" applyFont="1" applyFill="1">
      <alignment vertical="center"/>
    </xf>
    <xf numFmtId="14" fontId="14" fillId="5" borderId="0" xfId="4" applyNumberFormat="1" applyFont="1" applyFill="1" applyAlignment="1">
      <alignment horizontal="center" vertical="center"/>
    </xf>
    <xf numFmtId="176" fontId="15" fillId="2" borderId="0" xfId="5" applyNumberFormat="1" applyFont="1" applyFill="1" applyAlignment="1">
      <alignment horizontal="center" vertical="center"/>
    </xf>
    <xf numFmtId="178" fontId="15" fillId="2" borderId="0" xfId="5" applyNumberFormat="1" applyFont="1" applyFill="1" applyAlignment="1">
      <alignment horizontal="center" vertical="center"/>
    </xf>
    <xf numFmtId="178" fontId="15" fillId="0" borderId="0" xfId="5" applyNumberFormat="1" applyFont="1" applyFill="1" applyAlignment="1">
      <alignment horizontal="center" vertical="center"/>
    </xf>
    <xf numFmtId="179" fontId="15" fillId="6" borderId="0" xfId="0" applyNumberFormat="1" applyFont="1" applyFill="1">
      <alignment vertical="center"/>
    </xf>
    <xf numFmtId="178" fontId="15" fillId="2" borderId="0" xfId="5" applyNumberFormat="1" applyFont="1" applyFill="1" applyAlignment="1">
      <alignment horizontal="center" vertical="center" wrapText="1"/>
    </xf>
    <xf numFmtId="15" fontId="16" fillId="0" borderId="0" xfId="4" applyNumberFormat="1" applyFont="1">
      <alignment vertical="center"/>
    </xf>
    <xf numFmtId="0" fontId="17" fillId="7" borderId="0" xfId="4" applyFont="1" applyFill="1">
      <alignment vertical="center"/>
    </xf>
    <xf numFmtId="0" fontId="5" fillId="7" borderId="0" xfId="4" applyFont="1" applyFill="1">
      <alignment vertical="center"/>
    </xf>
    <xf numFmtId="178" fontId="5" fillId="7" borderId="0" xfId="5" applyNumberFormat="1" applyFont="1" applyFill="1">
      <alignment vertical="center"/>
    </xf>
    <xf numFmtId="178" fontId="5" fillId="0" borderId="0" xfId="5" applyNumberFormat="1" applyFont="1" applyFill="1">
      <alignment vertical="center"/>
    </xf>
    <xf numFmtId="41" fontId="5" fillId="0" borderId="0" xfId="5" applyFont="1">
      <alignment vertical="center"/>
    </xf>
    <xf numFmtId="0" fontId="18" fillId="8" borderId="0" xfId="4" applyFont="1" applyFill="1">
      <alignment vertical="center"/>
    </xf>
    <xf numFmtId="0" fontId="5" fillId="8" borderId="0" xfId="4" applyFont="1" applyFill="1">
      <alignment vertical="center"/>
    </xf>
    <xf numFmtId="178" fontId="16" fillId="8" borderId="0" xfId="5" applyNumberFormat="1" applyFont="1" applyFill="1">
      <alignment vertical="center"/>
    </xf>
    <xf numFmtId="178" fontId="16" fillId="0" borderId="0" xfId="5" applyNumberFormat="1" applyFont="1" applyFill="1">
      <alignment vertical="center"/>
    </xf>
    <xf numFmtId="41" fontId="16" fillId="0" borderId="0" xfId="5" applyFont="1">
      <alignment vertical="center"/>
    </xf>
    <xf numFmtId="3" fontId="5" fillId="0" borderId="0" xfId="4" applyNumberFormat="1" applyFont="1">
      <alignment vertical="center"/>
    </xf>
    <xf numFmtId="178" fontId="16" fillId="7" borderId="0" xfId="5" applyNumberFormat="1" applyFont="1" applyFill="1">
      <alignment vertical="center"/>
    </xf>
    <xf numFmtId="0" fontId="17" fillId="0" borderId="0" xfId="4" applyFont="1">
      <alignment vertical="center"/>
    </xf>
    <xf numFmtId="0" fontId="18" fillId="0" borderId="0" xfId="4" applyFont="1">
      <alignment vertical="center"/>
    </xf>
    <xf numFmtId="41" fontId="16" fillId="0" borderId="0" xfId="5" applyFont="1" applyFill="1">
      <alignment vertical="center"/>
    </xf>
    <xf numFmtId="0" fontId="18" fillId="0" borderId="0" xfId="4" quotePrefix="1" applyFont="1">
      <alignment vertical="center"/>
    </xf>
    <xf numFmtId="0" fontId="18" fillId="7" borderId="0" xfId="4" quotePrefix="1" applyFont="1" applyFill="1">
      <alignment vertical="center"/>
    </xf>
    <xf numFmtId="0" fontId="18" fillId="0" borderId="0" xfId="4" applyFont="1" applyAlignment="1">
      <alignment horizontal="left" vertical="center"/>
    </xf>
    <xf numFmtId="3" fontId="16" fillId="0" borderId="0" xfId="8" applyNumberFormat="1" applyFont="1" applyFill="1">
      <alignment vertical="center"/>
    </xf>
    <xf numFmtId="41" fontId="16" fillId="0" borderId="0" xfId="8" applyFont="1" applyFill="1">
      <alignment vertical="center"/>
    </xf>
    <xf numFmtId="41" fontId="5" fillId="0" borderId="0" xfId="8" applyFont="1" applyBorder="1">
      <alignment vertical="center"/>
    </xf>
    <xf numFmtId="0" fontId="18" fillId="0" borderId="0" xfId="4" quotePrefix="1" applyFont="1" applyAlignment="1">
      <alignment horizontal="left" vertical="center"/>
    </xf>
    <xf numFmtId="178" fontId="5" fillId="0" borderId="0" xfId="4" applyNumberFormat="1" applyFont="1">
      <alignment vertical="center"/>
    </xf>
    <xf numFmtId="178" fontId="16" fillId="0" borderId="0" xfId="4" applyNumberFormat="1" applyFont="1">
      <alignment vertical="center"/>
    </xf>
    <xf numFmtId="0" fontId="16" fillId="0" borderId="0" xfId="4" applyFont="1">
      <alignment vertical="center"/>
    </xf>
    <xf numFmtId="0" fontId="10" fillId="9" borderId="0" xfId="4" applyFont="1" applyFill="1">
      <alignment vertical="center"/>
    </xf>
    <xf numFmtId="0" fontId="18" fillId="9" borderId="0" xfId="4" applyFont="1" applyFill="1">
      <alignment vertical="center"/>
    </xf>
    <xf numFmtId="0" fontId="5" fillId="0" borderId="0" xfId="0" applyFont="1">
      <alignment vertical="center"/>
    </xf>
    <xf numFmtId="176" fontId="5" fillId="0" borderId="0" xfId="8" applyNumberFormat="1" applyFont="1">
      <alignment vertical="center"/>
    </xf>
    <xf numFmtId="3" fontId="5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9" fillId="0" borderId="0" xfId="0" applyNumberFormat="1" applyFont="1">
      <alignment vertical="center"/>
    </xf>
    <xf numFmtId="14" fontId="11" fillId="0" borderId="0" xfId="8" applyNumberFormat="1" applyFont="1" applyAlignment="1">
      <alignment horizontal="center" vertical="center"/>
    </xf>
    <xf numFmtId="176" fontId="19" fillId="0" borderId="0" xfId="8" applyNumberFormat="1" applyFont="1">
      <alignment vertical="center"/>
    </xf>
    <xf numFmtId="49" fontId="15" fillId="10" borderId="2" xfId="9" applyNumberFormat="1" applyFont="1" applyFill="1" applyBorder="1" applyAlignment="1">
      <alignment horizontal="center" vertical="center"/>
    </xf>
    <xf numFmtId="38" fontId="15" fillId="10" borderId="2" xfId="9" applyNumberFormat="1" applyFont="1" applyFill="1" applyBorder="1" applyAlignment="1">
      <alignment horizontal="center" vertical="center"/>
    </xf>
    <xf numFmtId="176" fontId="15" fillId="10" borderId="3" xfId="9" applyNumberFormat="1" applyFont="1" applyFill="1" applyBorder="1" applyAlignment="1">
      <alignment horizontal="center" vertical="center" wrapText="1"/>
    </xf>
    <xf numFmtId="176" fontId="15" fillId="10" borderId="3" xfId="8" applyNumberFormat="1" applyFont="1" applyFill="1" applyBorder="1" applyAlignment="1">
      <alignment horizontal="center" vertical="center" wrapText="1"/>
    </xf>
    <xf numFmtId="176" fontId="15" fillId="10" borderId="6" xfId="8" applyNumberFormat="1" applyFont="1" applyFill="1" applyBorder="1" applyAlignment="1">
      <alignment horizontal="center" vertical="center" wrapText="1"/>
    </xf>
    <xf numFmtId="176" fontId="15" fillId="10" borderId="7" xfId="9" applyNumberFormat="1" applyFont="1" applyFill="1" applyBorder="1" applyAlignment="1">
      <alignment horizontal="center" vertical="center" wrapText="1"/>
    </xf>
    <xf numFmtId="38" fontId="15" fillId="10" borderId="2" xfId="9" applyNumberFormat="1" applyFont="1" applyFill="1" applyBorder="1" applyAlignment="1">
      <alignment horizontal="center" vertical="center" wrapText="1"/>
    </xf>
    <xf numFmtId="3" fontId="16" fillId="0" borderId="0" xfId="0" applyNumberFormat="1" applyFont="1">
      <alignment vertical="center"/>
    </xf>
    <xf numFmtId="0" fontId="16" fillId="0" borderId="0" xfId="0" applyFont="1">
      <alignment vertical="center"/>
    </xf>
    <xf numFmtId="178" fontId="15" fillId="10" borderId="6" xfId="6" applyFont="1" applyFill="1" applyBorder="1" applyAlignment="1">
      <alignment horizontal="center" vertical="center"/>
    </xf>
    <xf numFmtId="38" fontId="15" fillId="10" borderId="6" xfId="9" applyNumberFormat="1" applyFont="1" applyFill="1" applyBorder="1" applyAlignment="1">
      <alignment horizontal="center" vertical="center"/>
    </xf>
    <xf numFmtId="14" fontId="15" fillId="10" borderId="3" xfId="8" quotePrefix="1" applyNumberFormat="1" applyFont="1" applyFill="1" applyBorder="1" applyAlignment="1">
      <alignment horizontal="center" vertical="center" wrapText="1"/>
    </xf>
    <xf numFmtId="176" fontId="15" fillId="10" borderId="3" xfId="8" quotePrefix="1" applyNumberFormat="1" applyFont="1" applyFill="1" applyBorder="1" applyAlignment="1">
      <alignment horizontal="center" vertical="center" wrapText="1"/>
    </xf>
    <xf numFmtId="41" fontId="15" fillId="10" borderId="6" xfId="9" applyNumberFormat="1" applyFont="1" applyFill="1" applyBorder="1" applyAlignment="1">
      <alignment horizontal="center" vertical="center" wrapText="1"/>
    </xf>
    <xf numFmtId="38" fontId="15" fillId="10" borderId="6" xfId="9" applyNumberFormat="1" applyFont="1" applyFill="1" applyBorder="1" applyAlignment="1">
      <alignment horizontal="center" vertical="center" wrapText="1"/>
    </xf>
    <xf numFmtId="178" fontId="5" fillId="6" borderId="0" xfId="6" applyFont="1" applyFill="1">
      <alignment vertical="center"/>
    </xf>
    <xf numFmtId="0" fontId="5" fillId="6" borderId="0" xfId="0" applyFont="1" applyFill="1">
      <alignment vertical="center"/>
    </xf>
    <xf numFmtId="176" fontId="5" fillId="6" borderId="0" xfId="10" applyNumberFormat="1" applyFont="1" applyFill="1">
      <alignment vertical="center"/>
    </xf>
    <xf numFmtId="176" fontId="5" fillId="6" borderId="0" xfId="8" applyNumberFormat="1" applyFont="1" applyFill="1">
      <alignment vertical="center"/>
    </xf>
    <xf numFmtId="41" fontId="5" fillId="6" borderId="0" xfId="8" applyFont="1" applyFill="1">
      <alignment vertical="center"/>
    </xf>
    <xf numFmtId="178" fontId="5" fillId="0" borderId="0" xfId="6" applyFont="1">
      <alignment vertical="center"/>
    </xf>
    <xf numFmtId="41" fontId="5" fillId="0" borderId="0" xfId="8" applyFont="1">
      <alignment vertical="center"/>
    </xf>
    <xf numFmtId="178" fontId="5" fillId="11" borderId="0" xfId="6" applyFont="1" applyFill="1">
      <alignment vertical="center"/>
    </xf>
    <xf numFmtId="0" fontId="5" fillId="11" borderId="0" xfId="0" applyFont="1" applyFill="1">
      <alignment vertical="center"/>
    </xf>
    <xf numFmtId="176" fontId="5" fillId="11" borderId="0" xfId="8" applyNumberFormat="1" applyFont="1" applyFill="1">
      <alignment vertical="center"/>
    </xf>
    <xf numFmtId="41" fontId="5" fillId="11" borderId="0" xfId="8" applyFont="1" applyFill="1">
      <alignment vertical="center"/>
    </xf>
    <xf numFmtId="176" fontId="5" fillId="4" borderId="0" xfId="8" applyNumberFormat="1" applyFont="1" applyFill="1">
      <alignment vertical="center"/>
    </xf>
    <xf numFmtId="178" fontId="5" fillId="7" borderId="0" xfId="6" applyFont="1" applyFill="1">
      <alignment vertical="center"/>
    </xf>
    <xf numFmtId="0" fontId="5" fillId="7" borderId="0" xfId="0" applyFont="1" applyFill="1">
      <alignment vertical="center"/>
    </xf>
    <xf numFmtId="41" fontId="5" fillId="7" borderId="0" xfId="10" applyFont="1" applyFill="1">
      <alignment vertical="center"/>
    </xf>
    <xf numFmtId="176" fontId="5" fillId="7" borderId="0" xfId="8" applyNumberFormat="1" applyFont="1" applyFill="1">
      <alignment vertical="center"/>
    </xf>
    <xf numFmtId="41" fontId="5" fillId="7" borderId="0" xfId="8" applyFont="1" applyFill="1">
      <alignment vertical="center"/>
    </xf>
    <xf numFmtId="176" fontId="5" fillId="7" borderId="0" xfId="10" applyNumberFormat="1" applyFont="1" applyFill="1">
      <alignment vertical="center"/>
    </xf>
    <xf numFmtId="0" fontId="5" fillId="7" borderId="0" xfId="0" quotePrefix="1" applyFont="1" applyFill="1">
      <alignment vertical="center"/>
    </xf>
    <xf numFmtId="41" fontId="5" fillId="0" borderId="0" xfId="0" applyNumberFormat="1" applyFont="1">
      <alignment vertical="center"/>
    </xf>
    <xf numFmtId="180" fontId="5" fillId="0" borderId="0" xfId="0" applyNumberFormat="1" applyFont="1">
      <alignment vertical="center"/>
    </xf>
    <xf numFmtId="176" fontId="5" fillId="12" borderId="0" xfId="8" applyNumberFormat="1" applyFont="1" applyFill="1">
      <alignment vertical="center"/>
    </xf>
    <xf numFmtId="41" fontId="5" fillId="4" borderId="0" xfId="8" applyFont="1" applyFill="1">
      <alignment vertical="center"/>
    </xf>
    <xf numFmtId="176" fontId="5" fillId="0" borderId="0" xfId="5" applyNumberFormat="1" applyFont="1">
      <alignment vertical="center"/>
    </xf>
    <xf numFmtId="176" fontId="11" fillId="9" borderId="0" xfId="8" applyNumberFormat="1" applyFont="1" applyFill="1">
      <alignment vertical="center"/>
    </xf>
    <xf numFmtId="176" fontId="5" fillId="0" borderId="0" xfId="0" applyNumberFormat="1" applyFont="1">
      <alignment vertical="center"/>
    </xf>
    <xf numFmtId="176" fontId="5" fillId="9" borderId="8" xfId="8" applyNumberFormat="1" applyFont="1" applyFill="1" applyBorder="1">
      <alignment vertical="center"/>
    </xf>
    <xf numFmtId="10" fontId="5" fillId="0" borderId="0" xfId="3" applyNumberFormat="1" applyFont="1">
      <alignment vertical="center"/>
    </xf>
    <xf numFmtId="41" fontId="5" fillId="0" borderId="9" xfId="8" applyFont="1" applyBorder="1" applyAlignment="1">
      <alignment horizontal="center" vertical="center"/>
    </xf>
    <xf numFmtId="41" fontId="5" fillId="0" borderId="10" xfId="8" applyFont="1" applyBorder="1" applyAlignment="1">
      <alignment horizontal="center" vertical="center"/>
    </xf>
    <xf numFmtId="41" fontId="5" fillId="0" borderId="11" xfId="8" applyFont="1" applyBorder="1">
      <alignment vertical="center"/>
    </xf>
    <xf numFmtId="41" fontId="5" fillId="0" borderId="12" xfId="8" applyFont="1" applyBorder="1">
      <alignment vertical="center"/>
    </xf>
    <xf numFmtId="41" fontId="5" fillId="0" borderId="13" xfId="8" applyFont="1" applyBorder="1">
      <alignment vertical="center"/>
    </xf>
    <xf numFmtId="176" fontId="5" fillId="0" borderId="12" xfId="8" applyNumberFormat="1" applyFont="1" applyBorder="1">
      <alignment vertical="center"/>
    </xf>
    <xf numFmtId="176" fontId="5" fillId="0" borderId="13" xfId="8" applyNumberFormat="1" applyFont="1" applyBorder="1">
      <alignment vertical="center"/>
    </xf>
    <xf numFmtId="176" fontId="5" fillId="0" borderId="14" xfId="8" applyNumberFormat="1" applyFont="1" applyBorder="1">
      <alignment vertical="center"/>
    </xf>
    <xf numFmtId="41" fontId="5" fillId="0" borderId="15" xfId="8" applyFont="1" applyBorder="1">
      <alignment vertical="center"/>
    </xf>
    <xf numFmtId="176" fontId="5" fillId="0" borderId="16" xfId="8" applyNumberFormat="1" applyFont="1" applyBorder="1">
      <alignment vertical="center"/>
    </xf>
    <xf numFmtId="0" fontId="15" fillId="10" borderId="0" xfId="11" applyFont="1" applyFill="1" applyAlignment="1">
      <alignment vertical="center"/>
    </xf>
    <xf numFmtId="0" fontId="23" fillId="10" borderId="0" xfId="11" applyFont="1" applyFill="1" applyAlignment="1">
      <alignment vertical="center"/>
    </xf>
    <xf numFmtId="0" fontId="5" fillId="0" borderId="0" xfId="11" applyFont="1" applyAlignment="1">
      <alignment vertical="center"/>
    </xf>
    <xf numFmtId="179" fontId="5" fillId="0" borderId="0" xfId="11" applyNumberFormat="1" applyFont="1" applyAlignment="1">
      <alignment vertical="center"/>
    </xf>
    <xf numFmtId="179" fontId="19" fillId="0" borderId="0" xfId="11" applyNumberFormat="1" applyFont="1" applyAlignment="1">
      <alignment vertical="center"/>
    </xf>
    <xf numFmtId="0" fontId="16" fillId="0" borderId="0" xfId="11" applyFont="1" applyAlignment="1">
      <alignment vertical="center"/>
    </xf>
    <xf numFmtId="0" fontId="25" fillId="0" borderId="0" xfId="11" applyFont="1" applyAlignment="1">
      <alignment vertical="center"/>
    </xf>
    <xf numFmtId="41" fontId="16" fillId="11" borderId="0" xfId="2" applyFont="1" applyFill="1">
      <alignment vertical="center"/>
    </xf>
    <xf numFmtId="181" fontId="16" fillId="13" borderId="0" xfId="11" applyNumberFormat="1" applyFont="1" applyFill="1" applyAlignment="1">
      <alignment vertical="center"/>
    </xf>
    <xf numFmtId="41" fontId="16" fillId="0" borderId="0" xfId="11" applyNumberFormat="1" applyFont="1" applyAlignment="1">
      <alignment vertical="center"/>
    </xf>
    <xf numFmtId="179" fontId="16" fillId="0" borderId="0" xfId="11" applyNumberFormat="1" applyFont="1" applyAlignment="1">
      <alignment vertical="center"/>
    </xf>
    <xf numFmtId="179" fontId="27" fillId="13" borderId="0" xfId="12" applyNumberFormat="1" applyFont="1" applyFill="1" applyAlignment="1" applyProtection="1">
      <alignment horizontal="center" vertical="center"/>
      <protection locked="0"/>
    </xf>
    <xf numFmtId="179" fontId="29" fillId="13" borderId="0" xfId="12" applyNumberFormat="1" applyFont="1" applyFill="1" applyAlignment="1" applyProtection="1">
      <alignment vertical="center"/>
      <protection locked="0"/>
    </xf>
    <xf numFmtId="179" fontId="30" fillId="13" borderId="0" xfId="12" applyNumberFormat="1" applyFont="1" applyFill="1" applyAlignment="1" applyProtection="1">
      <alignment vertical="center"/>
      <protection locked="0"/>
    </xf>
    <xf numFmtId="41" fontId="16" fillId="13" borderId="0" xfId="2" applyFont="1" applyFill="1">
      <alignment vertical="center"/>
    </xf>
    <xf numFmtId="14" fontId="31" fillId="14" borderId="0" xfId="11" applyNumberFormat="1" applyFont="1" applyFill="1" applyAlignment="1">
      <alignment horizontal="center" vertical="center"/>
    </xf>
    <xf numFmtId="183" fontId="15" fillId="14" borderId="0" xfId="12" applyNumberFormat="1" applyFont="1" applyFill="1" applyAlignment="1" applyProtection="1">
      <alignment horizontal="center" vertical="center"/>
      <protection locked="0"/>
    </xf>
    <xf numFmtId="179" fontId="15" fillId="14" borderId="0" xfId="12" applyNumberFormat="1" applyFont="1" applyFill="1" applyAlignment="1" applyProtection="1">
      <alignment horizontal="center" vertical="center"/>
      <protection locked="0"/>
    </xf>
    <xf numFmtId="179" fontId="31" fillId="14" borderId="0" xfId="11" applyNumberFormat="1" applyFont="1" applyFill="1" applyAlignment="1">
      <alignment horizontal="center" vertical="center"/>
    </xf>
    <xf numFmtId="179" fontId="15" fillId="14" borderId="0" xfId="12" applyNumberFormat="1" applyFont="1" applyFill="1" applyAlignment="1" applyProtection="1">
      <alignment horizontal="center" vertical="center" wrapText="1"/>
      <protection locked="0"/>
    </xf>
    <xf numFmtId="179" fontId="15" fillId="15" borderId="0" xfId="12" applyNumberFormat="1" applyFont="1" applyFill="1" applyAlignment="1" applyProtection="1">
      <alignment horizontal="center" vertical="center"/>
      <protection locked="0"/>
    </xf>
    <xf numFmtId="183" fontId="15" fillId="16" borderId="0" xfId="1" applyNumberFormat="1" applyFont="1" applyFill="1" applyAlignment="1" applyProtection="1">
      <alignment horizontal="center" vertical="center"/>
      <protection locked="0"/>
    </xf>
    <xf numFmtId="0" fontId="14" fillId="17" borderId="3" xfId="11" applyFont="1" applyFill="1" applyBorder="1" applyAlignment="1">
      <alignment vertical="center"/>
    </xf>
    <xf numFmtId="179" fontId="5" fillId="17" borderId="3" xfId="11" applyNumberFormat="1" applyFont="1" applyFill="1" applyBorder="1" applyAlignment="1">
      <alignment vertical="center"/>
    </xf>
    <xf numFmtId="179" fontId="14" fillId="17" borderId="3" xfId="11" applyNumberFormat="1" applyFont="1" applyFill="1" applyBorder="1" applyAlignment="1">
      <alignment vertical="center"/>
    </xf>
    <xf numFmtId="0" fontId="14" fillId="18" borderId="3" xfId="11" applyFont="1" applyFill="1" applyBorder="1" applyAlignment="1">
      <alignment vertical="center"/>
    </xf>
    <xf numFmtId="179" fontId="14" fillId="18" borderId="3" xfId="11" applyNumberFormat="1" applyFont="1" applyFill="1" applyBorder="1" applyAlignment="1">
      <alignment vertical="center"/>
    </xf>
    <xf numFmtId="0" fontId="5" fillId="0" borderId="3" xfId="11" applyFont="1" applyBorder="1" applyAlignment="1">
      <alignment vertical="center"/>
    </xf>
    <xf numFmtId="179" fontId="5" fillId="0" borderId="3" xfId="11" applyNumberFormat="1" applyFont="1" applyBorder="1" applyAlignment="1">
      <alignment vertical="center"/>
    </xf>
    <xf numFmtId="184" fontId="5" fillId="0" borderId="3" xfId="11" applyNumberFormat="1" applyFont="1" applyBorder="1" applyAlignment="1">
      <alignment vertical="center"/>
    </xf>
    <xf numFmtId="184" fontId="5" fillId="0" borderId="2" xfId="11" applyNumberFormat="1" applyFont="1" applyBorder="1" applyAlignment="1">
      <alignment vertical="center"/>
    </xf>
    <xf numFmtId="0" fontId="5" fillId="19" borderId="3" xfId="11" applyFont="1" applyFill="1" applyBorder="1" applyAlignment="1">
      <alignment vertical="center"/>
    </xf>
    <xf numFmtId="176" fontId="5" fillId="19" borderId="3" xfId="11" applyNumberFormat="1" applyFont="1" applyFill="1" applyBorder="1" applyAlignment="1">
      <alignment vertical="center"/>
    </xf>
    <xf numFmtId="179" fontId="5" fillId="0" borderId="3" xfId="13" applyNumberFormat="1" applyFont="1" applyBorder="1" applyAlignment="1">
      <alignment vertical="center"/>
    </xf>
    <xf numFmtId="183" fontId="28" fillId="0" borderId="3" xfId="12" applyNumberFormat="1" applyFont="1" applyBorder="1" applyAlignment="1" applyProtection="1">
      <alignment vertical="center"/>
      <protection locked="0"/>
    </xf>
    <xf numFmtId="0" fontId="5" fillId="19" borderId="5" xfId="11" applyFont="1" applyFill="1" applyBorder="1" applyAlignment="1">
      <alignment vertical="center"/>
    </xf>
    <xf numFmtId="176" fontId="5" fillId="3" borderId="3" xfId="11" applyNumberFormat="1" applyFont="1" applyFill="1" applyBorder="1" applyAlignment="1">
      <alignment vertical="center"/>
    </xf>
    <xf numFmtId="176" fontId="14" fillId="18" borderId="3" xfId="11" applyNumberFormat="1" applyFont="1" applyFill="1" applyBorder="1" applyAlignment="1">
      <alignment vertical="center"/>
    </xf>
    <xf numFmtId="3" fontId="14" fillId="18" borderId="3" xfId="13" applyNumberFormat="1" applyFont="1" applyFill="1" applyBorder="1" applyAlignment="1">
      <alignment vertical="center"/>
    </xf>
    <xf numFmtId="3" fontId="14" fillId="18" borderId="3" xfId="11" applyNumberFormat="1" applyFont="1" applyFill="1" applyBorder="1" applyAlignment="1">
      <alignment vertical="center"/>
    </xf>
    <xf numFmtId="176" fontId="14" fillId="17" borderId="3" xfId="13" applyNumberFormat="1" applyFont="1" applyFill="1" applyBorder="1" applyAlignment="1">
      <alignment vertical="center"/>
    </xf>
    <xf numFmtId="176" fontId="14" fillId="17" borderId="3" xfId="11" applyNumberFormat="1" applyFont="1" applyFill="1" applyBorder="1" applyAlignment="1">
      <alignment vertical="center"/>
    </xf>
    <xf numFmtId="176" fontId="14" fillId="18" borderId="3" xfId="13" applyNumberFormat="1" applyFont="1" applyFill="1" applyBorder="1" applyAlignment="1">
      <alignment vertical="center"/>
    </xf>
    <xf numFmtId="185" fontId="28" fillId="0" borderId="3" xfId="12" applyNumberFormat="1" applyFont="1" applyBorder="1" applyAlignment="1" applyProtection="1">
      <alignment vertical="center"/>
      <protection locked="0"/>
    </xf>
    <xf numFmtId="0" fontId="5" fillId="20" borderId="18" xfId="11" applyFont="1" applyFill="1" applyBorder="1" applyAlignment="1">
      <alignment vertical="center"/>
    </xf>
    <xf numFmtId="0" fontId="5" fillId="20" borderId="19" xfId="11" applyFont="1" applyFill="1" applyBorder="1" applyAlignment="1">
      <alignment vertical="center"/>
    </xf>
    <xf numFmtId="183" fontId="28" fillId="21" borderId="3" xfId="12" applyNumberFormat="1" applyFont="1" applyFill="1" applyBorder="1" applyAlignment="1" applyProtection="1">
      <alignment vertical="center"/>
      <protection locked="0"/>
    </xf>
    <xf numFmtId="179" fontId="28" fillId="21" borderId="3" xfId="12" applyNumberFormat="1" applyFont="1" applyFill="1" applyBorder="1" applyAlignment="1" applyProtection="1">
      <alignment horizontal="center" vertical="center"/>
      <protection locked="0"/>
    </xf>
    <xf numFmtId="183" fontId="28" fillId="21" borderId="3" xfId="12" applyNumberFormat="1" applyFont="1" applyFill="1" applyBorder="1" applyAlignment="1" applyProtection="1">
      <alignment horizontal="center" vertical="center"/>
      <protection locked="0"/>
    </xf>
    <xf numFmtId="179" fontId="14" fillId="0" borderId="0" xfId="11" applyNumberFormat="1" applyFont="1" applyAlignment="1">
      <alignment vertical="center"/>
    </xf>
    <xf numFmtId="179" fontId="5" fillId="0" borderId="20" xfId="11" applyNumberFormat="1" applyFont="1" applyBorder="1" applyAlignment="1">
      <alignment vertical="center"/>
    </xf>
    <xf numFmtId="41" fontId="5" fillId="0" borderId="0" xfId="11" applyNumberFormat="1" applyFont="1" applyAlignment="1">
      <alignment vertical="center"/>
    </xf>
    <xf numFmtId="3" fontId="5" fillId="0" borderId="0" xfId="11" applyNumberFormat="1" applyFont="1" applyAlignment="1">
      <alignment vertical="center"/>
    </xf>
    <xf numFmtId="0" fontId="14" fillId="0" borderId="3" xfId="11" applyFont="1" applyBorder="1" applyAlignment="1">
      <alignment vertical="center"/>
    </xf>
    <xf numFmtId="179" fontId="14" fillId="0" borderId="3" xfId="11" applyNumberFormat="1" applyFont="1" applyBorder="1" applyAlignment="1">
      <alignment vertical="center"/>
    </xf>
    <xf numFmtId="41" fontId="5" fillId="13" borderId="0" xfId="2" applyFont="1" applyFill="1">
      <alignment vertical="center"/>
    </xf>
    <xf numFmtId="0" fontId="5" fillId="0" borderId="0" xfId="11" applyFont="1" applyAlignment="1">
      <alignment horizontal="right" vertical="center"/>
    </xf>
    <xf numFmtId="179" fontId="5" fillId="19" borderId="3" xfId="11" applyNumberFormat="1" applyFont="1" applyFill="1" applyBorder="1" applyAlignment="1">
      <alignment vertical="center"/>
    </xf>
    <xf numFmtId="183" fontId="28" fillId="0" borderId="0" xfId="12" applyNumberFormat="1" applyFont="1" applyAlignment="1" applyProtection="1">
      <alignment vertical="center"/>
      <protection locked="0"/>
    </xf>
    <xf numFmtId="0" fontId="5" fillId="0" borderId="17" xfId="11" applyFont="1" applyBorder="1" applyAlignment="1">
      <alignment vertical="center"/>
    </xf>
    <xf numFmtId="181" fontId="5" fillId="13" borderId="17" xfId="13" applyNumberFormat="1" applyFont="1" applyFill="1" applyBorder="1" applyAlignment="1">
      <alignment vertical="center"/>
    </xf>
    <xf numFmtId="179" fontId="5" fillId="0" borderId="21" xfId="11" applyNumberFormat="1" applyFont="1" applyBorder="1" applyAlignment="1">
      <alignment vertical="center"/>
    </xf>
    <xf numFmtId="179" fontId="14" fillId="19" borderId="3" xfId="11" applyNumberFormat="1" applyFont="1" applyFill="1" applyBorder="1" applyAlignment="1">
      <alignment vertical="center"/>
    </xf>
    <xf numFmtId="183" fontId="28" fillId="21" borderId="3" xfId="1" applyNumberFormat="1" applyFont="1" applyFill="1" applyBorder="1" applyAlignment="1" applyProtection="1">
      <alignment horizontal="center" vertical="center"/>
      <protection locked="0"/>
    </xf>
    <xf numFmtId="0" fontId="12" fillId="0" borderId="3" xfId="0" applyFont="1" applyBorder="1">
      <alignment vertical="center"/>
    </xf>
    <xf numFmtId="3" fontId="12" fillId="0" borderId="3" xfId="0" applyNumberFormat="1" applyFont="1" applyBorder="1">
      <alignment vertical="center"/>
    </xf>
    <xf numFmtId="3" fontId="14" fillId="0" borderId="3" xfId="0" applyNumberFormat="1" applyFont="1" applyBorder="1">
      <alignment vertical="center"/>
    </xf>
    <xf numFmtId="3" fontId="12" fillId="0" borderId="0" xfId="0" applyNumberFormat="1" applyFont="1">
      <alignment vertical="center"/>
    </xf>
    <xf numFmtId="183" fontId="24" fillId="21" borderId="0" xfId="1" applyNumberFormat="1" applyFont="1" applyFill="1" applyProtection="1">
      <alignment vertical="center"/>
      <protection locked="0"/>
    </xf>
    <xf numFmtId="183" fontId="24" fillId="21" borderId="0" xfId="1" applyNumberFormat="1" applyFont="1" applyFill="1" applyAlignment="1" applyProtection="1">
      <alignment horizontal="center" vertical="center"/>
      <protection locked="0"/>
    </xf>
    <xf numFmtId="183" fontId="24" fillId="0" borderId="0" xfId="1" applyNumberFormat="1" applyFont="1" applyProtection="1">
      <alignment vertical="center"/>
      <protection locked="0"/>
    </xf>
    <xf numFmtId="183" fontId="24" fillId="22" borderId="0" xfId="1" applyNumberFormat="1" applyFont="1" applyFill="1" applyProtection="1">
      <alignment vertical="center"/>
      <protection locked="0"/>
    </xf>
    <xf numFmtId="183" fontId="33" fillId="0" borderId="0" xfId="1" applyNumberFormat="1" applyFont="1" applyProtection="1">
      <alignment vertical="center"/>
      <protection locked="0"/>
    </xf>
    <xf numFmtId="183" fontId="24" fillId="0" borderId="0" xfId="1" applyNumberFormat="1" applyFont="1" applyAlignment="1" applyProtection="1">
      <alignment horizontal="right" vertical="center"/>
      <protection locked="0"/>
    </xf>
    <xf numFmtId="183" fontId="24" fillId="0" borderId="0" xfId="1" applyNumberFormat="1" applyFont="1" applyAlignment="1" applyProtection="1">
      <alignment vertical="center" wrapText="1"/>
      <protection locked="0"/>
    </xf>
    <xf numFmtId="183" fontId="24" fillId="12" borderId="0" xfId="1" applyNumberFormat="1" applyFont="1" applyFill="1" applyProtection="1">
      <alignment vertical="center"/>
      <protection locked="0"/>
    </xf>
    <xf numFmtId="179" fontId="21" fillId="15" borderId="0" xfId="12" applyNumberFormat="1" applyFont="1" applyFill="1" applyAlignment="1" applyProtection="1">
      <alignment horizontal="center" vertical="center"/>
      <protection locked="0"/>
    </xf>
    <xf numFmtId="179" fontId="5" fillId="9" borderId="3" xfId="11" applyNumberFormat="1" applyFont="1" applyFill="1" applyBorder="1" applyAlignment="1">
      <alignment vertical="center"/>
    </xf>
    <xf numFmtId="179" fontId="5" fillId="7" borderId="0" xfId="11" applyNumberFormat="1" applyFont="1" applyFill="1" applyAlignment="1">
      <alignment vertical="center"/>
    </xf>
    <xf numFmtId="0" fontId="36" fillId="0" borderId="0" xfId="15" applyFont="1">
      <alignment vertical="center"/>
    </xf>
    <xf numFmtId="183" fontId="36" fillId="25" borderId="8" xfId="1" applyNumberFormat="1" applyFont="1" applyFill="1" applyBorder="1">
      <alignment vertical="center"/>
    </xf>
    <xf numFmtId="178" fontId="36" fillId="25" borderId="8" xfId="1" applyNumberFormat="1" applyFont="1" applyFill="1" applyBorder="1">
      <alignment vertical="center"/>
    </xf>
    <xf numFmtId="0" fontId="37" fillId="23" borderId="22" xfId="14" applyFont="1" applyFill="1" applyBorder="1" applyAlignment="1">
      <alignment vertical="center"/>
    </xf>
    <xf numFmtId="14" fontId="37" fillId="23" borderId="23" xfId="1" applyNumberFormat="1" applyFont="1" applyFill="1" applyBorder="1" applyAlignment="1">
      <alignment horizontal="center" vertical="center"/>
    </xf>
    <xf numFmtId="0" fontId="38" fillId="0" borderId="0" xfId="15" applyFont="1">
      <alignment vertical="center"/>
    </xf>
    <xf numFmtId="0" fontId="39" fillId="0" borderId="0" xfId="0" applyFont="1">
      <alignment vertical="center"/>
    </xf>
    <xf numFmtId="0" fontId="37" fillId="23" borderId="24" xfId="14" applyFont="1" applyFill="1" applyBorder="1" applyAlignment="1">
      <alignment vertical="center"/>
    </xf>
    <xf numFmtId="41" fontId="37" fillId="24" borderId="1" xfId="2" applyFont="1" applyFill="1" applyBorder="1" applyAlignment="1">
      <alignment horizontal="left" vertical="center"/>
    </xf>
    <xf numFmtId="183" fontId="37" fillId="24" borderId="1" xfId="1" applyNumberFormat="1" applyFont="1" applyFill="1" applyBorder="1" applyAlignment="1">
      <alignment horizontal="right" vertical="center"/>
    </xf>
    <xf numFmtId="183" fontId="38" fillId="0" borderId="0" xfId="15" applyNumberFormat="1" applyFont="1">
      <alignment vertical="center"/>
    </xf>
    <xf numFmtId="183" fontId="38" fillId="25" borderId="8" xfId="1" applyNumberFormat="1" applyFont="1" applyFill="1" applyBorder="1">
      <alignment vertical="center"/>
    </xf>
    <xf numFmtId="183" fontId="38" fillId="0" borderId="1" xfId="1" applyNumberFormat="1" applyFont="1" applyBorder="1">
      <alignment vertical="center"/>
    </xf>
    <xf numFmtId="183" fontId="38" fillId="0" borderId="1" xfId="1" applyNumberFormat="1" applyFont="1" applyFill="1" applyBorder="1">
      <alignment vertical="center"/>
    </xf>
    <xf numFmtId="0" fontId="38" fillId="0" borderId="1" xfId="15" applyFont="1" applyBorder="1" applyAlignment="1">
      <alignment horizontal="left" vertical="center"/>
    </xf>
    <xf numFmtId="0" fontId="38" fillId="20" borderId="1" xfId="15" applyFont="1" applyFill="1" applyBorder="1" applyAlignment="1">
      <alignment horizontal="left" vertical="center"/>
    </xf>
    <xf numFmtId="183" fontId="38" fillId="20" borderId="1" xfId="1" applyNumberFormat="1" applyFont="1" applyFill="1" applyBorder="1">
      <alignment vertical="center"/>
    </xf>
    <xf numFmtId="0" fontId="38" fillId="12" borderId="1" xfId="15" applyFont="1" applyFill="1" applyBorder="1" applyAlignment="1">
      <alignment horizontal="left" vertical="center"/>
    </xf>
    <xf numFmtId="183" fontId="38" fillId="12" borderId="1" xfId="1" applyNumberFormat="1" applyFont="1" applyFill="1" applyBorder="1">
      <alignment vertical="center"/>
    </xf>
    <xf numFmtId="0" fontId="38" fillId="12" borderId="0" xfId="15" applyFont="1" applyFill="1">
      <alignment vertical="center"/>
    </xf>
    <xf numFmtId="3" fontId="38" fillId="0" borderId="0" xfId="15" applyNumberFormat="1" applyFont="1">
      <alignment vertical="center"/>
    </xf>
    <xf numFmtId="183" fontId="38" fillId="0" borderId="0" xfId="1" applyNumberFormat="1" applyFont="1">
      <alignment vertical="center"/>
    </xf>
    <xf numFmtId="3" fontId="39" fillId="0" borderId="0" xfId="0" applyNumberFormat="1" applyFont="1">
      <alignment vertical="center"/>
    </xf>
    <xf numFmtId="41" fontId="14" fillId="18" borderId="3" xfId="2" applyFont="1" applyFill="1" applyBorder="1" applyAlignment="1">
      <alignment vertical="center"/>
    </xf>
    <xf numFmtId="183" fontId="39" fillId="0" borderId="0" xfId="0" applyNumberFormat="1" applyFont="1">
      <alignment vertical="center"/>
    </xf>
    <xf numFmtId="0" fontId="42" fillId="0" borderId="0" xfId="0" applyFont="1">
      <alignment vertical="center"/>
    </xf>
    <xf numFmtId="41" fontId="40" fillId="17" borderId="1" xfId="2" applyFont="1" applyFill="1" applyBorder="1" applyAlignment="1">
      <alignment horizontal="left" vertical="center"/>
    </xf>
    <xf numFmtId="183" fontId="40" fillId="17" borderId="1" xfId="1" applyNumberFormat="1" applyFont="1" applyFill="1" applyBorder="1">
      <alignment vertical="center"/>
    </xf>
    <xf numFmtId="41" fontId="36" fillId="0" borderId="0" xfId="2" applyFont="1" applyAlignment="1">
      <alignment vertical="center"/>
    </xf>
    <xf numFmtId="0" fontId="43" fillId="0" borderId="0" xfId="15" applyFont="1">
      <alignment vertical="center"/>
    </xf>
    <xf numFmtId="0" fontId="41" fillId="0" borderId="0" xfId="15" applyFont="1">
      <alignment vertical="center"/>
    </xf>
    <xf numFmtId="186" fontId="41" fillId="0" borderId="0" xfId="15" applyNumberFormat="1" applyFont="1">
      <alignment vertical="center"/>
    </xf>
    <xf numFmtId="0" fontId="41" fillId="19" borderId="0" xfId="15" applyFont="1" applyFill="1">
      <alignment vertical="center"/>
    </xf>
    <xf numFmtId="41" fontId="41" fillId="19" borderId="0" xfId="2" applyFont="1" applyFill="1" applyAlignment="1">
      <alignment vertical="center"/>
    </xf>
    <xf numFmtId="0" fontId="41" fillId="11" borderId="0" xfId="15" applyFont="1" applyFill="1">
      <alignment vertical="center"/>
    </xf>
    <xf numFmtId="41" fontId="41" fillId="11" borderId="0" xfId="2" applyFont="1" applyFill="1" applyAlignment="1">
      <alignment vertical="center"/>
    </xf>
    <xf numFmtId="0" fontId="41" fillId="3" borderId="0" xfId="15" applyFont="1" applyFill="1">
      <alignment vertical="center"/>
    </xf>
    <xf numFmtId="41" fontId="41" fillId="3" borderId="0" xfId="2" applyFont="1" applyFill="1" applyAlignment="1">
      <alignment vertical="center"/>
    </xf>
    <xf numFmtId="0" fontId="41" fillId="0" borderId="25" xfId="15" applyFont="1" applyBorder="1">
      <alignment vertical="center"/>
    </xf>
    <xf numFmtId="0" fontId="41" fillId="0" borderId="25" xfId="15" applyFont="1" applyBorder="1" applyAlignment="1">
      <alignment horizontal="center" vertical="center"/>
    </xf>
    <xf numFmtId="186" fontId="41" fillId="26" borderId="0" xfId="15" applyNumberFormat="1" applyFont="1" applyFill="1">
      <alignment vertical="center"/>
    </xf>
    <xf numFmtId="0" fontId="38" fillId="0" borderId="25" xfId="15" applyFont="1" applyBorder="1">
      <alignment vertical="center"/>
    </xf>
    <xf numFmtId="0" fontId="39" fillId="0" borderId="25" xfId="0" applyFont="1" applyBorder="1">
      <alignment vertical="center"/>
    </xf>
    <xf numFmtId="179" fontId="38" fillId="0" borderId="0" xfId="15" applyNumberFormat="1" applyFont="1">
      <alignment vertical="center"/>
    </xf>
    <xf numFmtId="179" fontId="39" fillId="0" borderId="0" xfId="0" applyNumberFormat="1" applyFont="1">
      <alignment vertical="center"/>
    </xf>
    <xf numFmtId="3" fontId="39" fillId="0" borderId="25" xfId="0" applyNumberFormat="1" applyFont="1" applyBorder="1">
      <alignment vertical="center"/>
    </xf>
    <xf numFmtId="0" fontId="44" fillId="9" borderId="0" xfId="11" applyFont="1" applyFill="1" applyAlignment="1">
      <alignment vertical="center"/>
    </xf>
    <xf numFmtId="41" fontId="5" fillId="0" borderId="0" xfId="2" applyFont="1" applyAlignment="1">
      <alignment vertical="center"/>
    </xf>
    <xf numFmtId="0" fontId="5" fillId="0" borderId="0" xfId="0" applyFont="1" applyAlignment="1">
      <alignment horizontal="left" vertical="center"/>
    </xf>
    <xf numFmtId="49" fontId="45" fillId="0" borderId="0" xfId="0" applyNumberFormat="1" applyFont="1">
      <alignment vertical="center"/>
    </xf>
    <xf numFmtId="41" fontId="5" fillId="0" borderId="0" xfId="8" applyFont="1" applyBorder="1" applyAlignment="1">
      <alignment horizontal="left" vertical="center"/>
    </xf>
    <xf numFmtId="177" fontId="5" fillId="0" borderId="0" xfId="8" applyNumberFormat="1" applyFont="1" applyBorder="1">
      <alignment vertical="center"/>
    </xf>
    <xf numFmtId="187" fontId="5" fillId="0" borderId="0" xfId="0" applyNumberFormat="1" applyFont="1">
      <alignment vertical="center"/>
    </xf>
    <xf numFmtId="176" fontId="15" fillId="10" borderId="0" xfId="8" applyNumberFormat="1" applyFont="1" applyFill="1" applyBorder="1" applyAlignment="1">
      <alignment horizontal="left" vertical="center"/>
    </xf>
    <xf numFmtId="176" fontId="15" fillId="10" borderId="0" xfId="8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176" fontId="5" fillId="0" borderId="0" xfId="8" applyNumberFormat="1" applyFont="1" applyBorder="1">
      <alignment vertical="center"/>
    </xf>
    <xf numFmtId="0" fontId="14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178" fontId="5" fillId="27" borderId="0" xfId="6" applyFont="1" applyFill="1" applyBorder="1" applyAlignment="1">
      <alignment horizontal="left" vertical="center"/>
    </xf>
    <xf numFmtId="0" fontId="5" fillId="19" borderId="0" xfId="0" applyFont="1" applyFill="1">
      <alignment vertical="center"/>
    </xf>
    <xf numFmtId="184" fontId="5" fillId="19" borderId="0" xfId="8" applyNumberFormat="1" applyFont="1" applyFill="1" applyBorder="1">
      <alignment vertical="center"/>
    </xf>
    <xf numFmtId="176" fontId="5" fillId="19" borderId="0" xfId="8" applyNumberFormat="1" applyFont="1" applyFill="1" applyBorder="1">
      <alignment vertical="center"/>
    </xf>
    <xf numFmtId="10" fontId="5" fillId="19" borderId="0" xfId="0" applyNumberFormat="1" applyFont="1" applyFill="1">
      <alignment vertical="center"/>
    </xf>
    <xf numFmtId="41" fontId="5" fillId="4" borderId="0" xfId="8" applyFont="1" applyFill="1" applyBorder="1">
      <alignment vertical="center"/>
    </xf>
    <xf numFmtId="177" fontId="5" fillId="4" borderId="0" xfId="0" applyNumberFormat="1" applyFont="1" applyFill="1">
      <alignment vertical="center"/>
    </xf>
    <xf numFmtId="10" fontId="5" fillId="0" borderId="0" xfId="0" applyNumberFormat="1" applyFont="1">
      <alignment vertical="center"/>
    </xf>
    <xf numFmtId="0" fontId="5" fillId="0" borderId="0" xfId="8" applyNumberFormat="1" applyFont="1" applyBorder="1" applyAlignment="1">
      <alignment horizontal="left" vertical="center"/>
    </xf>
    <xf numFmtId="41" fontId="5" fillId="0" borderId="0" xfId="8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19" fillId="0" borderId="0" xfId="0" applyFont="1">
      <alignment vertical="center"/>
    </xf>
    <xf numFmtId="184" fontId="19" fillId="0" borderId="0" xfId="8" applyNumberFormat="1" applyFont="1">
      <alignment vertical="center"/>
    </xf>
    <xf numFmtId="184" fontId="5" fillId="0" borderId="0" xfId="8" applyNumberFormat="1" applyFont="1">
      <alignment vertical="center"/>
    </xf>
    <xf numFmtId="0" fontId="5" fillId="0" borderId="0" xfId="8" applyNumberFormat="1" applyFont="1" applyAlignment="1">
      <alignment horizontal="left" vertical="center"/>
    </xf>
    <xf numFmtId="178" fontId="5" fillId="27" borderId="0" xfId="6" applyFont="1" applyFill="1" applyAlignment="1">
      <alignment horizontal="left" vertical="center"/>
    </xf>
    <xf numFmtId="188" fontId="5" fillId="0" borderId="0" xfId="3" applyNumberFormat="1" applyFont="1">
      <alignment vertical="center"/>
    </xf>
    <xf numFmtId="184" fontId="5" fillId="0" borderId="0" xfId="0" applyNumberFormat="1" applyFont="1">
      <alignment vertical="center"/>
    </xf>
    <xf numFmtId="0" fontId="5" fillId="0" borderId="26" xfId="0" applyFont="1" applyBorder="1">
      <alignment vertical="center"/>
    </xf>
    <xf numFmtId="184" fontId="5" fillId="0" borderId="26" xfId="8" applyNumberFormat="1" applyFont="1" applyBorder="1">
      <alignment vertical="center"/>
    </xf>
    <xf numFmtId="0" fontId="5" fillId="0" borderId="27" xfId="0" applyFont="1" applyBorder="1">
      <alignment vertical="center"/>
    </xf>
    <xf numFmtId="0" fontId="5" fillId="0" borderId="28" xfId="0" applyFont="1" applyBorder="1">
      <alignment vertical="center"/>
    </xf>
    <xf numFmtId="184" fontId="5" fillId="0" borderId="0" xfId="0" applyNumberFormat="1" applyFont="1" applyAlignment="1">
      <alignment horizontal="left" vertical="center"/>
    </xf>
    <xf numFmtId="0" fontId="5" fillId="0" borderId="29" xfId="0" applyFont="1" applyBorder="1">
      <alignment vertical="center"/>
    </xf>
    <xf numFmtId="184" fontId="5" fillId="0" borderId="29" xfId="8" applyNumberFormat="1" applyFont="1" applyBorder="1">
      <alignment vertical="center"/>
    </xf>
    <xf numFmtId="0" fontId="5" fillId="0" borderId="30" xfId="0" applyFont="1" applyBorder="1">
      <alignment vertical="center"/>
    </xf>
    <xf numFmtId="177" fontId="5" fillId="0" borderId="0" xfId="8" applyNumberFormat="1" applyFont="1">
      <alignment vertical="center"/>
    </xf>
    <xf numFmtId="0" fontId="44" fillId="0" borderId="0" xfId="0" applyFont="1">
      <alignment vertical="center"/>
    </xf>
    <xf numFmtId="0" fontId="5" fillId="0" borderId="0" xfId="8" quotePrefix="1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/>
    <xf numFmtId="0" fontId="46" fillId="0" borderId="0" xfId="0" applyFont="1">
      <alignment vertical="center"/>
    </xf>
    <xf numFmtId="178" fontId="47" fillId="3" borderId="0" xfId="4" applyNumberFormat="1" applyFont="1" applyFill="1">
      <alignment vertical="center"/>
    </xf>
    <xf numFmtId="177" fontId="5" fillId="0" borderId="0" xfId="8" applyNumberFormat="1" applyFont="1" applyFill="1">
      <alignment vertical="center"/>
    </xf>
    <xf numFmtId="41" fontId="5" fillId="0" borderId="0" xfId="8" applyFont="1" applyFill="1">
      <alignment vertical="center"/>
    </xf>
    <xf numFmtId="41" fontId="12" fillId="0" borderId="0" xfId="2" applyFont="1">
      <alignment vertical="center"/>
    </xf>
    <xf numFmtId="184" fontId="5" fillId="0" borderId="0" xfId="8" applyNumberFormat="1" applyFont="1" applyFill="1">
      <alignment vertical="center"/>
    </xf>
    <xf numFmtId="41" fontId="38" fillId="0" borderId="0" xfId="2" applyFont="1">
      <alignment vertical="center"/>
    </xf>
    <xf numFmtId="41" fontId="5" fillId="0" borderId="20" xfId="2" applyFont="1" applyBorder="1" applyAlignment="1">
      <alignment vertical="center"/>
    </xf>
    <xf numFmtId="0" fontId="48" fillId="0" borderId="0" xfId="4" applyFont="1">
      <alignment vertical="center"/>
    </xf>
    <xf numFmtId="0" fontId="48" fillId="3" borderId="0" xfId="4" applyFont="1" applyFill="1">
      <alignment vertical="center"/>
    </xf>
    <xf numFmtId="0" fontId="49" fillId="3" borderId="0" xfId="4" applyFont="1" applyFill="1">
      <alignment vertical="center"/>
    </xf>
    <xf numFmtId="178" fontId="49" fillId="3" borderId="0" xfId="4" applyNumberFormat="1" applyFont="1" applyFill="1">
      <alignment vertical="center"/>
    </xf>
    <xf numFmtId="178" fontId="48" fillId="3" borderId="0" xfId="4" applyNumberFormat="1" applyFont="1" applyFill="1">
      <alignment vertical="center"/>
    </xf>
    <xf numFmtId="178" fontId="48" fillId="0" borderId="0" xfId="4" applyNumberFormat="1" applyFont="1">
      <alignment vertical="center"/>
    </xf>
    <xf numFmtId="0" fontId="50" fillId="0" borderId="0" xfId="4" applyFont="1">
      <alignment vertical="center"/>
    </xf>
    <xf numFmtId="0" fontId="51" fillId="4" borderId="0" xfId="4" applyFont="1" applyFill="1">
      <alignment vertical="center"/>
    </xf>
    <xf numFmtId="178" fontId="52" fillId="0" borderId="0" xfId="6" applyFont="1">
      <alignment vertical="center"/>
    </xf>
    <xf numFmtId="178" fontId="52" fillId="0" borderId="0" xfId="6" applyFont="1" applyFill="1">
      <alignment vertical="center"/>
    </xf>
    <xf numFmtId="14" fontId="52" fillId="5" borderId="0" xfId="4" applyNumberFormat="1" applyFont="1" applyFill="1" applyAlignment="1">
      <alignment horizontal="center" vertical="center"/>
    </xf>
    <xf numFmtId="176" fontId="53" fillId="2" borderId="0" xfId="5" applyNumberFormat="1" applyFont="1" applyFill="1" applyAlignment="1">
      <alignment horizontal="center" vertical="center"/>
    </xf>
    <xf numFmtId="178" fontId="53" fillId="2" borderId="0" xfId="5" applyNumberFormat="1" applyFont="1" applyFill="1" applyAlignment="1">
      <alignment horizontal="center" vertical="center"/>
    </xf>
    <xf numFmtId="178" fontId="53" fillId="0" borderId="0" xfId="5" applyNumberFormat="1" applyFont="1" applyFill="1" applyAlignment="1">
      <alignment horizontal="center" vertical="center"/>
    </xf>
    <xf numFmtId="179" fontId="53" fillId="6" borderId="0" xfId="0" applyNumberFormat="1" applyFont="1" applyFill="1">
      <alignment vertical="center"/>
    </xf>
    <xf numFmtId="0" fontId="55" fillId="0" borderId="0" xfId="4" applyFont="1">
      <alignment vertical="center"/>
    </xf>
    <xf numFmtId="178" fontId="53" fillId="2" borderId="0" xfId="5" applyNumberFormat="1" applyFont="1" applyFill="1" applyAlignment="1">
      <alignment horizontal="center" vertical="center" wrapText="1"/>
    </xf>
    <xf numFmtId="15" fontId="55" fillId="0" borderId="0" xfId="4" applyNumberFormat="1" applyFont="1">
      <alignment vertical="center"/>
    </xf>
    <xf numFmtId="0" fontId="56" fillId="0" borderId="0" xfId="4" applyFont="1">
      <alignment vertical="center"/>
    </xf>
    <xf numFmtId="0" fontId="56" fillId="7" borderId="0" xfId="4" applyFont="1" applyFill="1">
      <alignment vertical="center"/>
    </xf>
    <xf numFmtId="0" fontId="50" fillId="7" borderId="0" xfId="4" applyFont="1" applyFill="1">
      <alignment vertical="center"/>
    </xf>
    <xf numFmtId="178" fontId="50" fillId="7" borderId="0" xfId="5" applyNumberFormat="1" applyFont="1" applyFill="1">
      <alignment vertical="center"/>
    </xf>
    <xf numFmtId="178" fontId="50" fillId="0" borderId="0" xfId="5" applyNumberFormat="1" applyFont="1" applyFill="1">
      <alignment vertical="center"/>
    </xf>
    <xf numFmtId="41" fontId="50" fillId="0" borderId="0" xfId="5" applyFont="1">
      <alignment vertical="center"/>
    </xf>
    <xf numFmtId="0" fontId="42" fillId="17" borderId="0" xfId="0" applyFont="1" applyFill="1">
      <alignment vertical="center"/>
    </xf>
    <xf numFmtId="0" fontId="57" fillId="17" borderId="0" xfId="0" applyFont="1" applyFill="1">
      <alignment vertical="center"/>
    </xf>
    <xf numFmtId="0" fontId="58" fillId="8" borderId="0" xfId="4" applyFont="1" applyFill="1">
      <alignment vertical="center"/>
    </xf>
    <xf numFmtId="0" fontId="50" fillId="8" borderId="0" xfId="4" applyFont="1" applyFill="1">
      <alignment vertical="center"/>
    </xf>
    <xf numFmtId="178" fontId="55" fillId="8" borderId="0" xfId="5" applyNumberFormat="1" applyFont="1" applyFill="1">
      <alignment vertical="center"/>
    </xf>
    <xf numFmtId="178" fontId="55" fillId="0" borderId="0" xfId="5" applyNumberFormat="1" applyFont="1" applyFill="1">
      <alignment vertical="center"/>
    </xf>
    <xf numFmtId="41" fontId="55" fillId="0" borderId="0" xfId="5" applyFont="1">
      <alignment vertical="center"/>
    </xf>
    <xf numFmtId="3" fontId="50" fillId="0" borderId="0" xfId="4" applyNumberFormat="1" applyFont="1">
      <alignment vertical="center"/>
    </xf>
    <xf numFmtId="178" fontId="55" fillId="7" borderId="0" xfId="5" applyNumberFormat="1" applyFont="1" applyFill="1">
      <alignment vertical="center"/>
    </xf>
    <xf numFmtId="0" fontId="57" fillId="18" borderId="0" xfId="0" applyFont="1" applyFill="1">
      <alignment vertical="center"/>
    </xf>
    <xf numFmtId="0" fontId="58" fillId="0" borderId="0" xfId="4" applyFont="1">
      <alignment vertical="center"/>
    </xf>
    <xf numFmtId="41" fontId="55" fillId="0" borderId="0" xfId="5" applyFont="1" applyFill="1">
      <alignment vertical="center"/>
    </xf>
    <xf numFmtId="0" fontId="42" fillId="7" borderId="0" xfId="0" applyFont="1" applyFill="1">
      <alignment vertical="center"/>
    </xf>
    <xf numFmtId="0" fontId="56" fillId="9" borderId="0" xfId="4" applyFont="1" applyFill="1">
      <alignment vertical="center"/>
    </xf>
    <xf numFmtId="0" fontId="58" fillId="0" borderId="0" xfId="5" applyNumberFormat="1" applyFont="1">
      <alignment vertical="center"/>
    </xf>
    <xf numFmtId="0" fontId="42" fillId="9" borderId="0" xfId="0" applyFont="1" applyFill="1">
      <alignment vertical="center"/>
    </xf>
    <xf numFmtId="0" fontId="58" fillId="9" borderId="0" xfId="4" applyFont="1" applyFill="1">
      <alignment vertical="center"/>
    </xf>
    <xf numFmtId="0" fontId="58" fillId="0" borderId="0" xfId="4" quotePrefix="1" applyFont="1">
      <alignment vertical="center"/>
    </xf>
    <xf numFmtId="0" fontId="59" fillId="7" borderId="0" xfId="0" applyFont="1" applyFill="1">
      <alignment vertical="center"/>
    </xf>
    <xf numFmtId="0" fontId="56" fillId="13" borderId="0" xfId="4" applyFont="1" applyFill="1">
      <alignment vertical="center"/>
    </xf>
    <xf numFmtId="0" fontId="58" fillId="7" borderId="0" xfId="4" quotePrefix="1" applyFont="1" applyFill="1">
      <alignment vertical="center"/>
    </xf>
    <xf numFmtId="0" fontId="58" fillId="0" borderId="0" xfId="4" applyFont="1" applyAlignment="1">
      <alignment horizontal="left" vertical="center"/>
    </xf>
    <xf numFmtId="41" fontId="55" fillId="0" borderId="0" xfId="8" applyFont="1" applyFill="1">
      <alignment vertical="center"/>
    </xf>
    <xf numFmtId="0" fontId="50" fillId="9" borderId="0" xfId="4" applyFont="1" applyFill="1">
      <alignment vertical="center"/>
    </xf>
    <xf numFmtId="178" fontId="55" fillId="9" borderId="0" xfId="5" applyNumberFormat="1" applyFont="1" applyFill="1">
      <alignment vertical="center"/>
    </xf>
    <xf numFmtId="41" fontId="55" fillId="9" borderId="0" xfId="5" applyFont="1" applyFill="1">
      <alignment vertical="center"/>
    </xf>
    <xf numFmtId="41" fontId="50" fillId="0" borderId="0" xfId="8" applyFont="1" applyBorder="1">
      <alignment vertical="center"/>
    </xf>
    <xf numFmtId="0" fontId="58" fillId="0" borderId="0" xfId="4" quotePrefix="1" applyFont="1" applyAlignment="1">
      <alignment horizontal="left" vertical="center"/>
    </xf>
    <xf numFmtId="0" fontId="59" fillId="0" borderId="0" xfId="0" applyFont="1">
      <alignment vertical="center"/>
    </xf>
    <xf numFmtId="178" fontId="50" fillId="0" borderId="0" xfId="4" applyNumberFormat="1" applyFont="1">
      <alignment vertical="center"/>
    </xf>
    <xf numFmtId="178" fontId="55" fillId="0" borderId="0" xfId="4" applyNumberFormat="1" applyFont="1">
      <alignment vertical="center"/>
    </xf>
    <xf numFmtId="178" fontId="28" fillId="0" borderId="3" xfId="12" applyNumberFormat="1" applyFont="1" applyBorder="1" applyAlignment="1" applyProtection="1">
      <alignment vertical="center"/>
      <protection locked="0"/>
    </xf>
    <xf numFmtId="178" fontId="14" fillId="18" borderId="3" xfId="11" applyNumberFormat="1" applyFont="1" applyFill="1" applyBorder="1" applyAlignment="1">
      <alignment vertical="center"/>
    </xf>
    <xf numFmtId="178" fontId="14" fillId="17" borderId="3" xfId="13" applyNumberFormat="1" applyFont="1" applyFill="1" applyBorder="1" applyAlignment="1">
      <alignment vertical="center"/>
    </xf>
    <xf numFmtId="178" fontId="14" fillId="18" borderId="3" xfId="13" applyNumberFormat="1" applyFont="1" applyFill="1" applyBorder="1" applyAlignment="1">
      <alignment vertical="center"/>
    </xf>
    <xf numFmtId="41" fontId="5" fillId="19" borderId="3" xfId="2" applyFont="1" applyFill="1" applyBorder="1" applyAlignment="1">
      <alignment vertical="center"/>
    </xf>
    <xf numFmtId="179" fontId="14" fillId="0" borderId="4" xfId="11" applyNumberFormat="1" applyFont="1" applyBorder="1" applyAlignment="1">
      <alignment vertical="center"/>
    </xf>
    <xf numFmtId="179" fontId="5" fillId="0" borderId="8" xfId="11" applyNumberFormat="1" applyFont="1" applyBorder="1" applyAlignment="1">
      <alignment vertical="center"/>
    </xf>
    <xf numFmtId="178" fontId="62" fillId="3" borderId="0" xfId="4" applyNumberFormat="1" applyFont="1" applyFill="1">
      <alignment vertical="center"/>
    </xf>
    <xf numFmtId="41" fontId="5" fillId="13" borderId="17" xfId="2" applyFont="1" applyFill="1" applyBorder="1" applyAlignment="1">
      <alignment vertical="center"/>
    </xf>
    <xf numFmtId="41" fontId="13" fillId="4" borderId="0" xfId="5" applyFont="1" applyFill="1" applyAlignment="1">
      <alignment horizontal="center" vertical="center" wrapText="1"/>
    </xf>
    <xf numFmtId="41" fontId="13" fillId="4" borderId="0" xfId="5" applyFont="1" applyFill="1" applyAlignment="1">
      <alignment horizontal="center" vertical="center"/>
    </xf>
    <xf numFmtId="41" fontId="51" fillId="4" borderId="0" xfId="5" applyFont="1" applyFill="1" applyAlignment="1">
      <alignment horizontal="center" vertical="center" wrapText="1"/>
    </xf>
    <xf numFmtId="41" fontId="51" fillId="4" borderId="0" xfId="5" applyFont="1" applyFill="1" applyAlignment="1">
      <alignment horizontal="center" vertical="center"/>
    </xf>
    <xf numFmtId="0" fontId="54" fillId="14" borderId="0" xfId="0" applyFont="1" applyFill="1" applyAlignment="1">
      <alignment horizontal="center" vertical="center" wrapText="1"/>
    </xf>
    <xf numFmtId="0" fontId="54" fillId="14" borderId="0" xfId="0" applyFont="1" applyFill="1" applyAlignment="1">
      <alignment horizontal="center" vertical="center"/>
    </xf>
    <xf numFmtId="176" fontId="15" fillId="10" borderId="4" xfId="8" applyNumberFormat="1" applyFont="1" applyFill="1" applyBorder="1" applyAlignment="1">
      <alignment horizontal="center" vertical="center" wrapText="1"/>
    </xf>
    <xf numFmtId="176" fontId="15" fillId="10" borderId="5" xfId="8" applyNumberFormat="1" applyFont="1" applyFill="1" applyBorder="1" applyAlignment="1">
      <alignment horizontal="center" vertical="center" wrapText="1"/>
    </xf>
    <xf numFmtId="179" fontId="15" fillId="14" borderId="0" xfId="12" applyNumberFormat="1" applyFont="1" applyFill="1" applyAlignment="1" applyProtection="1">
      <alignment horizontal="center" vertical="center"/>
      <protection locked="0"/>
    </xf>
    <xf numFmtId="179" fontId="15" fillId="15" borderId="0" xfId="12" applyNumberFormat="1" applyFont="1" applyFill="1" applyAlignment="1" applyProtection="1">
      <alignment horizontal="center" vertical="center"/>
      <protection locked="0"/>
    </xf>
    <xf numFmtId="183" fontId="15" fillId="16" borderId="0" xfId="1" applyNumberFormat="1" applyFont="1" applyFill="1" applyAlignment="1" applyProtection="1">
      <alignment horizontal="center" vertical="center"/>
      <protection locked="0"/>
    </xf>
    <xf numFmtId="0" fontId="23" fillId="10" borderId="0" xfId="11" applyFont="1" applyFill="1" applyAlignment="1">
      <alignment horizontal="center" vertical="center" wrapText="1"/>
    </xf>
    <xf numFmtId="0" fontId="23" fillId="10" borderId="0" xfId="11" applyFont="1" applyFill="1" applyAlignment="1">
      <alignment horizontal="center" vertical="center"/>
    </xf>
    <xf numFmtId="0" fontId="15" fillId="14" borderId="0" xfId="11" applyFont="1" applyFill="1" applyAlignment="1">
      <alignment horizontal="center" vertical="center" wrapText="1"/>
    </xf>
    <xf numFmtId="0" fontId="15" fillId="14" borderId="0" xfId="11" applyFont="1" applyFill="1" applyAlignment="1">
      <alignment horizontal="center" vertical="center"/>
    </xf>
    <xf numFmtId="183" fontId="15" fillId="14" borderId="0" xfId="12" applyNumberFormat="1" applyFont="1" applyFill="1" applyAlignment="1" applyProtection="1">
      <alignment horizontal="center" vertical="center"/>
      <protection locked="0"/>
    </xf>
    <xf numFmtId="183" fontId="15" fillId="14" borderId="17" xfId="12" applyNumberFormat="1" applyFont="1" applyFill="1" applyBorder="1" applyAlignment="1" applyProtection="1">
      <alignment horizontal="center" vertical="center"/>
      <protection locked="0"/>
    </xf>
  </cellXfs>
  <cellStyles count="16">
    <cellStyle name="백분율" xfId="3" builtinId="5"/>
    <cellStyle name="쉼표" xfId="1" builtinId="3"/>
    <cellStyle name="쉼표 [0]" xfId="2" builtinId="6"/>
    <cellStyle name="쉼표 [0] 11" xfId="5" xr:uid="{B577B0DF-66E5-497F-8438-FE940D16267D}"/>
    <cellStyle name="쉼표 [0] 2" xfId="8" xr:uid="{7449BA10-A363-440B-AD5E-DF4A9F05E475}"/>
    <cellStyle name="쉼표 [0] 2 4" xfId="10" xr:uid="{8794D642-482C-412B-B1FE-18C009A57B0E}"/>
    <cellStyle name="쉼표 [0] 3" xfId="13" xr:uid="{A1496FEE-2E8A-4A60-8B94-157826D81E98}"/>
    <cellStyle name="쉼표 2" xfId="6" xr:uid="{1CBB4610-BF5A-45C9-AD4A-3058B8EFB3F9}"/>
    <cellStyle name="쉼표 2 2" xfId="12" xr:uid="{CFB704D5-0E49-4EE1-988E-092B323C541D}"/>
    <cellStyle name="표준" xfId="0" builtinId="0"/>
    <cellStyle name="표준 13" xfId="4" xr:uid="{3B803164-EC42-4CDE-A57C-A20910EC8F67}"/>
    <cellStyle name="표준 2" xfId="7" xr:uid="{4CEEFA12-F8FC-4A9C-A547-74E45EA374AC}"/>
    <cellStyle name="표준 2 2" xfId="11" xr:uid="{7952AC67-08AD-450D-8720-E1D0B2B8BC5B}"/>
    <cellStyle name="표준_AJE-EBS" xfId="9" xr:uid="{56413670-A137-4A13-8AAE-EDDCF7FF8B3E}"/>
    <cellStyle name="표준_Book1 2" xfId="15" xr:uid="{6594D049-196C-47C2-B6B8-4E975F71933C}"/>
    <cellStyle name="표준_정산표_JS전선(20070205)v1 2" xfId="14" xr:uid="{9542C90A-6B81-428B-9BC0-8F810BA52CAA}"/>
  </cellStyles>
  <dxfs count="1249"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theme="5" tint="0.39994506668294322"/>
        </patternFill>
      </fill>
    </dxf>
    <dxf>
      <fill>
        <patternFill>
          <bgColor indexed="4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theme="5" tint="0.39994506668294322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theme="5" tint="0.39994506668294322"/>
        </patternFill>
      </fill>
    </dxf>
    <dxf>
      <fill>
        <patternFill>
          <bgColor indexed="4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theme="5" tint="0.39994506668294322"/>
        </patternFill>
      </fill>
    </dxf>
    <dxf>
      <fill>
        <patternFill>
          <bgColor indexed="4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6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63" Type="http://schemas.openxmlformats.org/officeDocument/2006/relationships/externalLink" Target="externalLinks/externalLink52.xml"/><Relationship Id="rId84" Type="http://schemas.openxmlformats.org/officeDocument/2006/relationships/externalLink" Target="externalLinks/externalLink73.xml"/><Relationship Id="rId138" Type="http://schemas.openxmlformats.org/officeDocument/2006/relationships/externalLink" Target="externalLinks/externalLink127.xml"/><Relationship Id="rId159" Type="http://schemas.openxmlformats.org/officeDocument/2006/relationships/externalLink" Target="externalLinks/externalLink148.xml"/><Relationship Id="rId170" Type="http://schemas.openxmlformats.org/officeDocument/2006/relationships/externalLink" Target="externalLinks/externalLink159.xml"/><Relationship Id="rId191" Type="http://schemas.openxmlformats.org/officeDocument/2006/relationships/externalLink" Target="externalLinks/externalLink180.xml"/><Relationship Id="rId205" Type="http://schemas.openxmlformats.org/officeDocument/2006/relationships/externalLink" Target="externalLinks/externalLink194.xml"/><Relationship Id="rId107" Type="http://schemas.openxmlformats.org/officeDocument/2006/relationships/externalLink" Target="externalLinks/externalLink9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42.xml"/><Relationship Id="rId74" Type="http://schemas.openxmlformats.org/officeDocument/2006/relationships/externalLink" Target="externalLinks/externalLink63.xml"/><Relationship Id="rId128" Type="http://schemas.openxmlformats.org/officeDocument/2006/relationships/externalLink" Target="externalLinks/externalLink117.xml"/><Relationship Id="rId149" Type="http://schemas.openxmlformats.org/officeDocument/2006/relationships/externalLink" Target="externalLinks/externalLink138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4.xml"/><Relationship Id="rId160" Type="http://schemas.openxmlformats.org/officeDocument/2006/relationships/externalLink" Target="externalLinks/externalLink149.xml"/><Relationship Id="rId181" Type="http://schemas.openxmlformats.org/officeDocument/2006/relationships/externalLink" Target="externalLinks/externalLink170.xml"/><Relationship Id="rId22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32.xml"/><Relationship Id="rId64" Type="http://schemas.openxmlformats.org/officeDocument/2006/relationships/externalLink" Target="externalLinks/externalLink53.xml"/><Relationship Id="rId118" Type="http://schemas.openxmlformats.org/officeDocument/2006/relationships/externalLink" Target="externalLinks/externalLink107.xml"/><Relationship Id="rId139" Type="http://schemas.openxmlformats.org/officeDocument/2006/relationships/externalLink" Target="externalLinks/externalLink128.xml"/><Relationship Id="rId85" Type="http://schemas.openxmlformats.org/officeDocument/2006/relationships/externalLink" Target="externalLinks/externalLink74.xml"/><Relationship Id="rId150" Type="http://schemas.openxmlformats.org/officeDocument/2006/relationships/externalLink" Target="externalLinks/externalLink139.xml"/><Relationship Id="rId171" Type="http://schemas.openxmlformats.org/officeDocument/2006/relationships/externalLink" Target="externalLinks/externalLink160.xml"/><Relationship Id="rId192" Type="http://schemas.openxmlformats.org/officeDocument/2006/relationships/externalLink" Target="externalLinks/externalLink181.xml"/><Relationship Id="rId206" Type="http://schemas.openxmlformats.org/officeDocument/2006/relationships/externalLink" Target="externalLinks/externalLink195.xml"/><Relationship Id="rId12" Type="http://schemas.openxmlformats.org/officeDocument/2006/relationships/externalLink" Target="externalLinks/externalLink1.xml"/><Relationship Id="rId33" Type="http://schemas.openxmlformats.org/officeDocument/2006/relationships/externalLink" Target="externalLinks/externalLink22.xml"/><Relationship Id="rId108" Type="http://schemas.openxmlformats.org/officeDocument/2006/relationships/externalLink" Target="externalLinks/externalLink97.xml"/><Relationship Id="rId129" Type="http://schemas.openxmlformats.org/officeDocument/2006/relationships/externalLink" Target="externalLinks/externalLink118.xml"/><Relationship Id="rId54" Type="http://schemas.openxmlformats.org/officeDocument/2006/relationships/externalLink" Target="externalLinks/externalLink43.xml"/><Relationship Id="rId75" Type="http://schemas.openxmlformats.org/officeDocument/2006/relationships/externalLink" Target="externalLinks/externalLink64.xml"/><Relationship Id="rId96" Type="http://schemas.openxmlformats.org/officeDocument/2006/relationships/externalLink" Target="externalLinks/externalLink85.xml"/><Relationship Id="rId140" Type="http://schemas.openxmlformats.org/officeDocument/2006/relationships/externalLink" Target="externalLinks/externalLink129.xml"/><Relationship Id="rId161" Type="http://schemas.openxmlformats.org/officeDocument/2006/relationships/externalLink" Target="externalLinks/externalLink150.xml"/><Relationship Id="rId182" Type="http://schemas.openxmlformats.org/officeDocument/2006/relationships/externalLink" Target="externalLinks/externalLink17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2.xml"/><Relationship Id="rId119" Type="http://schemas.openxmlformats.org/officeDocument/2006/relationships/externalLink" Target="externalLinks/externalLink108.xml"/><Relationship Id="rId44" Type="http://schemas.openxmlformats.org/officeDocument/2006/relationships/externalLink" Target="externalLinks/externalLink33.xml"/><Relationship Id="rId65" Type="http://schemas.openxmlformats.org/officeDocument/2006/relationships/externalLink" Target="externalLinks/externalLink54.xml"/><Relationship Id="rId86" Type="http://schemas.openxmlformats.org/officeDocument/2006/relationships/externalLink" Target="externalLinks/externalLink75.xml"/><Relationship Id="rId130" Type="http://schemas.openxmlformats.org/officeDocument/2006/relationships/externalLink" Target="externalLinks/externalLink119.xml"/><Relationship Id="rId151" Type="http://schemas.openxmlformats.org/officeDocument/2006/relationships/externalLink" Target="externalLinks/externalLink140.xml"/><Relationship Id="rId172" Type="http://schemas.openxmlformats.org/officeDocument/2006/relationships/externalLink" Target="externalLinks/externalLink161.xml"/><Relationship Id="rId193" Type="http://schemas.openxmlformats.org/officeDocument/2006/relationships/externalLink" Target="externalLinks/externalLink182.xml"/><Relationship Id="rId207" Type="http://schemas.openxmlformats.org/officeDocument/2006/relationships/externalLink" Target="externalLinks/externalLink196.xml"/><Relationship Id="rId13" Type="http://schemas.openxmlformats.org/officeDocument/2006/relationships/externalLink" Target="externalLinks/externalLink2.xml"/><Relationship Id="rId109" Type="http://schemas.openxmlformats.org/officeDocument/2006/relationships/externalLink" Target="externalLinks/externalLink98.xml"/><Relationship Id="rId34" Type="http://schemas.openxmlformats.org/officeDocument/2006/relationships/externalLink" Target="externalLinks/externalLink23.xml"/><Relationship Id="rId55" Type="http://schemas.openxmlformats.org/officeDocument/2006/relationships/externalLink" Target="externalLinks/externalLink44.xml"/><Relationship Id="rId76" Type="http://schemas.openxmlformats.org/officeDocument/2006/relationships/externalLink" Target="externalLinks/externalLink65.xml"/><Relationship Id="rId97" Type="http://schemas.openxmlformats.org/officeDocument/2006/relationships/externalLink" Target="externalLinks/externalLink86.xml"/><Relationship Id="rId120" Type="http://schemas.openxmlformats.org/officeDocument/2006/relationships/externalLink" Target="externalLinks/externalLink109.xml"/><Relationship Id="rId141" Type="http://schemas.openxmlformats.org/officeDocument/2006/relationships/externalLink" Target="externalLinks/externalLink130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51.xml"/><Relationship Id="rId183" Type="http://schemas.openxmlformats.org/officeDocument/2006/relationships/externalLink" Target="externalLinks/externalLink172.xml"/><Relationship Id="rId24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55.xml"/><Relationship Id="rId87" Type="http://schemas.openxmlformats.org/officeDocument/2006/relationships/externalLink" Target="externalLinks/externalLink76.xml"/><Relationship Id="rId110" Type="http://schemas.openxmlformats.org/officeDocument/2006/relationships/externalLink" Target="externalLinks/externalLink99.xml"/><Relationship Id="rId131" Type="http://schemas.openxmlformats.org/officeDocument/2006/relationships/externalLink" Target="externalLinks/externalLink120.xml"/><Relationship Id="rId152" Type="http://schemas.openxmlformats.org/officeDocument/2006/relationships/externalLink" Target="externalLinks/externalLink141.xml"/><Relationship Id="rId173" Type="http://schemas.openxmlformats.org/officeDocument/2006/relationships/externalLink" Target="externalLinks/externalLink162.xml"/><Relationship Id="rId194" Type="http://schemas.openxmlformats.org/officeDocument/2006/relationships/externalLink" Target="externalLinks/externalLink183.xml"/><Relationship Id="rId208" Type="http://schemas.openxmlformats.org/officeDocument/2006/relationships/externalLink" Target="externalLinks/externalLink197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66.xml"/><Relationship Id="rId100" Type="http://schemas.openxmlformats.org/officeDocument/2006/relationships/externalLink" Target="externalLinks/externalLink89.xml"/><Relationship Id="rId105" Type="http://schemas.openxmlformats.org/officeDocument/2006/relationships/externalLink" Target="externalLinks/externalLink94.xml"/><Relationship Id="rId126" Type="http://schemas.openxmlformats.org/officeDocument/2006/relationships/externalLink" Target="externalLinks/externalLink115.xml"/><Relationship Id="rId147" Type="http://schemas.openxmlformats.org/officeDocument/2006/relationships/externalLink" Target="externalLinks/externalLink136.xml"/><Relationship Id="rId168" Type="http://schemas.openxmlformats.org/officeDocument/2006/relationships/externalLink" Target="externalLinks/externalLink15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externalLink" Target="externalLinks/externalLink61.xml"/><Relationship Id="rId93" Type="http://schemas.openxmlformats.org/officeDocument/2006/relationships/externalLink" Target="externalLinks/externalLink82.xml"/><Relationship Id="rId98" Type="http://schemas.openxmlformats.org/officeDocument/2006/relationships/externalLink" Target="externalLinks/externalLink87.xml"/><Relationship Id="rId121" Type="http://schemas.openxmlformats.org/officeDocument/2006/relationships/externalLink" Target="externalLinks/externalLink110.xml"/><Relationship Id="rId142" Type="http://schemas.openxmlformats.org/officeDocument/2006/relationships/externalLink" Target="externalLinks/externalLink131.xml"/><Relationship Id="rId163" Type="http://schemas.openxmlformats.org/officeDocument/2006/relationships/externalLink" Target="externalLinks/externalLink152.xml"/><Relationship Id="rId184" Type="http://schemas.openxmlformats.org/officeDocument/2006/relationships/externalLink" Target="externalLinks/externalLink173.xml"/><Relationship Id="rId189" Type="http://schemas.openxmlformats.org/officeDocument/2006/relationships/externalLink" Target="externalLinks/externalLink178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56.xml"/><Relationship Id="rId116" Type="http://schemas.openxmlformats.org/officeDocument/2006/relationships/externalLink" Target="externalLinks/externalLink105.xml"/><Relationship Id="rId137" Type="http://schemas.openxmlformats.org/officeDocument/2006/relationships/externalLink" Target="externalLinks/externalLink126.xml"/><Relationship Id="rId158" Type="http://schemas.openxmlformats.org/officeDocument/2006/relationships/externalLink" Target="externalLinks/externalLink147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62" Type="http://schemas.openxmlformats.org/officeDocument/2006/relationships/externalLink" Target="externalLinks/externalLink51.xml"/><Relationship Id="rId83" Type="http://schemas.openxmlformats.org/officeDocument/2006/relationships/externalLink" Target="externalLinks/externalLink72.xml"/><Relationship Id="rId88" Type="http://schemas.openxmlformats.org/officeDocument/2006/relationships/externalLink" Target="externalLinks/externalLink77.xml"/><Relationship Id="rId111" Type="http://schemas.openxmlformats.org/officeDocument/2006/relationships/externalLink" Target="externalLinks/externalLink100.xml"/><Relationship Id="rId132" Type="http://schemas.openxmlformats.org/officeDocument/2006/relationships/externalLink" Target="externalLinks/externalLink121.xml"/><Relationship Id="rId153" Type="http://schemas.openxmlformats.org/officeDocument/2006/relationships/externalLink" Target="externalLinks/externalLink142.xml"/><Relationship Id="rId174" Type="http://schemas.openxmlformats.org/officeDocument/2006/relationships/externalLink" Target="externalLinks/externalLink163.xml"/><Relationship Id="rId179" Type="http://schemas.openxmlformats.org/officeDocument/2006/relationships/externalLink" Target="externalLinks/externalLink168.xml"/><Relationship Id="rId195" Type="http://schemas.openxmlformats.org/officeDocument/2006/relationships/externalLink" Target="externalLinks/externalLink184.xml"/><Relationship Id="rId209" Type="http://schemas.openxmlformats.org/officeDocument/2006/relationships/theme" Target="theme/theme1.xml"/><Relationship Id="rId190" Type="http://schemas.openxmlformats.org/officeDocument/2006/relationships/externalLink" Target="externalLinks/externalLink179.xml"/><Relationship Id="rId204" Type="http://schemas.openxmlformats.org/officeDocument/2006/relationships/externalLink" Target="externalLinks/externalLink193.xml"/><Relationship Id="rId15" Type="http://schemas.openxmlformats.org/officeDocument/2006/relationships/externalLink" Target="externalLinks/externalLink4.xml"/><Relationship Id="rId36" Type="http://schemas.openxmlformats.org/officeDocument/2006/relationships/externalLink" Target="externalLinks/externalLink25.xml"/><Relationship Id="rId57" Type="http://schemas.openxmlformats.org/officeDocument/2006/relationships/externalLink" Target="externalLinks/externalLink46.xml"/><Relationship Id="rId106" Type="http://schemas.openxmlformats.org/officeDocument/2006/relationships/externalLink" Target="externalLinks/externalLink95.xml"/><Relationship Id="rId127" Type="http://schemas.openxmlformats.org/officeDocument/2006/relationships/externalLink" Target="externalLinks/externalLink11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52" Type="http://schemas.openxmlformats.org/officeDocument/2006/relationships/externalLink" Target="externalLinks/externalLink41.xml"/><Relationship Id="rId73" Type="http://schemas.openxmlformats.org/officeDocument/2006/relationships/externalLink" Target="externalLinks/externalLink62.xml"/><Relationship Id="rId78" Type="http://schemas.openxmlformats.org/officeDocument/2006/relationships/externalLink" Target="externalLinks/externalLink67.xml"/><Relationship Id="rId94" Type="http://schemas.openxmlformats.org/officeDocument/2006/relationships/externalLink" Target="externalLinks/externalLink83.xml"/><Relationship Id="rId99" Type="http://schemas.openxmlformats.org/officeDocument/2006/relationships/externalLink" Target="externalLinks/externalLink88.xml"/><Relationship Id="rId101" Type="http://schemas.openxmlformats.org/officeDocument/2006/relationships/externalLink" Target="externalLinks/externalLink90.xml"/><Relationship Id="rId122" Type="http://schemas.openxmlformats.org/officeDocument/2006/relationships/externalLink" Target="externalLinks/externalLink111.xml"/><Relationship Id="rId143" Type="http://schemas.openxmlformats.org/officeDocument/2006/relationships/externalLink" Target="externalLinks/externalLink132.xml"/><Relationship Id="rId148" Type="http://schemas.openxmlformats.org/officeDocument/2006/relationships/externalLink" Target="externalLinks/externalLink137.xml"/><Relationship Id="rId164" Type="http://schemas.openxmlformats.org/officeDocument/2006/relationships/externalLink" Target="externalLinks/externalLink153.xml"/><Relationship Id="rId169" Type="http://schemas.openxmlformats.org/officeDocument/2006/relationships/externalLink" Target="externalLinks/externalLink158.xml"/><Relationship Id="rId185" Type="http://schemas.openxmlformats.org/officeDocument/2006/relationships/externalLink" Target="externalLinks/externalLink17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69.xml"/><Relationship Id="rId210" Type="http://schemas.openxmlformats.org/officeDocument/2006/relationships/styles" Target="styles.xml"/><Relationship Id="rId26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36.xml"/><Relationship Id="rId68" Type="http://schemas.openxmlformats.org/officeDocument/2006/relationships/externalLink" Target="externalLinks/externalLink57.xml"/><Relationship Id="rId89" Type="http://schemas.openxmlformats.org/officeDocument/2006/relationships/externalLink" Target="externalLinks/externalLink78.xml"/><Relationship Id="rId112" Type="http://schemas.openxmlformats.org/officeDocument/2006/relationships/externalLink" Target="externalLinks/externalLink101.xml"/><Relationship Id="rId133" Type="http://schemas.openxmlformats.org/officeDocument/2006/relationships/externalLink" Target="externalLinks/externalLink122.xml"/><Relationship Id="rId154" Type="http://schemas.openxmlformats.org/officeDocument/2006/relationships/externalLink" Target="externalLinks/externalLink143.xml"/><Relationship Id="rId175" Type="http://schemas.openxmlformats.org/officeDocument/2006/relationships/externalLink" Target="externalLinks/externalLink164.xml"/><Relationship Id="rId196" Type="http://schemas.openxmlformats.org/officeDocument/2006/relationships/externalLink" Target="externalLinks/externalLink185.xml"/><Relationship Id="rId200" Type="http://schemas.openxmlformats.org/officeDocument/2006/relationships/externalLink" Target="externalLinks/externalLink189.xml"/><Relationship Id="rId16" Type="http://schemas.openxmlformats.org/officeDocument/2006/relationships/externalLink" Target="externalLinks/externalLink5.xml"/><Relationship Id="rId37" Type="http://schemas.openxmlformats.org/officeDocument/2006/relationships/externalLink" Target="externalLinks/externalLink26.xml"/><Relationship Id="rId58" Type="http://schemas.openxmlformats.org/officeDocument/2006/relationships/externalLink" Target="externalLinks/externalLink47.xml"/><Relationship Id="rId79" Type="http://schemas.openxmlformats.org/officeDocument/2006/relationships/externalLink" Target="externalLinks/externalLink68.xml"/><Relationship Id="rId102" Type="http://schemas.openxmlformats.org/officeDocument/2006/relationships/externalLink" Target="externalLinks/externalLink91.xml"/><Relationship Id="rId123" Type="http://schemas.openxmlformats.org/officeDocument/2006/relationships/externalLink" Target="externalLinks/externalLink112.xml"/><Relationship Id="rId144" Type="http://schemas.openxmlformats.org/officeDocument/2006/relationships/externalLink" Target="externalLinks/externalLink133.xml"/><Relationship Id="rId90" Type="http://schemas.openxmlformats.org/officeDocument/2006/relationships/externalLink" Target="externalLinks/externalLink79.xml"/><Relationship Id="rId165" Type="http://schemas.openxmlformats.org/officeDocument/2006/relationships/externalLink" Target="externalLinks/externalLink154.xml"/><Relationship Id="rId186" Type="http://schemas.openxmlformats.org/officeDocument/2006/relationships/externalLink" Target="externalLinks/externalLink175.xml"/><Relationship Id="rId211" Type="http://schemas.openxmlformats.org/officeDocument/2006/relationships/sharedStrings" Target="sharedStrings.xml"/><Relationship Id="rId27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37.xml"/><Relationship Id="rId69" Type="http://schemas.openxmlformats.org/officeDocument/2006/relationships/externalLink" Target="externalLinks/externalLink58.xml"/><Relationship Id="rId113" Type="http://schemas.openxmlformats.org/officeDocument/2006/relationships/externalLink" Target="externalLinks/externalLink102.xml"/><Relationship Id="rId134" Type="http://schemas.openxmlformats.org/officeDocument/2006/relationships/externalLink" Target="externalLinks/externalLink123.xml"/><Relationship Id="rId80" Type="http://schemas.openxmlformats.org/officeDocument/2006/relationships/externalLink" Target="externalLinks/externalLink69.xml"/><Relationship Id="rId155" Type="http://schemas.openxmlformats.org/officeDocument/2006/relationships/externalLink" Target="externalLinks/externalLink144.xml"/><Relationship Id="rId176" Type="http://schemas.openxmlformats.org/officeDocument/2006/relationships/externalLink" Target="externalLinks/externalLink165.xml"/><Relationship Id="rId197" Type="http://schemas.openxmlformats.org/officeDocument/2006/relationships/externalLink" Target="externalLinks/externalLink186.xml"/><Relationship Id="rId201" Type="http://schemas.openxmlformats.org/officeDocument/2006/relationships/externalLink" Target="externalLinks/externalLink190.xml"/><Relationship Id="rId17" Type="http://schemas.openxmlformats.org/officeDocument/2006/relationships/externalLink" Target="externalLinks/externalLink6.xml"/><Relationship Id="rId38" Type="http://schemas.openxmlformats.org/officeDocument/2006/relationships/externalLink" Target="externalLinks/externalLink27.xml"/><Relationship Id="rId59" Type="http://schemas.openxmlformats.org/officeDocument/2006/relationships/externalLink" Target="externalLinks/externalLink48.xml"/><Relationship Id="rId103" Type="http://schemas.openxmlformats.org/officeDocument/2006/relationships/externalLink" Target="externalLinks/externalLink92.xml"/><Relationship Id="rId124" Type="http://schemas.openxmlformats.org/officeDocument/2006/relationships/externalLink" Target="externalLinks/externalLink113.xml"/><Relationship Id="rId70" Type="http://schemas.openxmlformats.org/officeDocument/2006/relationships/externalLink" Target="externalLinks/externalLink59.xml"/><Relationship Id="rId91" Type="http://schemas.openxmlformats.org/officeDocument/2006/relationships/externalLink" Target="externalLinks/externalLink80.xml"/><Relationship Id="rId145" Type="http://schemas.openxmlformats.org/officeDocument/2006/relationships/externalLink" Target="externalLinks/externalLink134.xml"/><Relationship Id="rId166" Type="http://schemas.openxmlformats.org/officeDocument/2006/relationships/externalLink" Target="externalLinks/externalLink155.xml"/><Relationship Id="rId187" Type="http://schemas.openxmlformats.org/officeDocument/2006/relationships/externalLink" Target="externalLinks/externalLink176.xml"/><Relationship Id="rId1" Type="http://schemas.openxmlformats.org/officeDocument/2006/relationships/worksheet" Target="worksheets/sheet1.xml"/><Relationship Id="rId212" Type="http://schemas.microsoft.com/office/2017/10/relationships/person" Target="persons/person.xml"/><Relationship Id="rId28" Type="http://schemas.openxmlformats.org/officeDocument/2006/relationships/externalLink" Target="externalLinks/externalLink17.xml"/><Relationship Id="rId49" Type="http://schemas.openxmlformats.org/officeDocument/2006/relationships/externalLink" Target="externalLinks/externalLink38.xml"/><Relationship Id="rId114" Type="http://schemas.openxmlformats.org/officeDocument/2006/relationships/externalLink" Target="externalLinks/externalLink103.xml"/><Relationship Id="rId60" Type="http://schemas.openxmlformats.org/officeDocument/2006/relationships/externalLink" Target="externalLinks/externalLink49.xml"/><Relationship Id="rId81" Type="http://schemas.openxmlformats.org/officeDocument/2006/relationships/externalLink" Target="externalLinks/externalLink70.xml"/><Relationship Id="rId135" Type="http://schemas.openxmlformats.org/officeDocument/2006/relationships/externalLink" Target="externalLinks/externalLink124.xml"/><Relationship Id="rId156" Type="http://schemas.openxmlformats.org/officeDocument/2006/relationships/externalLink" Target="externalLinks/externalLink145.xml"/><Relationship Id="rId177" Type="http://schemas.openxmlformats.org/officeDocument/2006/relationships/externalLink" Target="externalLinks/externalLink166.xml"/><Relationship Id="rId198" Type="http://schemas.openxmlformats.org/officeDocument/2006/relationships/externalLink" Target="externalLinks/externalLink187.xml"/><Relationship Id="rId202" Type="http://schemas.openxmlformats.org/officeDocument/2006/relationships/externalLink" Target="externalLinks/externalLink191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39.xml"/><Relationship Id="rId104" Type="http://schemas.openxmlformats.org/officeDocument/2006/relationships/externalLink" Target="externalLinks/externalLink93.xml"/><Relationship Id="rId125" Type="http://schemas.openxmlformats.org/officeDocument/2006/relationships/externalLink" Target="externalLinks/externalLink114.xml"/><Relationship Id="rId146" Type="http://schemas.openxmlformats.org/officeDocument/2006/relationships/externalLink" Target="externalLinks/externalLink135.xml"/><Relationship Id="rId167" Type="http://schemas.openxmlformats.org/officeDocument/2006/relationships/externalLink" Target="externalLinks/externalLink156.xml"/><Relationship Id="rId188" Type="http://schemas.openxmlformats.org/officeDocument/2006/relationships/externalLink" Target="externalLinks/externalLink177.xml"/><Relationship Id="rId71" Type="http://schemas.openxmlformats.org/officeDocument/2006/relationships/externalLink" Target="externalLinks/externalLink60.xml"/><Relationship Id="rId92" Type="http://schemas.openxmlformats.org/officeDocument/2006/relationships/externalLink" Target="externalLinks/externalLink81.xml"/><Relationship Id="rId213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29.xml"/><Relationship Id="rId115" Type="http://schemas.openxmlformats.org/officeDocument/2006/relationships/externalLink" Target="externalLinks/externalLink104.xml"/><Relationship Id="rId136" Type="http://schemas.openxmlformats.org/officeDocument/2006/relationships/externalLink" Target="externalLinks/externalLink125.xml"/><Relationship Id="rId157" Type="http://schemas.openxmlformats.org/officeDocument/2006/relationships/externalLink" Target="externalLinks/externalLink146.xml"/><Relationship Id="rId178" Type="http://schemas.openxmlformats.org/officeDocument/2006/relationships/externalLink" Target="externalLinks/externalLink167.xml"/><Relationship Id="rId61" Type="http://schemas.openxmlformats.org/officeDocument/2006/relationships/externalLink" Target="externalLinks/externalLink50.xml"/><Relationship Id="rId82" Type="http://schemas.openxmlformats.org/officeDocument/2006/relationships/externalLink" Target="externalLinks/externalLink71.xml"/><Relationship Id="rId199" Type="http://schemas.openxmlformats.org/officeDocument/2006/relationships/externalLink" Target="externalLinks/externalLink188.xml"/><Relationship Id="rId203" Type="http://schemas.openxmlformats.org/officeDocument/2006/relationships/externalLink" Target="externalLinks/externalLink19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&#26085;&#24120;&#36130;&#21153;/00&#20250;&#35745;&#25253;&#34920;/C&#24555;&#25253;/&#24555;&#25253;&#21407;&#22987;&#25968;&#25454;/1&#26085;&#24120;&#36130;&#21153;/00&#20250;&#35745;&#25253;&#34920;/&#22806;&#25253;&#36164;&#26009;/04&#32479;&#35745;&#20013;&#24515;/2006.01&#26376;&#26376;&#25253;&#65288;&#32479;&#35745;&#20013;&#24515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&#26085;&#24120;&#36130;&#21153;/00&#20250;&#35745;&#25253;&#34920;/C&#24555;&#25253;/&#24555;&#25253;&#21407;&#22987;&#25968;&#25454;/1&#26085;&#24120;&#36130;&#21153;/00&#20250;&#35745;&#25253;&#34920;/&#22806;&#25253;&#36164;&#26009;/04&#32479;&#35745;&#20013;&#24515;/4&#38598;&#22242;&#29983;&#20135;&#32463;&#33829;&#24773;&#20917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4048;&#49324;-&#44592;&#47568;\00-5%20&#54620;&#51652;&#51473;&#44277;&#50629;\WF200\TMP\~TMP7233.$$$\WF200\TMP\~TMP5043.$$$\&#44228;&#51221;&#44284;&#4778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0672;&#52404;&#51221;&#48372;1\&#54788;&#54889;&#46041;&#54693;\3.&#48120;&#44208;NET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.halla.com/&#44208;&#49328;&#51088;&#47308;/2000&#45380;&#44208;&#49328;/00&#50672;&#52264;&#44208;&#49328;/&#49440;&#44553;&#48708;&#5085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.halla.com/&#44048;&#49324;-&#44592;&#47568;/00-5%20&#54620;&#51652;&#51473;&#44277;&#50629;/WF200/TMP/~TMP7233.$$$/WF200/TMP/~TMP5043.$$$/&#44228;&#51221;&#44284;&#4778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UNGJONGJIN\aws\WINDOWS\TEMP\&#50976;&#44032;&#51613;&#44428;20001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EEYOUNGAHN\aws\All-Data\&#54924;&#51032;&#51088;&#47308;\99&#52628;&#51221;&#48372;&#44256;_&#54616;&#48152;&#44592;\float&#44277;&#51109;&#50696;&#493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.halla.com/&#44048;&#49324;-&#44592;&#47568;/00-5%20&#54620;&#51652;&#51473;&#44277;&#50629;/WF200/TMP/~TMP7233.$$$/WF200/TMP/~TMP7201.$$$/ACT/ACT97/&#51116;&#47924;&#51228;&#5436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48;&#49324;-&#44592;&#47568;/00-5%20&#54620;&#51652;&#51473;&#44277;&#50629;/WF200/TMP/~TMP7233.$$$/WF200/TMP/~TMP7201.$$$/ACT/ACT97/&#51116;&#47924;&#51228;&#5436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4048;&#49324;-&#44592;&#47568;\00-5%20&#54620;&#51652;&#51473;&#44277;&#50629;\WF200\TMP\~TMP7233.$$$\WF200\TMP\~TMP7201.$$$\ACT\ACT97\&#51116;&#47924;&#51228;&#543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G\XF\4110.3\20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dori\c\SE0-DWG\&#52404;&#50977;\XLS\ALL-XLS\ULSAN\PRIC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.halla.com/Dataroom/Monthly_FS/Cost/PP/IE/&#176;&#223;Au/SGS/&#191;&#248;&#176;&#161;_9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1093kongf-1\GL%20share%20information\GL%20share%20information\Audit\Audit2002\525B\CY02%20China%20GAAP-PWC%20format-030415%20-%20Fina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.halla.com/FStmt/98H1FS/CP93-9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Audit/2004&#45380;&#44592;&#47568;/(&#51452;)&#45824;&#54788;/&#54924;&#49324;&#51088;&#47308;/&#50532;&#48708;/&#50532;&#48708;&#44228;&#51221;&#47749;&#49464;(0412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IDC\2002\&#48152;&#44592;\&#54924;&#49324;&#51228;&#49884;\&#44148;&#49444;&#51473;&#51064;&#51088;&#4932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KANGYOUNGJAE\aws\My%20Documents\&#53076;&#47532;&#50500;&#51221;&#44277;\00&#44592;&#47568;\MK&#48372;&#44256;\98&#44228;&#54925;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.halla.com/My%20Documents/client00/ada00/adafs9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F200\TMP\~TMP5043.$$$\&#44228;&#51221;&#44284;&#47785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W-MOK-M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TEMP\&#49688;&#52636;1&#54016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453;&#54801;&#51473;&#50521;&#54924;/AUDIT/&#51060;&#49548;&#50672;/My%20Documents/&#44277;&#51228;f12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849;&#54872;\C\MSOFFICE\EXCEL\YOON\&#51473;&#51216;&#49324;&#50629;\&#50629;&#52404;FIX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y\&#49440;&#51201;&#47532;&#49828;&#53944;\Documents%20and%20Settings\uer\My%20Documents\&#51648;&#52636;&#44208;&#51032;&#49436;&#45236;&#5066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ee-yun.lee/My%20Documents/&#51060;&#55148;&#50980;/My%20Documents/&#44048;&#49324;(2004)/&#44592;&#47568;&#44048;&#49324;/IPS/&#44592;&#53440;/&#49828;&#53665;&#50741;&#49496;&#54056;&#53412;&#51648;/K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01&#55148;&#49457;/2002&#45380;5&#44060;&#45380;&#44221;&#50689;&#44228;&#54925;(&#49885;&#54408;&#54252;&#54632;&#49688;&#51221;)/My%20Documents/&#53804;&#51088;/&#44277;&#51109;&#51060;&#51204;/&#44277;&#51109;&#51060;&#51204;&#48512;&#51648;&#49849;&#5106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Netware%20ID\My%20Documents\&#51064;&#51648;&#46356;&#49828;&#54540;&#47112;&#51060;\&#48152;&#44592;\Documents%20and%20Settings\&#48376;&#51064;&#51032;%20Netware%20Login%20ID\My%20Documents\My%20Documents\&#44048;&#49324;\2001&#45380;&#51473;&#44036;\&#54620;&#48520;&#50640;&#45320;&#51648;\01&#54924;&#49324;&#51228;&#49884;\TDBANG_112001_HB_New_Forma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onggildong/My%20Documents/My%20eBooks/Prominent/&#44592;&#47568;/Book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&#54616;&#48152;&#44592;&#45824;&#52293;9&#50900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ing_Data/ST2001/Template2001/Inventory-YTD2000-Actual(12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Treasury/Treasury/Balance_Forecas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KANGYOUNGJAE\aws\&#44256;&#44061;&#54924;&#49324;\&#49328;&#51008;&#52880;&#54588;&#53448;\2002\3&#48516;&#44592;\&#44048;&#49324;&#51312;&#49436;\&#54924;&#49324;&#51228;&#49884;\&#50808;&#54868;ABS\&#50808;&#54868;ABS_&#52572;&#51333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&#44221;&#50689;&#44592;&#54925;&#54016;\hl2drq\&#44608;&#45909;&#45224;\&#49324;&#50629;&#44228;&#54925;&#49436;\&#44396;&#51312;&#51312;&#51221;\&#44608;&#45824;&#49885;\&#51312;&#47532;&#47732;%20(03.07.19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ongJin%20Jung/My%20Documents/02.%20Audit%20WP/02.%20IPS/2007%20Audit/T100%20Equity_IP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cjd12001\d\windows\TEMP\1234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333;&#44592;&#49892;&#51088;&#4730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8;&#49328;&#54868;&#51068;/&#46041;&#49436;&#44592;&#50672;&#44208;&#49328;/2000&#45380;%20&#44208;&#49328;&#51109;&#4851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BZ%20docs\templates\DCF.LBO\Paperboy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ee-yun.lee/My%20Documents/&#51060;&#55148;&#50980;/My%20Documents/&#44048;&#49324;(2004)/&#44592;&#47568;&#44048;&#49324;/Engelhard/&#44048;&#49324;&#51064;&#51088;&#47308;/My%20Documents/&#44048;&#49324;/&#44592;&#47568;&#44048;&#49324;2002/&#54620;&#44397;&#50976;&#50629;/&#50577;&#49885;/&#52292;&#44428;&#52292;&#47924;&#51312;&#54924;&#49436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tv_server04\newacc\unit37\37Report\&#36130;&#21153;&#25253;&#34920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4925;&#54924;&#44228;&#54016;03\&#49828;&#53440;&#53076;&#45367;1&#44592;\DATA\&#44208;&#49328;&#44288;&#47144;&#51088;&#47308;&#47784;&#51020;\24&#44592;%20&#44208;&#49328;&#51088;&#47308;\&#48516;&#54624;&#44208;&#49328;\&#44208;&#49328;&#49345;&#49464;&#47749;&#49464;&#49436;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YUECUI~1/LOCALS~1/temp/notesEA312D/Sales%20Plan_V1(14Oct07)_5YR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KANGYOUNGJAE\aws\Documents%20and%20Settings\jeehoonkim\My%20Documents\2003&#45380;&#48152;&#44592;&#44160;&#53664;\BC&#52852;&#46300;(3&#48516;&#44592;)\BC&#52852;&#46300;C~U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KANGYOUNGJAE\aws\WINDOWS\TEMP\2002SK&#53588;&#47112;&#53581;&#49548;&#46301;&#44277;&#51228;&#51088;&#4730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LIMCHAEMOON\aws\Documents%20and%20Settings\Seung-Hoon.Yu\My%20Documents\&#44048;&#49324;\Year%20End%20Audit\&#50500;&#51064;&#49828;&#51064;&#53552;&#45236;&#49492;&#45216;\New%20Folder\2005&#45380;%20&#48520;&#47049;&#49345;&#54408;&#51116;&#44256;&#51088;&#49328;&#47749;&#49464;&#49436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4925;&#54924;&#44228;&#54016;03\&#49828;&#53440;&#53076;&#45367;1&#44592;\DATA\&#44208;&#49328;&#44288;&#47144;&#51088;&#47308;&#47784;&#51020;\24&#44592;%20&#44208;&#49328;&#51088;&#47308;\&#45380;&#47568;&#44208;&#49328;\24&#44592;&#44208;&#49328;&#48372;&#44256;&#49436;&#51089;&#49457;&#51473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01\user_&#51076;&#44221;&#53469;$\&#49345;&#48372;050322\lead%20sheet(&#49345;&#48372;2004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TFT\97&#8811;o&#185;Y&#177;a\9705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aily%20Operation/Borrowing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ckim.IPS-TECH/Local%20Settings/Temporary%20Internet%20Files/OLKB4/hskim/06&#45380;/&#51452;&#50836;&#44221;&#50689;&#54788;&#54889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2004/Financial%20Report/Nov/FR041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2002/&#27599;&#26376;&#26356;&#26032;/&#36130;&#21153;&#25253;&#34920;&#65288;&#20013;&#12289;&#33521;&#65289;/Dec/FR021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aith%20wang/Desktop/travelsky/PBC%20of%20CARES'/PBC%20of%20CARES'/infosky03.12/2003/&#36130;&#21153;&#25253;&#34920;&#65288;&#20013;&#12289;&#33521;&#65289;/Dec/FR0312(DRAFT&amp;FORMAT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2004/Financial%20Report/Sep/FR0409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selnfs001\DATA2\Dataroom\Monthly_FS\Cost\PP\IE\&#176;&#223;Au\SGS\&#191;&#248;&#176;&#161;_9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4925;&#54924;&#44228;&#54016;03\&#44208;&#49328;&#44277;&#50976;\DATA\&#44208;&#49328;&#44288;&#47144;&#51088;&#47308;&#47784;&#51020;\24&#44592;%20&#44208;&#49328;&#51088;&#47308;\24&#44592;%20&#51068;&#49324;&#48516;&#44592;&#44208;&#49328;\&#44208;&#49328;&#49345;&#49464;&#47749;&#49464;&#49436;\&#44208;&#49328;&#49345;&#49464;&#47749;&#49464;&#49436;-1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microsoft.com/office/2019/04/relationships/externalLinkLongPath" Target="/Users/&#44221;&#50689;&#44288;&#47532;/AppData/Local/Microsoft/Windows/Temporary%20Internet%20Files/Content.IE5/9FLDD5NF/Documents%20and%20Settings/&#48376;&#51064;&#51032;%20Netware%20Login%20ID/My%20Documents/&#44048;&#49324;&#51088;&#47308;/&#54788;&#45824;&#50669;&#49324;/&#54788;&#45824;&#50669;&#49324;02&#44592;&#47568;/&#54924;&#49324;&#51228;&#49884;&#51088;&#47308;/windows/TEMP/&#51060;&#50689;&#48124;/&#44592;&#53440;&#51088;&#47308;/IPCHAL.97/P-PROJEC/P-PRJT.XLS?FA929F5C" TargetMode="External"/><Relationship Id="rId1" Type="http://schemas.openxmlformats.org/officeDocument/2006/relationships/externalLinkPath" Target="file:///\\FA929F5C\P-PRJT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R\ARBEJDE\Q4DK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96;&#44508;\&#54924;&#44228;share\USER\ACCOUNT\FY32\&#51648;&#44553;&#51060;&#51088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4861;&#47197;\C\97&#49324;&#50629;&#48372;&#44256;&#49436;\&#51116;&#47924;&#51228;&#5436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%20Files\Microsoft%20Office\Office\DATAFILE\VISUAL\&#44208;&#49328;&#51088;~1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96;&#44508;\&#54924;&#44228;share\Documents%20and%20Settings\dslee\Local%20Settings\Temporary%20Internet%20Files\OLK5F\&#50868;&#54637;%20&#49440;&#48149;%20&#51221;&#47532;&#54364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abb202\c\1&#51333;&#54633;PL\&#54364;&#51648;&#52509;&#44292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LEE\MY%20DOCUMENTS\My%20Documents\5&#44060;&#45380;1\&#49884;&#49328;&#54364;4b%20(1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41%20&#44592;&#53440;&#51452;&#49437;&#49324;&#54637;&#51032;%20&#50892;&#53356;&#49884;&#53944;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345;&#45909;\&#49373;&#49328;%20&#54788;&#54889;\2002&#45380;&#46020;\&#49373;&#49328;&#54788;&#54889;\&#49373;&#49328;&#54788;&#54889;2002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861;&#49688;-SAN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BARON~1/AppData/Local/Temp/notesF3B52A/SL%20-%20Determine%20audit%20strategy%20and%20plan%20-%2011062014.xlsm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keuncho/Desktop/&#51648;&#48516;&#48277;%20&#51452;&#49437;.xlsm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ue%20Cui/Local%20Settings/Application%20Data/Aura/2.0/Files/13/AF/96fc8463-4efe-476f-a640-708078091db1142020221061184140205008/AR%20Confirmation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yeonghson/Desktop/Assurance/NVH&#53076;&#47532;&#50500;/2014/2Q_&#50672;&#44208;/&#51204;&#44592;&#51312;&#49436;/&#51648;&#48516;&#48277;.xlsm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HARE\GBL\FS\1999\PREPAID99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ksh/My%20Documents/&#44048;&#49324;&#51312;&#49436;/Komonet/2002YE-Komonet/2002YE-Komone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jahu/My%20Documents/CCKBC/02&#44592;&#47568;/01&#44592;&#47568;/2001&#45380;_&#44208;&#49328;_&#51228;&#47924;&#51228;&#54364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1060;&#48337;&#52384;/My%20Documents/&#50629;&#47924;/&#47588;&#52636;&#54788;&#54889;/RPOJECT&#48324;%20&#47588;&#52636;&#54788;&#54889;%20(200501~200708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5141;&#49453;\c\xdata\koan\&#44277;&#49884;&#51648;&#44032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microsoft.com/office/2006/relationships/xlExternalLinkPath/xlStartup" Target="&#50724;&#54588;&#49828;&#53588;/&#49340;&#55148;&#50724;&#53588;/&#49340;&#55148;&#50724;&#5358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4221;&#50689;&#44288;&#47532;/AppData/Local/Microsoft/Windows/Temporary%20Internet%20Files/Content.IE5/9FLDD5NF/Clients%202001/&#45572;&#48372;&#53581;%20semi-01/PP&amp;E/00YE/Kikyu99.xls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microsoft.com/office/2019/04/relationships/externalLinkLongPath" Target="/Users/&#44221;&#50689;&#44288;&#47532;/AppData/Local/Microsoft/Windows/Temporary%20Internet%20Files/Content.IE5/9FLDD5NF/Documents%20and%20Settings/&#48376;&#51064;&#51032;%20Netware%20Login%20ID/My%20Documents/&#44048;&#49324;&#51088;&#47308;/&#54788;&#45824;&#50669;&#49324;/&#54788;&#45824;&#50669;&#49324;02&#44592;&#47568;/&#54924;&#49324;&#51228;&#49884;&#51088;&#47308;/EXCEL/&#45236;&#50669;&#49436;.XLS?BB771FD8" TargetMode="External"/><Relationship Id="rId1" Type="http://schemas.openxmlformats.org/officeDocument/2006/relationships/externalLinkPath" Target="file:///\\BB771FD8\&#45236;&#50669;&#49436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5141;&#49453;\c\Documents%20and%20Settings\&#47448;&#50689;&#49345;\My%20Documents\SK%20Accounting\Auditing(2000)\ADN\work-3\pk\200112\pk200112ls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4048;&#49324;-&#44592;&#47568;\00-5%20&#54620;&#51652;&#51473;&#44277;&#50629;\WF200\TMP\~TMP7233.$$$\WF200\TMP\~TMP5461.$$$\&#51116;&#47924;&#51228;&#54364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.halla.com/&#44048;&#49324;-&#44592;&#47568;/00-5%20&#54620;&#51652;&#51473;&#44277;&#50629;/WF200/TMP/~TMP7233.$$$/WF200/TMP/~TMP5461.$$$/&#51116;&#47924;&#51228;&#54364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microsoft.com/office/2006/relationships/xlExternalLinkPath/xlPathMissing" Target="5240%202002&#45380;&#51648;&#48516;&#48277;&#51032;%20&#50892;&#53356;&#49884;&#53944;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01&#55148;&#49457;/2002&#45380;5&#44060;&#45380;&#44221;&#50689;&#44228;&#54925;(&#49885;&#54408;&#54252;&#54632;&#49688;&#51221;)/My%20Documents/&#53804;&#51088;/&#44277;&#51109;&#51060;&#51204;/&#44277;&#51109;&#51060;&#51204;8(2001.9)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gongwei%20xiong/Desktop/AT&amp;T/spreasheet/Cashflow%202003%20AT&amp;T%2010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5141;&#49453;\c\My%20Documents\My%20Documents\JSS\&#44208;&#49328;\99%20&#44208;&#49328;\&#49240;&#46944;&#46356;&#50500;\&#44208;&#49328;9706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4889;&#51060;&#50896;1/My%20Documents/budget/Lf_Q&amp;A/Clarification/DD%20Income%20Statement%20vs%20bg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1&#26085;&#24120;&#36130;&#21153;/00&#20250;&#35745;&#25253;&#34920;/C&#24555;&#25253;/&#24555;&#25253;&#21407;&#22987;&#25968;&#25454;/2006.03&#24555;&#25253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1&#26085;&#24120;&#36130;&#21153;/00&#20250;&#35745;&#25253;&#34920;/C&#24555;&#25253;/&#24555;&#25253;&#21407;&#22987;&#25968;&#25454;/1&#26085;&#24120;&#36130;&#21153;/00&#20250;&#35745;&#25253;&#34920;/&#22806;&#25253;&#36164;&#26009;/04&#32479;&#35745;&#20013;&#24515;/3&#25439;&#30410;&#34920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51%20cash%20flow%20&#51221;&#49328;&#54364;&#51032;%20&#50892;&#53356;&#49884;&#53944;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otesEA312D/&#23384;&#36135;2009123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49444;&#44048;~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KANGYOUNGJAE\aws\&#44048;&#49324;&#50577;&#49885;\&#54620;&#49464;&#44032;&#44396;A4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odaydo/My%20Documents/&#50629;&#47924;/&#44221;&#50689;&#44228;&#54925;/2001&#44221;&#51228;&#51204;&#47581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5350%20&#44277;&#49324;&#48120;&#49688;&#44552;&#51032;%20&#50892;&#53356;&#49884;&#53944;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eagon.com/0&#44048;&#49324;/01&#44048;&#49324;/&#51064;&#50500;&#50724;&#50656;/2001&#45380;%20&#44592;&#47568;(&#51064;&#50500;&#50724;&#50656;)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eagon.com/&#45208;&#49464;&#45909;/&#44048;&#49324;/Export/&#54260;&#47532;&#54540;&#47084;&#49828;/7130%20&#51088;&#44592;&#51452;&#4988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My%20Documents/7.&#44048;&#49324;/2004&#45380;%20&#44048;&#49324;/WTB_&#45209;&#46041;&#48169;&#49569;_04&#44592;&#47568;(0216&#49688;&#51221;)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760%20&#44048;&#44032;&#49345;&#44033;&#48708;(&#45572;&#44228;&#50529;)&#47749;&#49464;&#49436;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141912/Local%20Settings/Temporary%20Internet%20Files/Content.Outlook/U50MVXDW/5810-1%20&#47924;&#54805;&#51088;&#49328;subleed&#51032;%20&#50892;&#53356;&#49884;&#53944;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cs.samil.com/&#45824;&#50864;/&#45824;&#50864;&#48516;&#44592;/&#51060;&#48337;&#49849;/5710-1%20&#50976;&#54805;&#51088;&#49328;%20Leadsheet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11%20&#47588;&#52636;&#52292;&#44428;%20lead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40-1%202003wtb&#51032;%20&#50892;&#53356;&#49884;&#53944;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6129\&#44256;&#50689;&#48372;&#51068;&#48152;\98&#50672;&#47568;&#44208;&#49328;\My%20Documents\IPIC\A&#44256;&#50689;&#48372;\IPIC\9806&#44208;&#49328;\WORK\RAW\RAW9701\RAW9701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/1&#26085;&#24120;&#36130;&#21153;/00&#20250;&#35745;&#25253;&#34920;/C&#24555;&#25253;/&#24555;&#25253;&#21407;&#22987;&#25968;&#25454;/1&#26085;&#24120;&#36130;&#21153;/00&#20250;&#35745;&#25253;&#34920;/&#22806;&#25253;&#36164;&#26009;/04&#32479;&#35745;&#20013;&#24515;/1&#32463;&#33829;&#27010;&#20917;&#34920;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/1&#26085;&#24120;&#36130;&#21153;/00&#20250;&#35745;&#25253;&#34920;/C&#24555;&#25253;/&#24555;&#25253;&#21407;&#22987;&#25968;&#25454;/1&#26085;&#24120;&#36130;&#21153;/00&#20250;&#35745;&#25253;&#34920;/&#22806;&#25253;&#36164;&#26009;/04&#32479;&#35745;&#20013;&#24515;/&#32479;&#35745;&#20013;&#24515;&#8212;&#8212;&#21171;&#21160;&#24773;&#20917;&#23395;&#25253;&#34920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/2002&#45380;&#54616;&#48152;&#44592;&#45824;&#52293;/&#51312;&#51221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44148;&#55148;\&#49888;&#51068;&#51228;&#50557;\&#51312;&#49436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&#44592;&#54925;&#54016;$\&#50696;&#49328;\5&#44060;&#45380;\My%20Documents\&#51221;&#48372;DATE\&#49884;&#51109;\DATA\&#49888;&#51452;&#44036;&#44228;.xls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microsoft.com/office/2019/04/relationships/externalLinkLongPath" Target="/Users/&#44221;&#50689;&#44288;&#47532;/AppData/Local/Microsoft/Windows/Temporary%20Internet%20Files/Content.IE5/9FLDD5NF/Documents%20and%20Settings/&#48376;&#51064;&#51032;%20Netware%20Login%20ID/My%20Documents/&#44048;&#49324;&#51088;&#47308;/&#54788;&#45824;&#50669;&#49324;/&#54788;&#45824;&#50669;&#49324;02&#44592;&#47568;/&#54924;&#49324;&#51228;&#49884;&#51088;&#47308;/windows/TEMP/&#51060;&#50689;&#48124;/&#44592;&#53440;&#51088;&#47308;/cch/&#44288;&#44277;&#49324;/&#51312;&#45804;&#52397;/97/&#49688;&#46020;&#47112;&#51200;/GRP/&#50864;&#51452;&#54637;&#44277;.HSA/&#48516;&#49437;/&#44277;&#51109;.XLS?617B4D64" TargetMode="External"/><Relationship Id="rId1" Type="http://schemas.openxmlformats.org/officeDocument/2006/relationships/externalLinkPath" Target="file:///\\617B4D64\&#44277;&#51109;.XLS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microsoft.com/office/2019/04/relationships/externalLinkLongPath" Target="/Users/&#44221;&#50689;&#44288;&#47532;/AppData/Local/Microsoft/Windows/Temporary%20Internet%20Files/Content.IE5/9FLDD5NF/Documents%20and%20Settings/&#48376;&#51064;&#51032;%20Netware%20Login%20ID/My%20Documents/&#44048;&#49324;&#51088;&#47308;/&#54788;&#45824;&#50669;&#49324;/&#54788;&#45824;&#50669;&#49324;02&#44592;&#47568;/&#54924;&#49324;&#51228;&#49884;&#51088;&#47308;/windows/TEMP/&#51060;&#50689;&#48124;/&#44592;&#53440;&#51088;&#47308;/IPCHAL.97/P-PROJEC/&#48516;&#49437;/&#44277;&#51109;.XLS?31123EE5" TargetMode="External"/><Relationship Id="rId1" Type="http://schemas.openxmlformats.org/officeDocument/2006/relationships/externalLinkPath" Target="file:///\\31123EE5\&#44277;&#51109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4924;&#44228;&#48277;&#51064;/My%20Documents/2005/05&#45824;&#54788;/05&#45824;&#54788;&#48152;&#44592;&#44160;&#53664;/05&#45824;&#54788;&#48152;&#44592;&#49688;&#47161;data/&#50532;&#48708;/&#50532;&#48708;&#44228;&#51221;&#47749;&#49464;(0412)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UNGJONGJIN\aws\WINDOWS\TEMP\20&#44048;&#49324;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50689;&#50629;&#44060;&#48156;\woong\soc\IAE\95-127\CARGO\OALFINAL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9688;&#51652;\C\&#44208;&#49328;&#51088;&#47308;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4840;\&#44208;&#49328;&#47749;&#49464;\My%20Documents\&#44208;&#49328;&#47749;&#49464;\2000.12.31.&#44208;&#49328;&#47749;&#49464;\WINDOWS\TEMP\&#49464;&#50577;&#49440;&#48149;\&#49464;&#50577;00&#44592;&#47568;-&#49457;&#51652;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1060;&#48337;&#52384;/My%20Documents/&#50629;&#47924;/&#44208;&#49328;&#51088;&#47308;/2007&#49324;&#50629;&#50672;&#46020;/10&#50900;&#44208;&#49328;/&#50896;&#44032;&#54924;&#44228;/&#51116;&#44256;&#51088;&#49328;&#47749;&#49464;&#49436;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KANGYOUNGJAE\aws\Documents%20and%20Settings\leejaeho\My%20document\&#51060;&#51116;&#54840;\&#50689;&#54868;1\&#45824;&#50864;&#50644;&#51648;&#45768;&#50612;&#47553;\2002&#44592;&#47568;\clients\&#45349;&#49828;&#53588;\Documents%20and%20Settings\kimkh4\My%20Documents\INA%20BEARING\2001&#44592;&#47568;&#44048;&#49324;\&#51068;&#48152;&#49324;&#54637;\&#51312;&#54924;&#49436;%20Control1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.halla.com/&#44221;&#50689;&#44592;&#54925;&#54016;,&#44221;&#50689;&#44288;&#47532;&#54016;/2007&#45380;/&#51204;&#47029;cm/WINDOWS/TEMP/C.Lotus.Notes.Data/&#49900;&#49324;&#48516;&#49437;/&#51060;&#49324;&#54924;/Documents%20and%20Settings/taehong/My%20Documents/WORK/AUDIT/&#45936;&#51060;&#53092;/&#51312;&#49436;/5210%20&#50976;&#44032;&#51613;&#44428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ee-yun.lee/My%20Documents/&#51060;&#55148;&#50980;/My%20Documents/&#44048;&#49324;(2004)/&#44592;&#47568;&#44048;&#49324;/IPS/&#44592;&#53440;/&#49828;&#53665;&#50741;&#49496;&#54056;&#53412;&#51648;/My%20Documents/settlement/&#52964;&#48260;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Xiaolin%20Fan/My%20Documents/Working%20Paper/travelsky/2005%20final/PBC/&#25511;&#32929;&#23376;&#20844;&#21496;/&#28246;&#21271;/04.12/Cares-2004-12-31-1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48;&#49324;/&#44048;&#49324;/&#54620;&#44397;&#50724;&#47336;&#44053;&#52840;(&#51452;)/2000&#45380;/&#44592;&#47568;&#44048;&#49324;/My%20Documents/2000&#45380;/&#51116;&#47924;&#51228;&#54364;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w214\d\LSP%2098&#51060;&#51204;&#47928;&#49436;\97&#44208;&#49328;&#52572;&#51333;(&#54924;&#44228;&#54016;)\97&#45380;&#51228;4&#44592;&#51116;&#47924;&#51228;&#54364;(&#52636;&#47141;)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KANGYOUNGJAE\aws\MYJOB\Star\&#51064;&#49324;\&#44553;&#50668;\&#51221;&#44508;&#51649;\2003&#45380;&#46020;\&#53748;&#52649;&#44552;\03&#53945;&#49345;\&#54028;&#50892;&#50900;&#46300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KANGYOUNGJAE\aws\Documents%20and%20Settings\jhyeom\Local%20Settings\Temporary%20Internet%20Files\OLK66\2001.1&#44208;&#49328;(&#53748;&#51649;&#44552;&#52628;&#44228;&#50529;)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ee-yun.lee/My%20Documents/&#51060;&#55148;&#50980;/My%20Documents/&#44048;&#49324;(2004)/&#44592;&#47568;&#44048;&#49324;/Engelhard/&#44048;&#49324;&#51064;&#51088;&#47308;/My%20Documents/&#44592;&#46972;&#51221;&#48372;&#53685;&#49888;/M-&#50900;&#49552;&#51061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&#44221;&#50689;&#44592;&#54925;&#54016;\1%20&#44608;&#45909;&#45224;\&#44221;&#50689;&#44592;&#54925;\&#49324;&#50629;&#44228;&#54925;\2005&#45380;\&#49552;&#51061;&#48516;&#49437;\&#49324;&#50629;&#44228;&#54925;%201&#44397;&#45236;.xls" TargetMode="External"/></Relationships>
</file>

<file path=xl/externalLinks/_rels/externalLink131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hee-yun.lee/My%20Documents/&#51060;&#55148;&#50980;/My%20Documents/&#44048;&#49324;(2004)/&#44592;&#47568;&#44048;&#49324;/Engelhard/&#44048;&#49324;&#51064;&#51088;&#47308;/My%20Documents/&#44592;&#46972;&#51221;&#48372;&#53685;&#49888;/My%20Documents/&#54924;&#49324;&#51088;&#47308;/Excel%20&#51088;&#47308;/1998&#45380;%20&#44208;&#49328;&#51088;&#47308;/12&#50900;%20&#45380;&#47568;&#44208;&#49328;&#51088;&#47308;/&#51068;&#48152;&#51088;&#47308;/&#51116;&#47924;&#51228;&#54364;-&#45817;&#44592;%20&#51204;&#44592;%20&#48708;&#44368;&#49885;.xls?F6029D23" TargetMode="External"/><Relationship Id="rId1" Type="http://schemas.openxmlformats.org/officeDocument/2006/relationships/externalLinkPath" Target="file:///\\F6029D23\&#51116;&#47924;&#51228;&#54364;-&#45817;&#44592;%20&#51204;&#44592;%20&#48708;&#44368;&#49885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924;&#44228;/&#49324;&#50629;&#44228;&#54925;/2004/&#44228;&#54925;&#49436;/&#46024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96;&#44508;\&#54924;&#44228;share\USER\BUDGET\ACCOUNT\ICICF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.halla.com/Documents%20and%20Settings/NetwareID/My%20Documents/&#44048;&#49324;/&#55092;&#47589;&#49828;/02&#44592;&#47568;/&#52509;&#44292;&#54364;/Documents%20and%20Settings/&#48376;&#51064;&#51032;%20Netware%20Login%20ID/My%20Documents/&#44592;&#47568;&#44048;&#49324;/&#44592;&#47568;&#44048;&#49324;01/&#53328;&#47533;&#49828;/&#54924;&#49324;&#51228;&#49884;&#51088;&#47308;/&#45236;&#47928;&#49436;/&#44208;&#49328;/98&#44208;&#49328;/101-116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0\c$\Documents%20and%20Settings\Owner\&#48148;&#53461;%20&#54868;&#47732;\06&#45380;%20&#44221;&#48708;&#44228;&#54925;(rev.0)\&#44221;&#50689;&#51648;&#50896;(REV.0)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dori\c\WORK\2000\&#50732;&#47548;&#54589;&#48120;&#49696;&#44288;\5&#50900;&#48320;&#44221;&#46020;&#47732;\&#52572;&#51333;&#46020;&#47732;\&#50732;&#47548;&#54589;&#48120;&#49696;&#44288;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50689;&#55148;\&#47928;&#50689;&#55148;%5e%5e\My%20Documents\&#45348;&#51060;&#53944;&#50728;%20&#48155;&#51008;%20&#54028;&#51068;\&#44208;&#49328;&#49345;&#49464;&#47749;&#49464;&#49436;-1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0980;&#55148;\6&#50900;\&#45800;&#44592;&#52264;&#51077;&#44552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96;&#44508;\&#54924;&#44228;share\Documents%20and%20Settings\kmkong\Local%20Settings\Temporary%20Internet%20Files\OLK90\&#51032;&#44208;&#44428;_&#49340;&#49440;&#47196;&#51649;&#49828;_&#54924;&#49373;&#44228;&#54925;&#50504;_20091105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652;&#50896;DR\D\WINDOWS\&#48148;&#53461;%20&#54868;&#47732;\&#27491;&#31302;\&#51648;&#51221;&#47785;\&#44208;&#49328;&#44288;&#47144;(98&#54616;&#48152;&#44592;)\&#51333;&#44592;&#49892;.&#48372;&#44256;&#51088;&#47308;.xls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hee-yun.lee/My%20Documents/&#51060;&#55148;&#50980;/My%20Documents/&#44048;&#49324;(2004)/&#44592;&#47568;&#44048;&#49324;/Engelhard/&#44048;&#49324;&#51064;&#51088;&#47308;/My%20Documents/&#44592;&#46972;&#51221;&#48372;&#53685;&#49888;/My%20Documents/&#54924;&#49324;&#51088;&#47308;/Excel%20&#51088;&#47308;/1997&#45380;%20&#44208;&#49328;&#51088;&#47308;/12&#50900;%20&#45380;&#47568;&#44208;&#49328;&#51088;&#47308;/&#51116;&#47924;&#51228;&#54364;-&#48708;&#44368;&#49885;.xls?E17F4114" TargetMode="External"/><Relationship Id="rId1" Type="http://schemas.openxmlformats.org/officeDocument/2006/relationships/externalLinkPath" Target="file:///\\E17F4114\&#51116;&#47924;&#51228;&#54364;-&#48708;&#44368;&#49885;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/Lightron/My%20Documents/Client/Work%20Paper/TRW%20C&amp;F/A-4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333;&#44428;\&#48512;&#44032;&#49464;&#49888;&#44256;&#52384;\DB2000\save\&#48512;&#44032;&#49464;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&#50868;&#51648;&#51697;!!!/&#50896;&#47532;&#44552;/&#44592;&#53440;/&#50896;&#47532;&#44552;&#49345;&#54872;.xls" TargetMode="External"/></Relationships>
</file>

<file path=xl/externalLinks/_rels/externalLink145.xml.rels><?xml version="1.0" encoding="UTF-8" standalone="yes"?>
<Relationships xmlns="http://schemas.openxmlformats.org/package/2006/relationships"><Relationship Id="rId2" Type="http://schemas.microsoft.com/office/2019/04/relationships/externalLinkLongPath" Target="/Users/hjpar/Documents/&#50629;&#47924;/&#54924;&#44228;&#48277;&#51064;/&#53468;&#50885;&#47196;&#51649;&#49828;/&#50672;&#44208;/&#48372;&#44256;&#49436;&#51089;&#50629;/DATA/MyClients/&#51473;&#44221;&#47932;&#49328;/&#51221;&#49328;&#54364;&amp;AJE%20list/2002/&#48292;&#52376;/&#48120;&#46356;&#50612;&#54252;&#46300;02/aje/PricewaterHouseCoopers/Accounting%20Audit/Clients/&#49340;&#52380;&#47532;2001/&#48372;&#44256;&#49436;/My%20Documents/client-&#50857;%20%20%20&#50669;/dwmc_2000&#50672;&#44208;/2.&#50672;&#44208;pkg&#50836;&#52397;&#51088;&#47308;/99&#45380;/1999&#45824;&#50864;&#50672;&#44208;&#54056;&#53412;&#51648;&#51452;&#49437;3%20.xls?28947C0A" TargetMode="External"/><Relationship Id="rId1" Type="http://schemas.openxmlformats.org/officeDocument/2006/relationships/externalLinkPath" Target="file:///\\28947C0A\1999&#45824;&#50864;&#50672;&#44208;&#54056;&#53412;&#51648;&#51452;&#49437;3%20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4.officeware.hynix.com/SINGLE/OFFICE40/temp/97&#44208;&#49328;&#48372;&#44256;&#49436;2&#44428;.xls" TargetMode="External"/></Relationships>
</file>

<file path=xl/externalLinks/_rels/externalLink147.xml.rels><?xml version="1.0" encoding="UTF-8" standalone="yes"?>
<Relationships xmlns="http://schemas.openxmlformats.org/package/2006/relationships"><Relationship Id="rId2" Type="http://schemas.microsoft.com/office/2019/04/relationships/externalLinkLongPath" Target="/Users/&#44221;&#50689;&#44288;&#47532;/AppData/Local/Microsoft/Windows/Temporary%20Internet%20Files/Content.IE5/9FLDD5NF/DATA/MyClients/&#51473;&#44221;&#47932;&#49328;/&#51221;&#49328;&#54364;&amp;AJE%20list/2002/&#48292;&#52376;/&#48120;&#46356;&#50612;&#54252;&#46300;02/aje/Client/&#49340;&#52380;&#47532;/00&#48152;&#44592;/&#49340;&#52380;&#47532;%201999%20&#51088;&#47308;/&#49340;&#52380;&#47532;&#51116;&#44256;RECONCILE.xls?C365FDC4" TargetMode="External"/><Relationship Id="rId1" Type="http://schemas.openxmlformats.org/officeDocument/2006/relationships/externalLinkPath" Target="file:///\\C365FDC4\&#49340;&#52380;&#47532;&#51116;&#44256;RECONCILE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1060;&#48337;&#52384;/My%20Documents/&#50629;&#47924;/&#44208;&#49328;&#51088;&#47308;/2007&#49324;&#50629;&#50672;&#46020;/9&#50900;&#44208;&#49328;/&#50896;&#44032;&#54924;&#44228;/&#54869;&#51221;&#48376;(20071104)/&#51116;&#44277;&#54408;&#47749;&#49464;&#49436;.xls" TargetMode="External"/></Relationships>
</file>

<file path=xl/externalLinks/_rels/externalLink149.xml.rels><?xml version="1.0" encoding="UTF-8" standalone="yes"?>
<Relationships xmlns="http://schemas.openxmlformats.org/package/2006/relationships"><Relationship Id="rId2" Type="http://schemas.microsoft.com/office/2019/04/relationships/externalLinkLongPath" Target="/Documents%20and%20Settings/hee-yun.lee/My%20Documents/&#51060;&#55148;&#50980;/My%20Documents/&#44048;&#49324;(2004)/&#44592;&#47568;&#44048;&#49324;/Engelhard/&#44048;&#49324;&#51064;&#51088;&#47308;/My%20Documents/&#44048;&#49324;/&#44592;&#47568;&#44048;&#49324;2002/(&#51452;)&#51228;&#51076;&#49828;&#53581;/2002/My%20Documents(&#50980;&#52384;)/KANG/&#44208;&#49328;/99&#54616;&#48152;&#44592;/99&#49464;&#47924;&#51312;&#51221;(&#44060;)/3.%20&#50577;&#49885;%208-2.XLS?95426213" TargetMode="External"/><Relationship Id="rId1" Type="http://schemas.openxmlformats.org/officeDocument/2006/relationships/externalLinkPath" Target="file:///\\95426213\3.%20&#50577;&#49885;%208-2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600129\&#51109;&#50980;&#49692;\kdcg\&#51088;&#49328;&#51116;&#54217;&#44032;\&#44277;&#44553;&#49444;&#48708;&#48156;&#49373;&#45236;&#50669;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TTE_HQ\Kyung1\0lhk\&#44221;&#50689;&#49892;&#51201;&#54217;&#44032;\96&#45380;\112\&#48372;&#44256;&#49436;(&#51333;&#54633;)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JUMTAE\&#51312;&#54924;&#49436;&#50577;&#49885;\&#51008;&#54665;&#51312;&#54924;&#49436;\&#51008;&#54665;&#51312;&#54924;&#49436;(New)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592;&#53440;/&#51088;&#44552;/&#54924;&#51032;&#51088;&#47308;/&#54924;&#51032;&#51088;&#47308;/&#44592;&#53440;/&#48372;&#44288;&#51064;&#44228;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1060;&#48337;&#52384;/My%20Documents/&#50629;&#47924;/&#51116;&#44256;&#49892;&#49324;/20071228%20&#51116;&#44256;&#49892;&#49324;/&#51116;&#44256;&#51088;&#49328;%20&#47749;&#49464;&#49436;(11)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1060;&#48337;&#52384;/My%20Documents/&#50629;&#47924;/&#44208;&#49328;&#51088;&#47308;/2007&#49324;&#50629;&#50672;&#46020;/11&#50900;%20&#44208;&#49328;/&#50896;&#44032;&#54924;&#44228;/&#50672;&#44396;&#51116;&#44277;&#54408;&#50696;&#49328;&#45824;&#48708;&#49892;&#51201;&#54788;&#54889;&#54364;(11&#50900;)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5141;&#49453;\c\&#50629;&#47924;&#52285;&#44256;\&#44048;&#49324;\&#50976;&#50896;&#52980;&#53581;\99&#44048;&#49324;\&#44048;&#49324;&#48372;&#44256;&#49436;98\KET\&#49340;&#54868;95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yw\My%20documents\&#51060;&#51061;&#44288;&#47532;(&#50896;&#44032;&#51208;&#44048;)\03.05\&#49324;&#48324;&#51088;&#47308;\WON\Giants\&#53804;&#51088;&#44160;&#53664;\AL&#49324;&#50629;&#48512;&#48324;&#49552;&#51061;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KIYEOLKIM\aws\My%20Documents\CD%20Courture\2002&#51473;&#44036;&amp;&#44592;&#47568;\2002&#44160;&#53664;\&#54392;&#47480;&#49345;&#54840;&#51200;&#52629;&#51008;&#54665;\2002-9-30\&#50629;&#47924;&#54260;&#45908;\&#44048;&#49324;&#48372;&#44256;&#49436;&#52572;&#51333;\KET\&#49340;&#54868;95.XLS" TargetMode="External"/></Relationships>
</file>

<file path=xl/externalLinks/_rels/externalLink160.xml.rels><?xml version="1.0" encoding="UTF-8" standalone="yes"?>
<Relationships xmlns="http://schemas.openxmlformats.org/package/2006/relationships"><Relationship Id="rId2" Type="http://schemas.microsoft.com/office/2019/04/relationships/externalLinkLongPath" Target="/Users/&#44221;&#50689;&#44288;&#47532;/AppData/Local/Microsoft/Windows/Temporary%20Internet%20Files/Content.IE5/9FLDD5NF/DATA/MyClients/&#51473;&#44221;&#47932;&#49328;/&#51221;&#49328;&#54364;&amp;AJE%20list/2002/&#48292;&#52376;/&#48120;&#46356;&#50612;&#54252;&#46300;02/aje/My%20Documents/client-&#50857;%20%20%20&#50669;/dwmc_2000&#50672;&#44208;/2.&#50672;&#44208;pkg&#50836;&#52397;&#51088;&#47308;/99&#45380;/1999&#45824;&#50864;&#50672;&#44208;&#54056;&#53412;&#51648;&#51452;&#49437;3%20.xls?5C59793B" TargetMode="External"/><Relationship Id="rId1" Type="http://schemas.openxmlformats.org/officeDocument/2006/relationships/externalLinkPath" Target="file:///\\5C59793B\1999&#45824;&#50864;&#50672;&#44208;&#54056;&#53412;&#51648;&#51452;&#49437;3%20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4925;&#49892;03\C\My%20Documents\&#51064;&#50896;&#51064;&#44148;\&#48512;&#49436;&#44553;&#50668;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KANGYOUNGJAE\aws\MYJOB\Star\&#51064;&#49324;\&#44553;&#50668;\&#51221;&#44508;&#51649;\2003&#45380;&#46020;\&#53748;&#52649;&#44552;\1&#50900;\MYJOB\&#51064;&#49324;\&#44553;&#50668;\&#51221;&#44508;&#51649;&#44553;&#50668;\6&#50900;\&#51221;&#44508;&#51649;&#44553;&#50668;_2002&#45380;6&#50900;1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ryjiwon06\c\&#50980;&#54952;&#50896;\EXCEL\&#49324;&#48324;&#47588;&#52636;\4&#31038;&#54788;&#54889;&#48143;&#47560;&#44048;&#52628;&#51221;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7&#45380;%20&#44553;&#50668;&#44288;&#47144;\&#49569;&#48512;&#51088;&#47308;\&#49436;&#49692;&#44368;\6&#50900;&#44553;&#50668;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&#44592;&#54925;&#54016;$\&#50696;&#49328;\5&#44060;&#45380;\&#51221;&#48372;DATE\&#49884;&#51109;\DATA\&#49888;&#51452;&#44036;&#44228;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UNGJONGJIN\aws\Documents%20and%20Settings\Hoon.Chung\Desktop\audit%20paper\2005.1.10-12vwk\&#54924;&#49324;&#44032;&#51456;&#51088;&#47308;\VWK\200412&#52628;&#44228;&#50529;-HNX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tirement\200412&#52628;&#44228;&#50529;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UNGJONGJIN\aws\kjs\25&#44592;&#45380;&#47568;&#44208;&#49328;\&#49828;&#53440;&#53076;\&#44208;&#49328;&#49345;&#49464;&#47749;&#49464;&#49436;-1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46041;&#44592;\&#44048;&#49324;&#51456;&#48708;&#51088;&#47308;\My%20Documents\&#51088;&#44552;&#44288;&#47532;\'98&#44592;%20%20%20%20%20%20%20&#53440;\&#49688;&#54364;&#50612;&#51020;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EEYOUNGAHN\aws\&#51312;&#51116;&#54788;\5&#50696;&#49328;\&#50696;&#49328;&#54260;&#45908;\2001&#50696;&#49328;\&#50696;&#49328;&#50896;&#44032;\1&#49373;&#49328;&#49688;&#47049;&#48516;&#49437;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.halla.com/&#51473;&#50669;&#54924;&#51032;/96&#45380;10&#50900;/&#44288;&#47532;&#48376;&#48512;10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1060;&#48337;&#52384;/My%20Documents/&#50629;&#47924;/&#44208;&#49328;&#51088;&#47308;/2007&#49324;&#50629;&#50672;&#46020;/12&#50900;%20&#44208;&#49328;/&#50896;&#44032;/&#51116;&#44256;&#51088;&#49328;/&#51116;&#44256;&#51088;&#49328;%20&#47749;&#49464;&#49436;(12-1)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-tec.co.kr/My%20Documents/&#44221;&#50689;&#51648;&#50896;/&#51116;&#47924;/&#54924;&#44228;/&#44208;&#49328;/&#50900;&#48324;/5&#50900;/&#49345;&#48152;&#44592;&#49552;&#51061;&#50504;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/Sambu/2001/2001yearend/&#44592;&#53440;/&#54788;&#51116;&#44256;(2001.12)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-tec.co.kr/&#947;%5e&#969;%5e&#947;/&#51092;&#50529;&#47749;&#49464;&#54364;/2001&#45380;/&#51092;&#50529;&#47749;&#49464;&#49436;/20000630/&#45824;&#52264;&#47749;B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UNGJONGJIN\aws\WINDOWS\Temporary%20Internet%20Files\Content.IE5\O96J0TMF\&#50976;&#44032;&#51613;&#44428;2001.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microsoft.com/office/2006/relationships/xlExternalLinkPath/xlStartup" Target="HK%20MARD/Project%20Copa/valuation/old%20working%20capital.xls" TargetMode="External"/></Relationships>
</file>

<file path=xl/externalLinks/_rels/externalLink178.xml.rels><?xml version="1.0" encoding="UTF-8" standalone="yes"?>
<Relationships xmlns="http://schemas.openxmlformats.org/package/2006/relationships"><Relationship Id="rId2" Type="http://schemas.microsoft.com/office/2019/04/relationships/externalLinkLongPath" Target="/Users/&#44221;&#50689;&#44288;&#47532;/AppData/Local/Microsoft/Windows/Temporary%20Internet%20Files/Content.IE5/9FLDD5NF/Documents%20and%20Settings/NetwareID/My%20Documents/02&#45380;%20&#44592;&#47568;/&#51060;&#45320;&#53581;/windows/TEMP/C.Lotus.Notes.Data/&#53748;&#51649;&#44553;&#51201;&#47549;_&#44608;&#49457;&#48120;.xls?3ACB0F01" TargetMode="External"/><Relationship Id="rId1" Type="http://schemas.openxmlformats.org/officeDocument/2006/relationships/externalLinkPath" Target="file:///\\3ACB0F01\&#53748;&#51649;&#44553;&#51201;&#47549;_&#44608;&#49457;&#48120;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0;&#54644;&#44221;\C\EXCEL\&#52628;&#51221;12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EEYOUNGAHN\aws\1.Emtechnics\1.HR\3.Retirement\2004&#51064;&#44148;&#48708;&#50696;&#49328;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/2006&#45380;/&#51452;&#44036;%20&#48372;&#44256;/&#50900;&#48324;%20&#51204;&#54364;%20&#46321;&#47197;&#54788;&#54889;_060711.xls" TargetMode="External"/></Relationships>
</file>

<file path=xl/externalLinks/_rels/externalLink182.xml.rels><?xml version="1.0" encoding="UTF-8" standalone="yes"?>
<Relationships xmlns="http://schemas.openxmlformats.org/package/2006/relationships"><Relationship Id="rId2" Type="http://schemas.microsoft.com/office/2019/04/relationships/externalLinkLongPath" Target="http://ep.halla.com/Documents%20and%20Settings/yongwoolee/My%20Documents/2004&#45380;&#44048;&#49324;/&#54620;&#44397;&#49688;&#47141;&#50896;&#51088;&#47141;/0403_1&#48516;&#44592;/&#48149;&#49457;&#51116;/&#52280;&#44256;&#51088;&#47308;1/Documents%20and%20Settings/sangmannoh/My%20Documents/1.%20audit/3.%20&#45824;&#46041;&#49828;&#54008;/2002&#45380;%20&#48152;&#44592;/&#44048;&#49324;-&#44592;&#47568;/00-5%20&#54620;&#51652;&#51473;&#44277;&#50629;/WF200/TMP/~TMP7233.$$$/WF200/TMP/~TMP5043.$$$/&#44228;&#51221;&#44284;&#47785;.xls?5748299C" TargetMode="External"/><Relationship Id="rId1" Type="http://schemas.openxmlformats.org/officeDocument/2006/relationships/externalLinkPath" Target="file:///\\5748299C\&#44228;&#51221;&#44284;&#47785;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5141;&#49453;\c\&#44048;&#49324;\&#49345;&#50896;\&#54620;&#51068;&#44256;&#49549;\&#49340;&#54868;95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36;&#47928;&#49436;\client2002\&#48372;&#47336;&#45348;&#50724;\2002&#45380;%20audit\&#44592;&#47568;&#44048;&#49324;\&#45236;&#47928;&#49436;\client2002\&#44221;&#51064;&#50577;&#54665;\&#44592;&#47568;&#44048;&#49324;\&#51452;&#49885;&#47588;&#51077;&#49440;&#53469;&#44428;\V3\&#51088;&#44552;\980331&#52264;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KANGYOUNGJAE\aws\WINDOWS\TEMP\&#45812;&#45817;&#51088;&#48324;%20&#47924;&#49688;&#51061;&#54788;&#54889;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55141;&#49453;\c\&#50629;&#47924;&#52285;&#44256;\&#44048;&#49324;\&#50976;&#50896;&#52980;&#53581;\99&#44048;&#49324;\&#44048;&#49324;&#48372;&#44256;&#49436;98\&#49340;&#54868;95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p.halla.com/&#44221;&#50689;&#44592;&#54925;&#54016;,&#44221;&#50689;&#44288;&#47532;&#54016;/2007&#45380;/&#51204;&#47029;cm/WINDOWS/TEMP/C.Lotus.Notes.Data/&#49900;&#49324;&#48516;&#49437;/&#51060;&#49324;&#54924;/WINDOWS/TEMP/WINDOWS/TEMP/&#52264;&#51077;&#44552;/&#54217;&#44512;&#52264;&#51077;&#51060;&#51088;&#50984;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205127\6&#50900;%20&#44208;&#49328;\&#49352;%20&#54260;&#45908;\E\Q\I-O98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UNGJONGJIN\aws\&#46972;&#49849;&#51652;\&#44221;&#47532;\2000&#44208;&#49328;\&#44208;&#49328;&#49436;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4608;&#49345;&#54364;\&#44208;&#49328;\2006&#45380;\2&#48516;&#44592;\&#49345;&#48152;&#44592;&#47749;&#49464;\&#50532;&#48708;\&#50532;&#48708;&#44228;&#51221;&#47749;&#49464;(0412)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&#44592;&#53440;/&#51088;&#46041;&#51060;&#52404;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96;&#44508;\&#54924;&#44228;share\USER\BUDGET\ACCOUNT\33A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1093kongf-1\GL%20share%20information\ACCTS\9909\&#31185;&#30446;&#27719;&#24635;AT&amp;T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8;&#49328;&#44288;&#47144;&#51204;&#49328;&#51088;&#47308;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jshin/Desktop/&#50629;&#47924;/2.&#48708;&#44048;&#49324;&#50629;&#47924;/1.IFRS%20&#52968;&#48260;&#51204;%20&#48143;%20PA/2.&#48148;&#51060;&#50724;&#45432;&#53944;/2020/&#50672;&#44208;%20&#51221;&#49328;&#54364;/BN_IFRS_&#50672;&#44208;&#51221;&#49328;&#54364;_FY%202020_V3.0.xlsb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jshin/Desktop/&#50629;&#47924;/2.&#48708;&#44048;&#49324;&#50629;&#47924;/1.IFRS%20&#52968;&#48260;&#51204;%20&#48143;%20PA/2.&#48148;&#51060;&#50724;&#45432;&#53944;/1912/&#50672;&#44208;/&#50672;&#44208;%20&#51221;&#49328;&#54364;/BN_IFRS_&#50672;&#44208;&#51221;&#49328;&#54364;_FY%202019_V1.2.xlsb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jshin/Desktop/&#50629;&#47924;/2.&#48708;&#44048;&#49324;&#50629;&#47924;/IFRS%20&#52968;&#48260;&#51204;/&#48148;&#51060;&#50724;&#45432;&#53944;/&#52968;&#48260;&#51204;%20&#52280;&#44256;&#51088;&#47308;(&#49468;&#49436;)/01%201912%20IFRS%20conversion/&#51221;&#49328;&#54364;%20&#48143;%20PKG/SD%20&#48148;&#51060;&#50724;&#49468;&#49436;_IFRS_&#51221;&#49328;&#54364;_1912_v1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集团"/>
      <sheetName val="3损益"/>
      <sheetName val="2资负"/>
      <sheetName val="1经营"/>
      <sheetName val="资产负债表"/>
      <sheetName val="损益表"/>
      <sheetName val="收入明细"/>
      <sheetName val="主营成本"/>
      <sheetName val="管理费用"/>
      <sheetName val="营业费用"/>
      <sheetName val="财务费用"/>
      <sheetName val="周期至今"/>
      <sheetName val="年度至今"/>
      <sheetName val="资产负债表 (2)"/>
      <sheetName val="损益表 (2)"/>
      <sheetName val="B22-2_매출등"/>
    </sheetNames>
    <sheetDataSet>
      <sheetData sheetId="0" refreshError="1"/>
      <sheetData sheetId="1" refreshError="1">
        <row r="42">
          <cell r="E42">
            <v>0</v>
          </cell>
        </row>
      </sheetData>
      <sheetData sheetId="2" refreshError="1"/>
      <sheetData sheetId="3" refreshError="1">
        <row r="8">
          <cell r="E8">
            <v>0</v>
          </cell>
        </row>
        <row r="23">
          <cell r="E23">
            <v>0</v>
          </cell>
        </row>
        <row r="32">
          <cell r="E32">
            <v>0</v>
          </cell>
        </row>
        <row r="39">
          <cell r="E39">
            <v>0</v>
          </cell>
        </row>
        <row r="43">
          <cell r="E43">
            <v>0</v>
          </cell>
        </row>
        <row r="47">
          <cell r="E47">
            <v>0</v>
          </cell>
        </row>
        <row r="55">
          <cell r="E55">
            <v>0</v>
          </cell>
        </row>
        <row r="61">
          <cell r="E61">
            <v>0</v>
          </cell>
        </row>
        <row r="62">
          <cell r="E62">
            <v>0</v>
          </cell>
        </row>
        <row r="63">
          <cell r="E63">
            <v>0</v>
          </cell>
        </row>
        <row r="64">
          <cell r="E64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T02"/>
      <sheetName val="T03"/>
      <sheetName val="T04"/>
      <sheetName val="T12"/>
      <sheetName val="NY"/>
      <sheetName val="DATA"/>
      <sheetName val="T13"/>
    </sheetNames>
    <sheetDataSet>
      <sheetData sheetId="0" refreshError="1"/>
      <sheetData sheetId="1" refreshError="1">
        <row r="23">
          <cell r="E23">
            <v>0</v>
          </cell>
        </row>
        <row r="45">
          <cell r="E45">
            <v>0</v>
          </cell>
        </row>
        <row r="49">
          <cell r="E4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"/>
      <sheetName val="카드"/>
      <sheetName val="카드대출"/>
      <sheetName val="2 카드채권(대출포함)"/>
      <sheetName val="카드채권(대출포함) (2)"/>
      <sheetName val="1 미청구액포함(카드+대출)"/>
      <sheetName val="카드채권(대출포함) (3)"/>
      <sheetName val="대손상각"/>
      <sheetName val="대손상각누계"/>
      <sheetName val="카드(대출,상각포함)"/>
      <sheetName val="카드(대출,상각누계포함)"/>
      <sheetName val="미청구(카드+대출+상각누계)"/>
      <sheetName val="미청구(카드+대출+,상각)"/>
      <sheetName val="일반사용"/>
      <sheetName val="할부사용"/>
      <sheetName val="CA사용"/>
      <sheetName val="일반할부"/>
      <sheetName val="주택할부"/>
      <sheetName val="상품별집계"/>
      <sheetName val="평균NET"/>
      <sheetName val="건수NET"/>
      <sheetName val="건수표"/>
      <sheetName val="평균금액표"/>
      <sheetName val="회수율"/>
      <sheetName val="96-8년월별A4"/>
      <sheetName val="lagged"/>
      <sheetName val="coincident"/>
      <sheetName val="리볼빙(연체금액)"/>
      <sheetName val="Card Loan(미청구포함)"/>
      <sheetName val="보고용 ca,일반"/>
      <sheetName val="현가계산"/>
      <sheetName val="96-9년월별(억)"/>
      <sheetName val="Sheet3"/>
      <sheetName val="영문"/>
      <sheetName val="영문(카드)"/>
      <sheetName val="net_graph(승민)"/>
      <sheetName val="카드채권(대출포함)"/>
      <sheetName val="미청구액포함(카드+대출)"/>
      <sheetName val="예실"/>
      <sheetName val="울산"/>
      <sheetName val="3.미결NET1"/>
      <sheetName val="은행"/>
      <sheetName val="8100"/>
      <sheetName val="영업부문분류"/>
      <sheetName val="SUMMARY"/>
      <sheetName val="원본"/>
      <sheetName val="118.세금과공과"/>
      <sheetName val="bond_bdb"/>
      <sheetName val="시산표"/>
      <sheetName val="코드"/>
      <sheetName val="효율계획(당월)"/>
      <sheetName val="전체실적"/>
      <sheetName val="2_카드채권(대출포함)"/>
      <sheetName val="카드채권(대출포함)_(2)"/>
      <sheetName val="1_미청구액포함(카드+대출)"/>
      <sheetName val="카드채권(대출포함)_(3)"/>
      <sheetName val="Card_Loan(미청구포함)"/>
      <sheetName val="보고용_ca,일반"/>
      <sheetName val="3_미결N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99선급비용"/>
      <sheetName val="99선급비용 (2)"/>
      <sheetName val="미지급비용"/>
      <sheetName val="퇴직금충당  12"/>
      <sheetName val="Sheet1"/>
      <sheetName val="Checklist"/>
      <sheetName val="B9.Inventories"/>
      <sheetName val="A2.Comprehensive Income"/>
      <sheetName val="MBC"/>
      <sheetName val="MRC"/>
      <sheetName val="MSC"/>
      <sheetName val="MTC"/>
      <sheetName val="MIL"/>
      <sheetName val="MIS"/>
      <sheetName val="WENG"/>
      <sheetName val="MEITSTER"/>
      <sheetName val="MAM"/>
      <sheetName val="장기차입금취합"/>
      <sheetName val="차입금(자금팀자료)"/>
      <sheetName val="Cashpooling(자금팀자료)"/>
      <sheetName val="HSBC"/>
      <sheetName val="HSC"/>
      <sheetName val="MDK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  <sheetName val="CD-실적"/>
      <sheetName val="00~07 Sales Volume(Actual)"/>
      <sheetName val="00~09 세대수(Actual)"/>
      <sheetName val="00~07 용도별 원단위"/>
      <sheetName val="첨부5. 01~06 Sales Volume(Actual)"/>
      <sheetName val="2006 Budget 대비"/>
      <sheetName val="99선급비용"/>
      <sheetName val="개황"/>
      <sheetName val="긴축실적 (2분기)"/>
      <sheetName val="기본사항"/>
      <sheetName val="관세"/>
      <sheetName val="01반기조정감"/>
      <sheetName val="01반기조정증"/>
      <sheetName val="COMM"/>
      <sheetName val="Cover"/>
      <sheetName val="대차대조표"/>
      <sheetName val="#REF"/>
      <sheetName val="(첨부)PT_수주"/>
      <sheetName val="Krw"/>
      <sheetName val="compare2"/>
      <sheetName val="4"/>
      <sheetName val="11"/>
      <sheetName val="8"/>
      <sheetName val="2"/>
      <sheetName val="7"/>
      <sheetName val="6"/>
      <sheetName val="5"/>
      <sheetName val="10"/>
      <sheetName val="9"/>
      <sheetName val="의왕"/>
      <sheetName val="BS"/>
      <sheetName val="채권(하반기)"/>
      <sheetName val="총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총괄"/>
      <sheetName val="미수수익"/>
      <sheetName val="국민채권"/>
      <sheetName val="지하철"/>
      <sheetName val="교통"/>
      <sheetName val="지역개발"/>
      <sheetName val="실물00.12.31"/>
      <sheetName val="동원99.5"/>
      <sheetName val="명세"/>
      <sheetName val="      "/>
      <sheetName val="평가9.30"/>
      <sheetName val="평가9.30 (2)"/>
      <sheetName val="평가9.30 (3)"/>
      <sheetName val="98.12.29"/>
      <sheetName val="2000.7.3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98.12.29 (2)"/>
      <sheetName val="①매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"/>
      <sheetName val="전체 (2)"/>
      <sheetName val="99년수율"/>
      <sheetName val="Module2"/>
      <sheetName val="Module3"/>
      <sheetName val="Module4"/>
      <sheetName val="Module5"/>
      <sheetName val="Module6"/>
      <sheetName val="Sheet1"/>
      <sheetName val="Dialog2"/>
      <sheetName val="Dialog1"/>
      <sheetName val="수출입팀"/>
      <sheetName val="Module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L"/>
      <sheetName val="시산표"/>
      <sheetName val="개황"/>
      <sheetName val="긴축실적 (2분기)"/>
      <sheetName val="외화계약"/>
      <sheetName val="건설중인자산(기타)"/>
      <sheetName val="부가세신고자료"/>
      <sheetName val="재무제표"/>
      <sheetName val="00~09 세대수(Actual)"/>
      <sheetName val="Sheet1"/>
      <sheetName val="현재"/>
      <sheetName val="첨부5. 01~06 Sales Volume(Actual)"/>
      <sheetName val="2006 Budget 대비"/>
      <sheetName val="BRAKE"/>
      <sheetName val="손익계산서(2월누계)"/>
      <sheetName val="손익계산서(2월)"/>
      <sheetName val="매출원가명세서(2월누계)"/>
      <sheetName val="매출원가명세서(2월)"/>
      <sheetName val="대차대조표"/>
      <sheetName val="손익계산서(1월)"/>
      <sheetName val="매출원가명세서(1월)"/>
      <sheetName val="INFO"/>
      <sheetName val="BS"/>
      <sheetName val="지분법평가"/>
      <sheetName val="수입"/>
      <sheetName val="매월결산"/>
      <sheetName val="매월결산 (석탑반영)"/>
      <sheetName val="Sheet2"/>
      <sheetName val="매월결산 (감사제시확정)"/>
      <sheetName val="부서직접비"/>
      <sheetName val="부재료재고"/>
      <sheetName val="재공품"/>
      <sheetName val="HOT MELT원재료"/>
      <sheetName val="제품재고"/>
      <sheetName val="공사건별집계표"/>
      <sheetName val="PL"/>
      <sheetName val="MC"/>
      <sheetName val="BS(1)"/>
      <sheetName val="BS (2003)"/>
      <sheetName val="중요성기준"/>
      <sheetName val="CF"/>
      <sheetName val="정산표BS(2003)"/>
      <sheetName val="정산표(IS)2003"/>
      <sheetName val="정산표PL(2003)"/>
      <sheetName val="외화평가"/>
      <sheetName val="Other Assets leadersheet"/>
      <sheetName val="Fixed Assets leadersheet"/>
      <sheetName val="Current Liabilities"/>
      <sheetName val="손익계산서"/>
      <sheetName val="판관.비용수익"/>
      <sheetName val="3.잉여금처분O"/>
      <sheetName val="4.현금흐름"/>
      <sheetName val="1.대차대조표"/>
      <sheetName val="2.손익계산서"/>
      <sheetName val="합계잔액"/>
      <sheetName val="58.제조원가"/>
      <sheetName val="81.전기대비추세표"/>
      <sheetName val="BS합산"/>
      <sheetName val="대차"/>
      <sheetName val="손익"/>
      <sheetName val="제조원가"/>
      <sheetName val="소제목"/>
      <sheetName val="9월현금등가물"/>
      <sheetName val="12월현금"/>
      <sheetName val="12월당좌예금"/>
      <sheetName val="12월보통예금"/>
      <sheetName val="12월외화예금"/>
      <sheetName val="9월단기금융상품"/>
      <sheetName val="9월유가증권"/>
      <sheetName val="9월외상매출"/>
      <sheetName val="실외상매출"/>
      <sheetName val="9월받을어음"/>
      <sheetName val="12월할인어음"/>
      <sheetName val="9월부도어음"/>
      <sheetName val="12월대손충당금"/>
      <sheetName val="9월미수금"/>
      <sheetName val="9월미수수익"/>
      <sheetName val="9월선급금"/>
      <sheetName val="6월가지급금"/>
      <sheetName val="9월선급비용"/>
      <sheetName val="9월선급법인세"/>
      <sheetName val="12월재고자산"/>
      <sheetName val="제품수불"/>
      <sheetName val="원재료수불"/>
      <sheetName val="9월미착원재료"/>
      <sheetName val="9월투자유가증권"/>
      <sheetName val="9월장기금융상품"/>
      <sheetName val="9월장기대여금"/>
      <sheetName val="9월임차보증금"/>
      <sheetName val="6월이연법인세차"/>
      <sheetName val="12월단기대여금"/>
      <sheetName val="01기타의투자자산"/>
      <sheetName val="6월유형자산"/>
      <sheetName val="9월건물(정액)"/>
      <sheetName val="9월구축물(정액)"/>
      <sheetName val="9월기계장치(정율)"/>
      <sheetName val="9월차량운반구(정율)"/>
      <sheetName val="3월시설장치"/>
      <sheetName val="9월공구와기구(정율)"/>
      <sheetName val="9월집기비품(정율)"/>
      <sheetName val="9월창업비"/>
      <sheetName val="당좌차월09"/>
      <sheetName val="9월개발비"/>
      <sheetName val="9월특허권"/>
      <sheetName val="6월매입채무"/>
      <sheetName val="9월외상매입"/>
      <sheetName val="9월지급어음"/>
      <sheetName val="9월단기차입금명세서"/>
      <sheetName val="9월당좌차월명세서"/>
      <sheetName val="9월일반대출금명세서"/>
      <sheetName val="9월구매자금차입금명세서"/>
      <sheetName val="9월단기차입금"/>
      <sheetName val="9월미지급금"/>
      <sheetName val="6월선수금"/>
      <sheetName val="9월예수금"/>
      <sheetName val="9월미지급비용"/>
      <sheetName val="12월가수금"/>
      <sheetName val="2000미지급법인세"/>
      <sheetName val="12월미지급배당금"/>
      <sheetName val="9월유동성장기부채"/>
      <sheetName val="9월전환사채"/>
      <sheetName val="9월장기미지급이자"/>
      <sheetName val="9월장기차입금"/>
      <sheetName val="9월퇴직충당"/>
      <sheetName val="9월국민연금전환금"/>
      <sheetName val="미지급부가세09"/>
      <sheetName val="6월자본금명세"/>
      <sheetName val="6월주식발행초과금"/>
      <sheetName val="6월기타자본잉여금 "/>
      <sheetName val="6월이익잉여금 "/>
      <sheetName val="6월자본조정"/>
      <sheetName val="12월매출액명세서"/>
      <sheetName val="판관비명세"/>
      <sheetName val="12월영업외수익명세"/>
      <sheetName val="영업외비용명세"/>
      <sheetName val="차입금상환일정표"/>
      <sheetName val="XXXXXX"/>
      <sheetName val="발견사항"/>
      <sheetName val="발견사항 (2)"/>
      <sheetName val="FINDING"/>
      <sheetName val="WBS"/>
      <sheetName val="WPL "/>
      <sheetName val="이익잉여금"/>
      <sheetName val="매출액명세서"/>
      <sheetName val="제조원가명세서 "/>
      <sheetName val="정산표"/>
      <sheetName val="PL0430연금통합제시"/>
      <sheetName val="BS0430연금통합제시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보증금(전신전화가입권)"/>
      <sheetName val="BS99"/>
      <sheetName val="back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L"/>
      <sheetName val="시산표"/>
      <sheetName val="외화계약"/>
      <sheetName val="손익"/>
      <sheetName val="00~09 세대수(Actual)"/>
      <sheetName val="개황"/>
      <sheetName val="긴축실적 (2분기)"/>
      <sheetName val="BRAKE"/>
      <sheetName val="현재"/>
      <sheetName val="첨부5. 01~06 Sales Volume(Actual)"/>
      <sheetName val="2006 Budget 대비"/>
      <sheetName val="건설중인자산(기타)"/>
      <sheetName val="부가세신고자료"/>
      <sheetName val="재무제표"/>
      <sheetName val="손익계산서(2월누계)"/>
      <sheetName val="손익계산서(2월)"/>
      <sheetName val="매출원가명세서(2월누계)"/>
      <sheetName val="매출원가명세서(2월)"/>
      <sheetName val="대차대조표"/>
      <sheetName val="손익계산서(1월)"/>
      <sheetName val="매출원가명세서(1월)"/>
      <sheetName val="Sheet1"/>
      <sheetName val="INFO"/>
      <sheetName val="BS"/>
      <sheetName val="지분법평가"/>
      <sheetName val="BS99"/>
      <sheetName val="backdata"/>
      <sheetName val="수입"/>
      <sheetName val="매월결산"/>
      <sheetName val="매월결산 (석탑반영)"/>
      <sheetName val="Sheet2"/>
      <sheetName val="매월결산 (감사제시확정)"/>
      <sheetName val="부서직접비"/>
      <sheetName val="부재료재고"/>
      <sheetName val="재공품"/>
      <sheetName val="HOT MELT원재료"/>
      <sheetName val="제품재고"/>
      <sheetName val="공사건별집계표"/>
      <sheetName val="PL"/>
      <sheetName val="MC"/>
      <sheetName val="BS(1)"/>
      <sheetName val="BS (2003)"/>
      <sheetName val="중요성기준"/>
      <sheetName val="CF"/>
      <sheetName val="정산표BS(2003)"/>
      <sheetName val="정산표(IS)2003"/>
      <sheetName val="정산표PL(2003)"/>
      <sheetName val="외화평가"/>
      <sheetName val="Other Assets leadersheet"/>
      <sheetName val="Fixed Assets leadersheet"/>
      <sheetName val="Current Liabilities"/>
      <sheetName val="손익계산서"/>
      <sheetName val="판관.비용수익"/>
      <sheetName val="3.잉여금처분O"/>
      <sheetName val="4.현금흐름"/>
      <sheetName val="1.대차대조표"/>
      <sheetName val="2.손익계산서"/>
      <sheetName val="합계잔액"/>
      <sheetName val="58.제조원가"/>
      <sheetName val="81.전기대비추세표"/>
      <sheetName val="BS합산"/>
      <sheetName val="대차"/>
      <sheetName val="제조원가"/>
      <sheetName val="소제목"/>
      <sheetName val="9월현금등가물"/>
      <sheetName val="12월현금"/>
      <sheetName val="12월당좌예금"/>
      <sheetName val="12월보통예금"/>
      <sheetName val="12월외화예금"/>
      <sheetName val="9월단기금융상품"/>
      <sheetName val="9월유가증권"/>
      <sheetName val="9월외상매출"/>
      <sheetName val="실외상매출"/>
      <sheetName val="9월받을어음"/>
      <sheetName val="12월할인어음"/>
      <sheetName val="9월부도어음"/>
      <sheetName val="12월대손충당금"/>
      <sheetName val="9월미수금"/>
      <sheetName val="9월미수수익"/>
      <sheetName val="9월선급금"/>
      <sheetName val="6월가지급금"/>
      <sheetName val="9월선급비용"/>
      <sheetName val="9월선급법인세"/>
      <sheetName val="12월재고자산"/>
      <sheetName val="제품수불"/>
      <sheetName val="원재료수불"/>
      <sheetName val="9월미착원재료"/>
      <sheetName val="9월투자유가증권"/>
      <sheetName val="9월장기금융상품"/>
      <sheetName val="9월장기대여금"/>
      <sheetName val="9월임차보증금"/>
      <sheetName val="6월이연법인세차"/>
      <sheetName val="12월단기대여금"/>
      <sheetName val="01기타의투자자산"/>
      <sheetName val="6월유형자산"/>
      <sheetName val="9월건물(정액)"/>
      <sheetName val="9월구축물(정액)"/>
      <sheetName val="9월기계장치(정율)"/>
      <sheetName val="9월차량운반구(정율)"/>
      <sheetName val="3월시설장치"/>
      <sheetName val="9월공구와기구(정율)"/>
      <sheetName val="9월집기비품(정율)"/>
      <sheetName val="9월창업비"/>
      <sheetName val="당좌차월09"/>
      <sheetName val="9월개발비"/>
      <sheetName val="9월특허권"/>
      <sheetName val="6월매입채무"/>
      <sheetName val="9월외상매입"/>
      <sheetName val="9월지급어음"/>
      <sheetName val="9월단기차입금명세서"/>
      <sheetName val="9월당좌차월명세서"/>
      <sheetName val="9월일반대출금명세서"/>
      <sheetName val="9월구매자금차입금명세서"/>
      <sheetName val="9월단기차입금"/>
      <sheetName val="9월미지급금"/>
      <sheetName val="6월선수금"/>
      <sheetName val="9월예수금"/>
      <sheetName val="9월미지급비용"/>
      <sheetName val="12월가수금"/>
      <sheetName val="2000미지급법인세"/>
      <sheetName val="12월미지급배당금"/>
      <sheetName val="9월유동성장기부채"/>
      <sheetName val="9월전환사채"/>
      <sheetName val="9월장기미지급이자"/>
      <sheetName val="9월장기차입금"/>
      <sheetName val="9월퇴직충당"/>
      <sheetName val="9월국민연금전환금"/>
      <sheetName val="미지급부가세09"/>
      <sheetName val="6월자본금명세"/>
      <sheetName val="6월주식발행초과금"/>
      <sheetName val="6월기타자본잉여금 "/>
      <sheetName val="6월이익잉여금 "/>
      <sheetName val="6월자본조정"/>
      <sheetName val="12월매출액명세서"/>
      <sheetName val="판관비명세"/>
      <sheetName val="12월영업외수익명세"/>
      <sheetName val="영업외비용명세"/>
      <sheetName val="차입금상환일정표"/>
      <sheetName val="XXXXXX"/>
      <sheetName val="발견사항"/>
      <sheetName val="발견사항 (2)"/>
      <sheetName val="FINDING"/>
      <sheetName val="WBS"/>
      <sheetName val="WPL "/>
      <sheetName val="이익잉여금"/>
      <sheetName val="매출액명세서"/>
      <sheetName val="제조원가명세서 "/>
      <sheetName val="정산표"/>
      <sheetName val="PL0430연금통합제시"/>
      <sheetName val="BS0430연금통합제시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보증금(전신전화가입권)"/>
      <sheetName val="첨부1"/>
      <sheetName val="명단"/>
      <sheetName val="채권(하반기)"/>
      <sheetName val="분석(품목)"/>
      <sheetName val="FACTOR"/>
      <sheetName val="합손"/>
      <sheetName val="KUNGDEVI"/>
      <sheetName val="Variables"/>
      <sheetName val="A-100전제"/>
      <sheetName val="외주수리비"/>
      <sheetName val="국산화"/>
      <sheetName val="단가"/>
      <sheetName val="96갑지"/>
      <sheetName val="01"/>
      <sheetName val="Sheet1 (2)"/>
      <sheetName val="10월 급여"/>
      <sheetName val="8100"/>
      <sheetName val="용도별수요격차"/>
      <sheetName val="실행계획"/>
      <sheetName val="09.1분기실적"/>
      <sheetName val="만기"/>
      <sheetName val="감사일어"/>
      <sheetName val="지상1층상가면적표"/>
      <sheetName val="지상2층상가면적표"/>
      <sheetName val="층별용도별면적표"/>
      <sheetName val="환율표(12월)"/>
      <sheetName val="95TOTREV"/>
      <sheetName val="118.세금과공과"/>
      <sheetName val="당좌차월"/>
      <sheetName val="이자수익 명세"/>
      <sheetName val="rate"/>
      <sheetName val="재고AR"/>
      <sheetName val="서울재고"/>
      <sheetName val="외화금융(97-03)"/>
      <sheetName val="INMD1198"/>
      <sheetName val="Korea"/>
      <sheetName val="G4"/>
      <sheetName val="인쇄BS"/>
      <sheetName val="HERO01"/>
      <sheetName val="받을어음"/>
      <sheetName val="ED DS"/>
      <sheetName val="ED DT"/>
      <sheetName val="RE9604"/>
      <sheetName val="최종중간기간성과"/>
      <sheetName val=" 견적서"/>
      <sheetName val="F1,2"/>
      <sheetName val="합계잔액(1)"/>
      <sheetName val="합계잔액 (2)"/>
      <sheetName val="잉여금처분"/>
      <sheetName val="PL (3)"/>
      <sheetName val="MC (3)"/>
      <sheetName val="BS1"/>
      <sheetName val="BS2"/>
      <sheetName val="WTB"/>
      <sheetName val="F-4"/>
      <sheetName val="F-5"/>
      <sheetName val="2262"/>
      <sheetName val="2262-10"/>
      <sheetName val="WTB-BS"/>
      <sheetName val="WTB-IS"/>
      <sheetName val="1.BS"/>
      <sheetName val="2.PL"/>
      <sheetName val="3.제조"/>
      <sheetName val="4.이익"/>
      <sheetName val="24.보증금(전신전화가입권)"/>
      <sheetName val="비품"/>
      <sheetName val="완성차 미수금"/>
      <sheetName val="Sheet3"/>
      <sheetName val="사내수급"/>
      <sheetName val="설정"/>
      <sheetName val="PUC명"/>
      <sheetName val="환율"/>
      <sheetName val="XREF"/>
      <sheetName val="노동부"/>
      <sheetName val="항목(1)"/>
      <sheetName val="MAT"/>
      <sheetName val="최종조정"/>
      <sheetName val="Res"/>
      <sheetName val="Bal"/>
      <sheetName val="出口合同"/>
      <sheetName val=""/>
      <sheetName val="BS정산표"/>
      <sheetName val="A.현금"/>
      <sheetName val="T6-6(7)"/>
      <sheetName val="T6-6(6)"/>
      <sheetName val="laroux"/>
      <sheetName val="JSP01"/>
      <sheetName val="공통"/>
      <sheetName val="7 (2)"/>
      <sheetName val="원본"/>
      <sheetName val="Krw"/>
      <sheetName val="공표손익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DATASHT2"/>
      <sheetName val="Test"/>
      <sheetName val="Bs. de Uso 2002"/>
      <sheetName val="prov locales"/>
      <sheetName val="진행률기표"/>
      <sheetName val="공정가치"/>
      <sheetName val="AT"/>
      <sheetName val="B777"/>
      <sheetName val="신공항"/>
      <sheetName val="정비재료비"/>
      <sheetName val="지상조업료"/>
      <sheetName val="JJ"/>
      <sheetName val="잡유비"/>
      <sheetName val="MA"/>
      <sheetName val="계류장사용료"/>
      <sheetName val="ME"/>
      <sheetName val="MF"/>
      <sheetName val="MI"/>
      <sheetName val="MT"/>
      <sheetName val="QA"/>
      <sheetName val="#REF"/>
      <sheetName val="TaxCalc"/>
      <sheetName val="기초자료(20010831)"/>
      <sheetName val="전행순위"/>
      <sheetName val="Ⅰ-1"/>
      <sheetName val="주요비율-낙관"/>
      <sheetName val="별제권_정리담보권1"/>
      <sheetName val="PL98"/>
      <sheetName val="01_tool"/>
      <sheetName val="Scenario"/>
      <sheetName val="Borrower"/>
      <sheetName val="Index"/>
      <sheetName val="국외감가상각내역0103"/>
      <sheetName val="STC3"/>
      <sheetName val="본부예산"/>
      <sheetName val="Ⅱ1-0타"/>
      <sheetName val="0930PLENG"/>
      <sheetName val="감독1130"/>
      <sheetName val="년"/>
      <sheetName val="현금예금"/>
      <sheetName val="은행"/>
      <sheetName val="은행계정"/>
      <sheetName val="회사정보"/>
      <sheetName val="고자현황"/>
      <sheetName val="취득"/>
      <sheetName val="현금흐름표"/>
      <sheetName val="Assumptions"/>
      <sheetName val="00~09_세대수(Actual)"/>
      <sheetName val="긴축실적_(2분기)"/>
      <sheetName val="첨부5__01~06_Sales_Volume(Actual)"/>
      <sheetName val="2006_Budget_대비"/>
      <sheetName val="매월결산_(석탑반영)"/>
      <sheetName val="매월결산_(감사제시확정)"/>
      <sheetName val="HOT_MELT원재료"/>
      <sheetName val="BS_(2003)"/>
      <sheetName val="Other_Assets_leadersheet"/>
      <sheetName val="Fixed_Assets_leadersheet"/>
      <sheetName val="Current_Liabilities"/>
      <sheetName val="판관_비용수익"/>
      <sheetName val="3_잉여금처분O"/>
      <sheetName val="4_현금흐름"/>
      <sheetName val="1_대차대조표"/>
      <sheetName val="2_손익계산서"/>
      <sheetName val="58_제조원가"/>
      <sheetName val="81_전기대비추세표"/>
      <sheetName val="6월기타자본잉여금_"/>
      <sheetName val="6월이익잉여금_"/>
      <sheetName val="발견사항_(2)"/>
      <sheetName val="WPL_"/>
      <sheetName val="제조원가명세서_"/>
      <sheetName val="Sheet1_(2)"/>
      <sheetName val="10월_급여"/>
      <sheetName val="대비"/>
      <sheetName val="감가상각"/>
      <sheetName val="개시전표"/>
      <sheetName val="공사집계"/>
      <sheetName val="영업.일1"/>
      <sheetName val="9-1차이내역"/>
      <sheetName val="일반관리비"/>
      <sheetName val="영업.일"/>
      <sheetName val="선급미지급비용"/>
      <sheetName val="기안"/>
      <sheetName val="sh1"/>
      <sheetName val="sh2"/>
      <sheetName val="sh3"/>
      <sheetName val="물량투입계획"/>
      <sheetName val="상품원가피벗"/>
      <sheetName val="①매출"/>
      <sheetName val="내외국인총괄"/>
      <sheetName val="년도별"/>
      <sheetName val="인력(정규직)"/>
      <sheetName val="과정별"/>
      <sheetName val="sm"/>
      <sheetName val="판매2팀"/>
      <sheetName val="항목등록"/>
      <sheetName val="보정전BS"/>
      <sheetName val="보정전PL"/>
      <sheetName val="전산각주"/>
      <sheetName val="각주"/>
      <sheetName val="수정"/>
      <sheetName val="보정후BS"/>
      <sheetName val="Net PL"/>
      <sheetName val="정산samfile"/>
      <sheetName val="종수"/>
      <sheetName val="수기평가자료_해외분"/>
      <sheetName val="수기평가자료"/>
      <sheetName val="수기보정자료"/>
      <sheetName val="보정samfile"/>
      <sheetName val="보정전BS(세분류)"/>
      <sheetName val="보정전BS(세분류)-본지점수정전"/>
      <sheetName val="보정전BS(소분류)"/>
      <sheetName val="보정전PL(세분류)"/>
      <sheetName val="보정전PL(소분류)"/>
      <sheetName val="보정후BS(세분류)"/>
      <sheetName val="보정후BS(소분류)"/>
      <sheetName val="Net PL(세분류)"/>
      <sheetName val="Net PL(소분류)"/>
      <sheetName val="본봉표"/>
      <sheetName val="직원신상"/>
      <sheetName val="대차대조표(수정)"/>
      <sheetName val="비교대차"/>
      <sheetName val="손익계산서(수정)"/>
      <sheetName val="비교손익"/>
      <sheetName val="시산표1차"/>
      <sheetName val="시산표2차 "/>
      <sheetName val="일계표"/>
      <sheetName val="비교대차  (1)"/>
      <sheetName val="손익결산  (1)"/>
      <sheetName val="비교대차  (2)"/>
      <sheetName val="손익결산  (2)"/>
      <sheetName val="시산결산 (2)"/>
      <sheetName val="결손금처분"/>
      <sheetName val="세무조정(간략)"/>
      <sheetName val="기초코드"/>
      <sheetName val="품의서"/>
      <sheetName val="2차-PROTO-(1)"/>
      <sheetName val="제조원가명세서"/>
      <sheetName val="Macro3"/>
      <sheetName val="AGING"/>
      <sheetName val="페이지"/>
      <sheetName val="Customer List"/>
      <sheetName val="Supply List"/>
      <sheetName val="합계잔액시산표"/>
      <sheetName val="재무상태표"/>
      <sheetName val="이익잉여금처분계산서"/>
      <sheetName val="sisan"/>
      <sheetName val="TCA"/>
      <sheetName val="Calcs for Sensitivy"/>
      <sheetName val="DCF Inputs"/>
      <sheetName val="제조"/>
      <sheetName val="99사업소득정산"/>
      <sheetName val="dartBS"/>
      <sheetName val="B4.1"/>
      <sheetName val="dartIS"/>
      <sheetName val="B4.2"/>
      <sheetName val="PL (2)"/>
      <sheetName val="TB"/>
      <sheetName val="부채계정"/>
      <sheetName val="현장실사결과요약"/>
      <sheetName val="전체"/>
      <sheetName val="WELDING"/>
      <sheetName val="1.외주공사"/>
      <sheetName val="LEAD-WBS"/>
      <sheetName val="경비공통"/>
      <sheetName val="협조전"/>
      <sheetName val="TEMP"/>
      <sheetName val="JA"/>
      <sheetName val="제조98"/>
      <sheetName val="인건비예산(정규직)"/>
      <sheetName val="인건비예산(용역)"/>
      <sheetName val="수불부"/>
      <sheetName val="계정명세"/>
      <sheetName val="admin"/>
      <sheetName val="실행철강하도"/>
      <sheetName val="M1master"/>
      <sheetName val="수정분개"/>
      <sheetName val="받check"/>
      <sheetName val="단기대여금"/>
      <sheetName val="보증금"/>
      <sheetName val="비교"/>
      <sheetName val="control sheet"/>
      <sheetName val="월별재고예상(감량전)"/>
      <sheetName val="A-LINE"/>
      <sheetName val="BM_NEW2"/>
      <sheetName val="LCGRAPH"/>
      <sheetName val="F-1,2"/>
      <sheetName val="수정시산표"/>
      <sheetName val="Balance sheet"/>
      <sheetName val="경제성분석"/>
      <sheetName val="지역별약정(당일)"/>
      <sheetName val="세무서코드"/>
      <sheetName val="가수금대체"/>
      <sheetName val="일위대가(여기까지)"/>
      <sheetName val="TEMP1"/>
      <sheetName val="업무분장 "/>
      <sheetName val="이자율"/>
      <sheetName val="표건"/>
      <sheetName val="현장별미수"/>
      <sheetName val="과"/>
      <sheetName val="공통가설"/>
      <sheetName val="미착기계"/>
      <sheetName val="Input"/>
      <sheetName val="이자수익1"/>
      <sheetName val="F4-F7"/>
      <sheetName val="부재료입고집계"/>
      <sheetName val="OtherKPI"/>
      <sheetName val="09_1분기실적"/>
      <sheetName val="118_세금과공과"/>
      <sheetName val="기계경비(시간당)"/>
      <sheetName val="램머"/>
      <sheetName val="보조부문비배부"/>
      <sheetName val="6월추가불출"/>
      <sheetName val="계정code"/>
      <sheetName val="수입원가(원료)"/>
      <sheetName val="수입원가(첨가제)"/>
      <sheetName val="ins"/>
      <sheetName val="Property"/>
      <sheetName val="공수견적"/>
      <sheetName val="01_성적표"/>
      <sheetName val="DSL"/>
      <sheetName val="B"/>
      <sheetName val="특정현금과예금"/>
      <sheetName val="region"/>
      <sheetName val="당좌예금"/>
      <sheetName val="K55BOM"/>
      <sheetName val="C"/>
      <sheetName val="MACRO2"/>
      <sheetName val="유효성검사"/>
      <sheetName val="업무분장_"/>
      <sheetName val="Template"/>
      <sheetName val="현금"/>
      <sheetName val="충당금"/>
      <sheetName val="CoA map"/>
      <sheetName val="LTEURPSY"/>
      <sheetName val="199-0150"/>
      <sheetName val="지급보증금74"/>
      <sheetName val="LTFX"/>
      <sheetName val="수도"/>
      <sheetName val="수도종합"/>
      <sheetName val="목차_(2)"/>
      <sheetName val="Training"/>
      <sheetName val="Facility Information"/>
      <sheetName val="General"/>
      <sheetName val="Instructions"/>
      <sheetName val="People"/>
      <sheetName val="Quality"/>
      <sheetName val="Risk"/>
      <sheetName val="Tool"/>
      <sheetName val="출퇴근"/>
      <sheetName val="업무분장"/>
      <sheetName val="영업_일1"/>
      <sheetName val="영업_일"/>
      <sheetName val="목차_(2)1"/>
      <sheetName val="영업_일11"/>
      <sheetName val="영업_일2"/>
      <sheetName val="매월결산_(석탑반영)1"/>
      <sheetName val="매월결산_(감사제시확정)1"/>
      <sheetName val="금액내역서"/>
      <sheetName val="장기차입금"/>
      <sheetName val="97년추정손익계산서"/>
      <sheetName val="범례"/>
      <sheetName val="Usd"/>
      <sheetName val="0001new"/>
      <sheetName val="내역서"/>
      <sheetName val="3-4현"/>
      <sheetName val="3-3현"/>
      <sheetName val="당연"/>
      <sheetName val="정의"/>
      <sheetName val="국내진행95년이전"/>
      <sheetName val="경영비율 "/>
      <sheetName val="관세"/>
      <sheetName val="8월현금흐름표"/>
      <sheetName val="2001급여"/>
      <sheetName val="9609Aß"/>
      <sheetName val="A"/>
      <sheetName val="HSA"/>
      <sheetName val="7_(2)"/>
      <sheetName val="완성차_미수금"/>
      <sheetName val="Net_PL"/>
      <sheetName val="Net_PL(세분류)"/>
      <sheetName val="Net_PL(소분류)"/>
      <sheetName val="반기_유가증권"/>
      <sheetName val="00'미수"/>
      <sheetName val="Update"/>
      <sheetName val="P&amp;L"/>
      <sheetName val="손익합산"/>
      <sheetName val="합천내역"/>
      <sheetName val="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L"/>
      <sheetName val="시산표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1"/>
      <sheetName val="0002"/>
      <sheetName val="0006"/>
      <sheetName val="Sheet1"/>
      <sheetName val="Sheet2"/>
      <sheetName val="Sheet3"/>
      <sheetName val="시산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액내역서"/>
      <sheetName val="수목표준대가"/>
    </sheetNames>
    <sheetDataSet>
      <sheetData sheetId="0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09Aß"/>
      <sheetName val="기본정보"/>
      <sheetName val="출입자명단"/>
      <sheetName val="LIST"/>
      <sheetName val="현금및현금등가물"/>
      <sheetName val="REV-ENG"/>
      <sheetName val="1997"/>
      <sheetName val="97년"/>
      <sheetName val="시산표"/>
      <sheetName val="송전기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Adjustment"/>
      <sheetName val="SOA"/>
      <sheetName val="2002 Adj-Mgt"/>
      <sheetName val="2002 PwC-Prel"/>
      <sheetName val="2001 Adj-Mgt"/>
      <sheetName val="Bef.2001 PwC Rf.Adj"/>
      <sheetName val="2001 PwC Adj"/>
      <sheetName val="TB BS"/>
      <sheetName val="TB P&amp;L"/>
      <sheetName val="RE Change"/>
      <sheetName val="AR-OR"/>
      <sheetName val="201131"/>
      <sheetName val="BT Analysis"/>
      <sheetName val="Non-Oprat"/>
      <sheetName val="FA ADJ"/>
      <sheetName val="FA movement"/>
      <sheetName val="Diff BD"/>
      <sheetName val="Depreciation"/>
      <sheetName val="From Wutao"/>
      <sheetName val="Diff-Wutao"/>
      <sheetName val="Worksheet"/>
      <sheetName val="O TB Total 2"/>
      <sheetName val="Ora TB Total"/>
      <sheetName val="Ora 02-12-31"/>
      <sheetName val="SAP 01-12-31"/>
      <sheetName val="Finance Exp."/>
      <sheetName val="Ora 02-09-30"/>
      <sheetName val="Ora 01-12-31"/>
      <sheetName val="SAP 01_12_31"/>
      <sheetName val="9607"/>
      <sheetName val="chart 1"/>
      <sheetName val="Details"/>
      <sheetName val="IS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7"/>
      <sheetName val="97년"/>
      <sheetName val="의왕F사"/>
      <sheetName val="가공사"/>
      <sheetName val="종합"/>
      <sheetName val="전체유통비용"/>
      <sheetName val="CP93-97"/>
      <sheetName val="출입자명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채"/>
      <sheetName val="카드채"/>
      <sheetName val="미수금"/>
      <sheetName val="선급비용"/>
      <sheetName val="본점"/>
      <sheetName val="재고"/>
      <sheetName val="저장품"/>
      <sheetName val="전화"/>
      <sheetName val="임차보"/>
      <sheetName val="영업보"/>
      <sheetName val="고정자산"/>
      <sheetName val="무형자산"/>
      <sheetName val="매입채무"/>
      <sheetName val="미지급금"/>
      <sheetName val="선수금"/>
      <sheetName val="예수금"/>
      <sheetName val="예수보"/>
      <sheetName val="상품매출액"/>
      <sheetName val="에누리"/>
      <sheetName val="매출액"/>
      <sheetName val="매출원가"/>
      <sheetName val="세금공과"/>
      <sheetName val="영업외수익"/>
      <sheetName val="영업외비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설중인자산(기타)"/>
      <sheetName val="계정별보조원장"/>
      <sheetName val="건설중인자산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문손익"/>
      <sheetName val="npv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-fasson"/>
      <sheetName val="sch-fasson(회사)"/>
      <sheetName val="TB-FASSON"/>
      <sheetName val="sco-fastner"/>
      <sheetName val="TB-FASTNER"/>
      <sheetName val="TB-CON"/>
      <sheetName val="BS"/>
      <sheetName val="BS (2)"/>
      <sheetName val="PL"/>
      <sheetName val="PL (2)"/>
      <sheetName val="현금흐름 work"/>
      <sheetName val="현금흐름표99"/>
      <sheetName val="보고제조원가명세"/>
      <sheetName val="판관비"/>
      <sheetName val="fastner 제조원가"/>
      <sheetName val="fasson제조원가"/>
      <sheetName val="대충조정명세"/>
      <sheetName val="BS for CTR"/>
      <sheetName val="PL for CTR"/>
      <sheetName val="COGS for CTR"/>
      <sheetName val="판관비 for CTR"/>
      <sheetName val="노동부"/>
      <sheetName val="공통비"/>
      <sheetName val="수정시산표"/>
      <sheetName val="13역무손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  <sheetName val="지역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한은행1"/>
      <sheetName val="유가증권 결산"/>
      <sheetName val="유가증권명세서"/>
      <sheetName val="유가증권명세 결산"/>
      <sheetName val="증권유동성대체"/>
      <sheetName val="투자유가증권 결산"/>
      <sheetName val="투유결산"/>
      <sheetName val="투자유가증권명세 결산"/>
      <sheetName val="투자유가증권평가손익"/>
      <sheetName val="단기대여금"/>
      <sheetName val="관계회사대여금"/>
      <sheetName val="출자금"/>
      <sheetName val="관계회사주식"/>
      <sheetName val="장기선급비용"/>
      <sheetName val="총차입금"/>
      <sheetName val="유동성대체명세"/>
      <sheetName val="유동성장기부채"/>
      <sheetName val="단기차입금"/>
      <sheetName val="장기차입금"/>
      <sheetName val="외화장기차입금"/>
      <sheetName val="장기성미지급금 "/>
      <sheetName val="유동성사채"/>
      <sheetName val="사채명세서"/>
      <sheetName val="이자수입"/>
      <sheetName val="이자비용"/>
      <sheetName val="사채이자명세서"/>
      <sheetName val="조정리스료명세서"/>
      <sheetName val="환율조정차,대"/>
      <sheetName val="Sheet1"/>
      <sheetName val="Sheet2"/>
      <sheetName val="Sheet3"/>
      <sheetName val="조정전"/>
      <sheetName val="외상매출금"/>
      <sheetName val="합계"/>
      <sheetName val="금형대장"/>
      <sheetName val="code"/>
      <sheetName val="상품입력"/>
      <sheetName val="원재료입력"/>
      <sheetName val="합계잔액시산표"/>
      <sheetName val="외화"/>
      <sheetName val="sum"/>
      <sheetName val="total PTT DWDM"/>
      <sheetName val="W-MOK-M"/>
      <sheetName val="FACTOR"/>
      <sheetName val="판관비 명세서"/>
      <sheetName val="효율계획(당월)"/>
      <sheetName val="전체실적"/>
      <sheetName val="작성양식"/>
      <sheetName val="#REF"/>
      <sheetName val="노c"/>
      <sheetName val="수h"/>
      <sheetName val="DATA"/>
      <sheetName val="0901-퇴직율"/>
      <sheetName val="찍기"/>
      <sheetName val="2 카드채권(대출포함)"/>
      <sheetName val="득점현황"/>
      <sheetName val="CAUDIT"/>
      <sheetName val="2007年-YG汇总"/>
      <sheetName val="월간"/>
      <sheetName val="단자차입일별"/>
      <sheetName val="시산표12월(수정후)"/>
      <sheetName val="INDIA-ML"/>
      <sheetName val="직원신상"/>
      <sheetName val="1주"/>
      <sheetName val="2주"/>
      <sheetName val="3주"/>
      <sheetName val="4주"/>
      <sheetName val="1월"/>
      <sheetName val="(참고)항공료표준"/>
      <sheetName val="Krw"/>
      <sheetName val="울산"/>
      <sheetName val="점유면적"/>
      <sheetName val="control sheet"/>
      <sheetName val="유가증권_결산"/>
      <sheetName val="유가증권명세_결산"/>
      <sheetName val="투자유가증권_결산"/>
      <sheetName val="투자유가증권명세_결산"/>
      <sheetName val="장기성미지급금_"/>
      <sheetName val="별첨1"/>
      <sheetName val="total_PTT_DWDM"/>
      <sheetName val="판관비_명세서"/>
      <sheetName val="2_카드채권(대출포함)"/>
      <sheetName val="control_sheet"/>
      <sheetName val="코드"/>
      <sheetName val="10월당직"/>
      <sheetName val="별제권_정리담보권"/>
      <sheetName val="COBS"/>
      <sheetName val="rt"/>
      <sheetName val="0901-"/>
      <sheetName val="WEIGHT"/>
      <sheetName val="지점장"/>
      <sheetName val="경영현황"/>
      <sheetName val="수리결과"/>
      <sheetName val="Asset Class_KIFRS"/>
      <sheetName val="시설이용권명세서"/>
      <sheetName val="19.매출채권aging"/>
      <sheetName val="유효성"/>
      <sheetName val="VM(유압)"/>
      <sheetName val="97손익계획"/>
      <sheetName val="손익"/>
      <sheetName val="RD제품개발투자비(매가)"/>
      <sheetName val="합잔"/>
      <sheetName val="매출채권(외출)"/>
      <sheetName val="EXPAN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(00상)"/>
      <sheetName val="손익98 (2)"/>
      <sheetName val="손익99"/>
      <sheetName val="손익98"/>
      <sheetName val="손익97"/>
      <sheetName val="손익APM"/>
      <sheetName val="손익LPA"/>
      <sheetName val="손익핵산"/>
      <sheetName val="손익CR"/>
      <sheetName val="미원류"/>
      <sheetName val="핵산,당류"/>
      <sheetName val="핵산,당류 (2)"/>
      <sheetName val="사무소배부"/>
      <sheetName val="요약"/>
      <sheetName val="손익APM (2)"/>
      <sheetName val="손익LPA (2)"/>
      <sheetName val="손익핵산 (2)"/>
      <sheetName val="손익CR (2)"/>
      <sheetName val="미원류 (2)"/>
      <sheetName val="핵산,당류 (3)"/>
      <sheetName val="표지"/>
      <sheetName val="목차"/>
      <sheetName val="미원"/>
      <sheetName val="경영계획"/>
      <sheetName val="보정전"/>
      <sheetName val="Cement IS"/>
      <sheetName val="3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-신용"/>
      <sheetName val="외부공시BS"/>
      <sheetName val="외부공시BS (2)"/>
      <sheetName val="PL-신용"/>
      <sheetName val="외부공시IS"/>
      <sheetName val="외부공시IS (2)"/>
      <sheetName val="F1,2"/>
      <sheetName val="F3"/>
      <sheetName val="F4"/>
      <sheetName val="F5"/>
      <sheetName val="F6"/>
      <sheetName val="control sheet"/>
      <sheetName val="판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첨부1"/>
      <sheetName val="입찰안"/>
      <sheetName val="노임이"/>
      <sheetName val="수입"/>
      <sheetName val="A4288"/>
      <sheetName val="공통가설"/>
      <sheetName val="간접"/>
      <sheetName val="집계표"/>
      <sheetName val="손익"/>
      <sheetName val="현금흐름"/>
      <sheetName val="SG"/>
      <sheetName val="수정시산표"/>
      <sheetName val="주택"/>
      <sheetName val="주택(백만원)"/>
      <sheetName val="신공항A-9(원가수정)"/>
      <sheetName val="KUNGDEVI"/>
      <sheetName val="손익분석"/>
      <sheetName val="자바라1"/>
      <sheetName val="관로내역원"/>
      <sheetName val="SUMMARY"/>
      <sheetName val="PAINT"/>
      <sheetName val="손익기01"/>
      <sheetName val="그래프"/>
      <sheetName val="GDP"/>
      <sheetName val="5Traffic1"/>
      <sheetName val="부문인원3"/>
      <sheetName val="C-A(취합)파리"/>
      <sheetName val="시멘트"/>
      <sheetName val="Sheet1"/>
      <sheetName val="CTEMCOST"/>
      <sheetName val="ELECTRIC"/>
      <sheetName val="현장관리비"/>
      <sheetName val="감독1130"/>
      <sheetName val="COL"/>
      <sheetName val="동선(을)"/>
      <sheetName val="인사자료총집계"/>
      <sheetName val="전계가"/>
      <sheetName val="원가계산서"/>
      <sheetName val="금액내역서"/>
      <sheetName val="변경실행(2차) "/>
      <sheetName val="설계내역서"/>
      <sheetName val="CC Down load 0716"/>
      <sheetName val="화물2팀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내역"/>
      <sheetName val="실행내역"/>
      <sheetName val="예가표"/>
      <sheetName val="유동성사채"/>
      <sheetName val="나.출고"/>
      <sheetName val="나.입고"/>
      <sheetName val="8월차잔"/>
      <sheetName val="금융"/>
      <sheetName val="결재인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월말명세0912"/>
      <sheetName val="11.외화채무증권(AFS,HTM)08"/>
      <sheetName val="Hedge09"/>
      <sheetName val="13.감액TEST_08"/>
      <sheetName val="해외채권"/>
      <sheetName val="BS09"/>
      <sheetName val="호프"/>
      <sheetName val="공사개요"/>
      <sheetName val="  한국 AMP ASP-23 판매가격  "/>
      <sheetName val="산근"/>
      <sheetName val="여흥"/>
      <sheetName val="APT"/>
      <sheetName val="b_balju (2)"/>
      <sheetName val="b_gunmul"/>
      <sheetName val="Calen"/>
      <sheetName val="시산표(매출조정전)"/>
      <sheetName val="ADR"/>
      <sheetName val="공사비집계"/>
      <sheetName val="갑지(추정)"/>
      <sheetName val="SCHEDULE"/>
      <sheetName val="ABUT수량-A1"/>
      <sheetName val="노임단가"/>
      <sheetName val="982월원안"/>
      <sheetName val="내역서"/>
      <sheetName val="TR제작사양"/>
      <sheetName val="장기대여금1"/>
      <sheetName val="중기조종사 단위단가"/>
      <sheetName val="노무비"/>
      <sheetName val="견적의뢰"/>
      <sheetName val="화의-현금흐름"/>
      <sheetName val="6PILE  (돌출)"/>
      <sheetName val="JUCKEYK"/>
      <sheetName val="#REF"/>
      <sheetName val="기성청구 공문"/>
      <sheetName val="IW-LIST"/>
      <sheetName val="점수계산1-2"/>
      <sheetName val="인원계획-미화"/>
      <sheetName val="요약"/>
      <sheetName val="감가상각"/>
      <sheetName val="97년추정손익계산서"/>
      <sheetName val="45,46"/>
      <sheetName val="정산표"/>
      <sheetName val="MIBK원단위"/>
      <sheetName val="RECIMAKE"/>
      <sheetName val="Proposal"/>
      <sheetName val="SM1-09"/>
      <sheetName val="SM2-09"/>
      <sheetName val="BD-09"/>
      <sheetName val="7 (2)"/>
      <sheetName val="表21 净利润调节表"/>
      <sheetName val="12년 CF(9월)"/>
      <sheetName val="상각스케쥴(조정)"/>
      <sheetName val="공통비총괄표"/>
      <sheetName val="Variables"/>
      <sheetName val="제조원가 원단위 분석"/>
      <sheetName val="종합표양식(품의 &amp; 입고)_2"/>
      <sheetName val="유림골조"/>
      <sheetName val="기본DATA"/>
      <sheetName val="추가예산"/>
      <sheetName val="Sheet13"/>
      <sheetName val="Sheet14"/>
      <sheetName val="DATA"/>
      <sheetName val="실적공사"/>
      <sheetName val="업무처리전"/>
      <sheetName val="방배동내역(리라)"/>
      <sheetName val="woo(mac)"/>
      <sheetName val="기계경비(시간당)"/>
      <sheetName val="램머"/>
      <sheetName val="원가관리 (동월대비)"/>
      <sheetName val="금융비용"/>
      <sheetName val="총괄내역서"/>
      <sheetName val="980731"/>
      <sheetName val="익월수주전망"/>
      <sheetName val="광곡세부내역"/>
      <sheetName val="2연암거"/>
      <sheetName val="경사수로집계표"/>
      <sheetName val="경사수로"/>
      <sheetName val="진입교량"/>
      <sheetName val="2-2.매출분석"/>
      <sheetName val="A-100전제"/>
      <sheetName val="몰드시스템 리스트"/>
      <sheetName val="입찰내역서"/>
      <sheetName val="SO416"/>
      <sheetName val="개발비자산성검토"/>
      <sheetName val="가공MH"/>
      <sheetName val="08년(Form1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실행철강하도"/>
      <sheetName val="일위대가표"/>
      <sheetName val="수주현황2월"/>
      <sheetName val="재료"/>
      <sheetName val="MIJIBI"/>
      <sheetName val="SIL98"/>
      <sheetName val="일위대가"/>
      <sheetName val="대비표"/>
      <sheetName val="A-4"/>
      <sheetName val="골조시행"/>
      <sheetName val="업무연락"/>
      <sheetName val="Ethylene"/>
      <sheetName val="월별매출"/>
      <sheetName val="ChlorAlkali"/>
      <sheetName val="VXXXXXXX"/>
      <sheetName val="지점장"/>
      <sheetName val="부서코드표"/>
      <sheetName val="양식(직판용)"/>
      <sheetName val="部署名"/>
      <sheetName val="車両別燃費及び油類単価"/>
      <sheetName val="퇴충"/>
      <sheetName val="1_종합손익(도급)1"/>
      <sheetName val="물량표"/>
      <sheetName val="미드수량"/>
      <sheetName val="참조"/>
      <sheetName val="DATE"/>
      <sheetName val="공통부대관리"/>
      <sheetName val="예정(3)"/>
      <sheetName val="총내역서"/>
      <sheetName val="CAUDIT"/>
      <sheetName val="S&amp;R"/>
      <sheetName val="93"/>
      <sheetName val="동원(3)"/>
      <sheetName val="토목검측서"/>
      <sheetName val="정비손익"/>
      <sheetName val="200"/>
      <sheetName val="단가표"/>
      <sheetName val="slipsumpR"/>
      <sheetName val="Borrower"/>
      <sheetName val="중요02월25일"/>
      <sheetName val="단가추이"/>
      <sheetName val="경유량추이"/>
      <sheetName val="RE9604"/>
      <sheetName val="평가제외"/>
      <sheetName val="역T형"/>
      <sheetName val="단가산출"/>
      <sheetName val="13월별BS"/>
      <sheetName val="집행내역"/>
      <sheetName val="Sheet1 (2)"/>
      <sheetName val="하수급견적대비"/>
      <sheetName val="원가(통신)"/>
      <sheetName val="推移グラフ"/>
      <sheetName val="참조시트"/>
      <sheetName val="BAND(200)"/>
      <sheetName val="OUTER AREA(겹침없음)"/>
      <sheetName val="EG-09"/>
      <sheetName val="M3산출"/>
      <sheetName val="EL 표면적"/>
      <sheetName val="현장지지물물량"/>
      <sheetName val="시산표"/>
      <sheetName val="표지"/>
      <sheetName val="설비원가"/>
      <sheetName val="재고현황"/>
      <sheetName val="발행제기"/>
      <sheetName val="2.대외공문"/>
      <sheetName val="목록"/>
      <sheetName val="중기"/>
      <sheetName val="연돌일위집계"/>
      <sheetName val="원가계산하도"/>
      <sheetName val="LinerWt"/>
      <sheetName val="D-623D"/>
      <sheetName val="BQMPALOC"/>
      <sheetName val="세부내역서"/>
      <sheetName val="Total"/>
      <sheetName val="조명시설"/>
      <sheetName val="XZLC004_PART2"/>
      <sheetName val="XZLC003_PART1"/>
      <sheetName val="37개월"/>
      <sheetName val="주형"/>
      <sheetName val="sum1 (2)"/>
      <sheetName val="적격"/>
      <sheetName val="손익현황"/>
      <sheetName val="현황CODE"/>
      <sheetName val="영동(D)"/>
      <sheetName val="조경"/>
      <sheetName val="입찰보고"/>
      <sheetName val="월별예산"/>
      <sheetName val="3.바닥판설계"/>
      <sheetName val="Year"/>
      <sheetName val="월별수입"/>
      <sheetName val="차수"/>
      <sheetName val="담보"/>
      <sheetName val="1유리"/>
      <sheetName val="예적금"/>
      <sheetName val="월별손익"/>
      <sheetName val="매출"/>
      <sheetName val="BEST"/>
      <sheetName val="2.총괄표"/>
      <sheetName val="입찰내역 발주처 양식"/>
      <sheetName val="산출근거"/>
      <sheetName val="일위(토목)"/>
      <sheetName val="_x0018__x0000_"/>
      <sheetName val=""/>
      <sheetName val="실행간접비용"/>
      <sheetName val="물량표(신)"/>
      <sheetName val="대공종"/>
      <sheetName val="적용건축"/>
      <sheetName val="품셈TABLE"/>
      <sheetName val="原価センタ"/>
      <sheetName val="통장출금액"/>
      <sheetName val="카메라"/>
      <sheetName val="실적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부하계산서"/>
      <sheetName val="자재단가"/>
      <sheetName val="504전기실 동부하-L"/>
      <sheetName val="Sheet15"/>
      <sheetName val="Sheet9"/>
      <sheetName val="DUT-BAT1"/>
      <sheetName val="감가상각비"/>
      <sheetName val="완제품3"/>
      <sheetName val="비가동-20"/>
      <sheetName val="FAB"/>
      <sheetName val="Prices"/>
      <sheetName val="조정내역"/>
      <sheetName val="CF6"/>
      <sheetName val="양식3"/>
      <sheetName val="P.M 별"/>
      <sheetName val="FRQ"/>
      <sheetName val="기준"/>
      <sheetName val="수지"/>
      <sheetName val="_x005f_x0018_"/>
      <sheetName val="1.차입금"/>
      <sheetName val="choose"/>
      <sheetName val="위탁매매_1103"/>
      <sheetName val="자기매매_1103"/>
      <sheetName val="위탁매매_1109"/>
      <sheetName val="자기매매_1109"/>
      <sheetName val="Data Validation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5"/>
      <sheetName val="Sheet8"/>
      <sheetName val="Sheet4"/>
      <sheetName val="슬래브"/>
      <sheetName val="국내총괄"/>
      <sheetName val="특판제외"/>
      <sheetName val="건축공사실행"/>
      <sheetName val="건축원가"/>
      <sheetName val="5사남"/>
      <sheetName val="020114"/>
      <sheetName val="0111월"/>
      <sheetName val="품셈표"/>
      <sheetName val="갑근세납세필증명원"/>
      <sheetName val="주현(해보)"/>
      <sheetName val="주현(영광)"/>
      <sheetName val="입출재고현황 (2)"/>
      <sheetName val="요약PL"/>
      <sheetName val="TRE TABLE"/>
      <sheetName val="C3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01_02월_성과급"/>
      <sheetName val="Process List"/>
      <sheetName val="설비등록목록"/>
      <sheetName val="생산직"/>
      <sheetName val="집계확인"/>
      <sheetName val="선수금"/>
      <sheetName val="Sheet11"/>
      <sheetName val="PVM#10"/>
      <sheetName val="재공품"/>
      <sheetName val="제시 손익계산서"/>
      <sheetName val="제시PL(최종)"/>
      <sheetName val="업무연락 (2)"/>
      <sheetName val="제시대차대조표"/>
      <sheetName val="M_7회차 담금_계획"/>
      <sheetName val="통합손익(TGIF)"/>
      <sheetName val="통합손익"/>
      <sheetName val="저속"/>
      <sheetName val="01.02월 성과급"/>
      <sheetName val="발생집계"/>
      <sheetName val="96PAYC"/>
      <sheetName val="뒤차축소"/>
      <sheetName val="09~10년 매출계획"/>
      <sheetName val="??"/>
      <sheetName val="97 사업추정(WEKI)"/>
      <sheetName val="Sound9월"/>
      <sheetName val="_x005f_x0000__x005f_x0000_"/>
      <sheetName val="96월별PL"/>
      <sheetName val="팀별 실적"/>
      <sheetName val="팀별 실적 (환산)"/>
      <sheetName val="손익(11)_수출포함"/>
      <sheetName val="예산대실적"/>
      <sheetName val="품종별월계"/>
      <sheetName val="출입자명단"/>
      <sheetName val="989월실행"/>
      <sheetName val="환산TB"/>
      <sheetName val="6월 공정외주"/>
      <sheetName val="공정단가계약"/>
      <sheetName val="병"/>
      <sheetName val="64061000"/>
      <sheetName val="건축내역"/>
      <sheetName val="단가(반정3교-원주)"/>
      <sheetName val="주행"/>
      <sheetName val="1_종합손익(도급)2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변경실행(2차)_1"/>
      <sheetName val="CC_Down_load_07161"/>
      <sheetName val="나_출고1"/>
      <sheetName val="나_입고1"/>
      <sheetName val="__한국_AMP_ASP-23_판매가격__"/>
      <sheetName val="09년_인건비(속리산)1"/>
      <sheetName val="합산목표(감가+57_5)1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7_(2)"/>
      <sheetName val="12년_CF(9월)"/>
      <sheetName val="중기조종사_단위단가"/>
      <sheetName val="6PILE__(돌출)"/>
      <sheetName val="기성청구_공문1"/>
      <sheetName val="Sheet1_(2)"/>
      <sheetName val="2_대외공문"/>
      <sheetName val="表21_净利润调节表"/>
      <sheetName val="sum1_(2)"/>
      <sheetName val="3_바닥판설계"/>
      <sheetName val="504전기실_동부하-L"/>
      <sheetName val="2_총괄표"/>
      <sheetName val="OUTER_AREA(겹침없음)"/>
      <sheetName val="EL_표면적"/>
      <sheetName val="KAM설비"/>
      <sheetName val="변동인원"/>
      <sheetName val="설계명세서"/>
      <sheetName val="전신환매도율"/>
      <sheetName val="1_종합손익(도급)3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변경실행(2차)_2"/>
      <sheetName val="CC_Down_load_07162"/>
      <sheetName val="나_출고2"/>
      <sheetName val="나_입고2"/>
      <sheetName val="09년_인건비(속리산)2"/>
      <sheetName val="합산목표(감가+57_5)2"/>
      <sheetName val="__한국_AMP_ASP-23_판매가격__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7_(2)1"/>
      <sheetName val="12년_CF(9월)1"/>
      <sheetName val="중기조종사_단위단가1"/>
      <sheetName val="6PILE__(돌출)1"/>
      <sheetName val="기성청구_공문2"/>
      <sheetName val="Sheet1_(2)1"/>
      <sheetName val="2_대외공문1"/>
      <sheetName val="表21_净利润调节表1"/>
      <sheetName val="sum1_(2)1"/>
      <sheetName val="3_바닥판설계1"/>
      <sheetName val="504전기실_동부하-L1"/>
      <sheetName val="2_총괄표1"/>
      <sheetName val="OUTER_AREA(겹침없음)1"/>
      <sheetName val="EL_표면적1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입찰내역_발주처_양식"/>
      <sheetName val="Data_Validation"/>
      <sheetName val="품목코드표"/>
      <sheetName val="B-1.기본정보"/>
      <sheetName val="해외 기술훈련비 (합계)"/>
      <sheetName val="접대비"/>
      <sheetName val="근거 및 가정"/>
      <sheetName val="2 카드채권(대출포함)"/>
      <sheetName val="Training"/>
      <sheetName val="Facility Information"/>
      <sheetName val="General"/>
      <sheetName val="Instructions"/>
      <sheetName val="People"/>
      <sheetName val="Quality"/>
      <sheetName val="Risk"/>
      <sheetName val="주차"/>
      <sheetName val="A"/>
      <sheetName val="0001new"/>
      <sheetName val="회사정보"/>
      <sheetName val="Utility Usage YTN TOWER"/>
      <sheetName val="자금추ȕ"/>
      <sheetName val="05년말(건재)"/>
      <sheetName val="2.주요계수총괄"/>
      <sheetName val="물량표S"/>
      <sheetName val="INPUT"/>
      <sheetName val="일위(PN)"/>
      <sheetName val="1.본사계정별"/>
      <sheetName val="cp-e1"/>
      <sheetName val="Y-WORK"/>
      <sheetName val="부서별집계표"/>
      <sheetName val="금년실적"/>
      <sheetName val="부속동"/>
      <sheetName val="경비"/>
      <sheetName val="기초"/>
      <sheetName val="재무상태표"/>
      <sheetName val="최소가치(간편)-회계"/>
      <sheetName val="회사제시"/>
      <sheetName val="Bond"/>
      <sheetName val="118.세금과공과"/>
      <sheetName val="수선비"/>
      <sheetName val="15년"/>
      <sheetName val="16년"/>
      <sheetName val="_x005f_x0018__x005f_x0000_"/>
      <sheetName val="본문"/>
      <sheetName val="95하U$가격"/>
      <sheetName val="Manual"/>
      <sheetName val="원본"/>
      <sheetName val="공사비증감"/>
      <sheetName val="설산1.나"/>
      <sheetName val="본사S"/>
      <sheetName val="要員用master"/>
      <sheetName val="钢板差异"/>
      <sheetName val="시험연구비상각"/>
      <sheetName val="외화"/>
      <sheetName val="Tong hop"/>
      <sheetName val="MarketData"/>
      <sheetName val="Definitions"/>
      <sheetName val="95.1.1이후취득자산(숨기기상태)"/>
      <sheetName val="RV미수수익보정"/>
      <sheetName val="불균등-거치외(미수)"/>
      <sheetName val="불균등-TOP(선수)"/>
      <sheetName val="법인구분"/>
      <sheetName val="기초코드"/>
      <sheetName val="1.MDF1공장"/>
      <sheetName val="제1호"/>
      <sheetName val="차액보증"/>
      <sheetName val="원가서"/>
      <sheetName val="특외대"/>
      <sheetName val=" 견적서"/>
      <sheetName val="ETC"/>
      <sheetName val="3.6.2남양주택배"/>
      <sheetName val="구성비"/>
      <sheetName val="Back Data 1"/>
      <sheetName val="CC16-내역서"/>
      <sheetName val="Project Brief"/>
      <sheetName val="자금운용계획표"/>
      <sheetName val="__"/>
      <sheetName val="찍기"/>
      <sheetName val="단가일람"/>
      <sheetName val="단위량당중기"/>
      <sheetName val="수량집계표(舊)"/>
      <sheetName val="BOX-1510"/>
      <sheetName val="부대공"/>
      <sheetName val="신공"/>
      <sheetName val="현금"/>
      <sheetName val="경비2내역"/>
      <sheetName val="슬래԰"/>
      <sheetName val="슬래"/>
      <sheetName val="슬래렀"/>
      <sheetName val="슬래㰀"/>
      <sheetName val="총괄표"/>
      <sheetName val="GAEYO"/>
      <sheetName val="내역표지"/>
      <sheetName val="교각계산"/>
      <sheetName val="공통비(전체)"/>
      <sheetName val="토목공사"/>
      <sheetName val="새공통(96임금인상기준)"/>
      <sheetName val="비교1"/>
      <sheetName val="유림총괄"/>
      <sheetName val="PIPE"/>
      <sheetName val="FLANGE"/>
      <sheetName val="VALVE"/>
      <sheetName val="단면 (2)"/>
      <sheetName val="MEMORY"/>
      <sheetName val="정부노임단가"/>
      <sheetName val="한강운반비"/>
      <sheetName val="동절기투입(자재)"/>
      <sheetName val="전도품의"/>
      <sheetName val="직재"/>
      <sheetName val="PAD TR보호대기초"/>
      <sheetName val="HANDHOLE(2)"/>
      <sheetName val="가로등기초"/>
      <sheetName val="YES-T"/>
      <sheetName val="음료실행"/>
      <sheetName val="철골공사"/>
      <sheetName val="슬래밀"/>
      <sheetName val="선급비용"/>
      <sheetName val="슬래　"/>
      <sheetName val="1월 예산"/>
      <sheetName val="슬래尀"/>
      <sheetName val="슬래⠀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공사내역"/>
      <sheetName val="슬래"/>
      <sheetName val="슬래堌"/>
      <sheetName val="슬래䰀"/>
      <sheetName val="11월"/>
      <sheetName val="22철거수량"/>
      <sheetName val="슬래簀"/>
      <sheetName val="슬래瀀"/>
      <sheetName val="슬래퀀"/>
      <sheetName val="슬래鰀"/>
      <sheetName val="슬래뀀"/>
      <sheetName val="BD%_70s"/>
      <sheetName val="내역(한신APT)"/>
      <sheetName val="FB25JN"/>
      <sheetName val="도"/>
      <sheetName val="의정부문예회관변경내역"/>
      <sheetName val="상가지급현황"/>
      <sheetName val="1. 시공측량"/>
      <sheetName val="자재목록"/>
      <sheetName val="설계명세서(선로)"/>
      <sheetName val="시화점실행"/>
      <sheetName val="전체철근집계"/>
      <sheetName val="건축2"/>
      <sheetName val="#1) 투자 구분"/>
      <sheetName val="품목"/>
      <sheetName val="분전함신설"/>
      <sheetName val="접지1종"/>
      <sheetName val="설치원가"/>
      <sheetName val="P-산#1-1(WOWA1)"/>
      <sheetName val="터파기및재료"/>
      <sheetName val="3본사"/>
      <sheetName val="98지급계획"/>
      <sheetName val="TB"/>
      <sheetName val="PL"/>
      <sheetName val="CS"/>
      <sheetName val="공정"/>
      <sheetName val="Facility_Information"/>
      <sheetName val="공사비예산서(토목분)"/>
      <sheetName val="일위대가(계측기설치)"/>
      <sheetName val="_x0018_?"/>
      <sheetName val="Master"/>
      <sheetName val="Macro1"/>
      <sheetName val="설문 평가"/>
      <sheetName val="노동부"/>
      <sheetName val="RAW"/>
      <sheetName val="4-2물건누계"/>
      <sheetName val="인수기간별S"/>
      <sheetName val="본부유지율"/>
      <sheetName val="자동차추정자료"/>
      <sheetName val="선택창"/>
      <sheetName val="외주현황.wq1"/>
      <sheetName val="예산계정INDEX"/>
      <sheetName val="환율change"/>
      <sheetName val="부하(성남)"/>
      <sheetName val="손해감소유형"/>
      <sheetName val="7"/>
      <sheetName val="항목"/>
      <sheetName val="RE"/>
      <sheetName val="FP"/>
      <sheetName val="대투_보관자료 변경"/>
      <sheetName val="내수자재"/>
      <sheetName val="손익실적"/>
      <sheetName val="손익실적(매출원가)"/>
      <sheetName val="당년사별실적"/>
      <sheetName val="VXXXX"/>
      <sheetName val="탄산"/>
      <sheetName val="감액총괄표"/>
      <sheetName val="9GNG운반"/>
      <sheetName val="납부내역총괄표 (수정)"/>
      <sheetName val="IS"/>
      <sheetName val="125PIECE"/>
      <sheetName val="소총괄표"/>
      <sheetName val="아파트연면적비율(참고1)"/>
      <sheetName val="수종별수량 (2)"/>
      <sheetName val="구간별수량"/>
      <sheetName val="전선 및 전선관"/>
      <sheetName val="연습"/>
      <sheetName val="sheet6"/>
      <sheetName val="약품공급2"/>
      <sheetName val="予算実績管理現況"/>
      <sheetName val="カテゴリ表"/>
      <sheetName val="기초정보"/>
      <sheetName val="2013.2월 연결대상"/>
      <sheetName val="BS_Package_내부거래"/>
      <sheetName val="PL_Package_내부거래"/>
      <sheetName val="수량산출"/>
      <sheetName val="일반관리비"/>
      <sheetName val="보고서"/>
      <sheetName val="1_종합손익(도급)4"/>
      <sheetName val="명단원자료(이전)"/>
      <sheetName val="Back_Data_1"/>
      <sheetName val="※유형구분분류"/>
      <sheetName val="※类型区分分类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배수공"/>
      <sheetName val="FA-LISTING"/>
      <sheetName val="추정pl"/>
      <sheetName val="합천내역"/>
      <sheetName val="전기단가조사서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b_balju_(2)2"/>
      <sheetName val="__한국_AMP_ASP-23_판매가격__2"/>
      <sheetName val="중기조종사_단위단가2"/>
      <sheetName val="6PILE__(돌출)2"/>
      <sheetName val="기성청구_공문3"/>
      <sheetName val="2_주요계수총괄"/>
      <sheetName val="제조원가_원단위_분석2"/>
      <sheetName val="종합표양식(품의_&amp;_입고)_22"/>
      <sheetName val="원가관리_(동월대비)2"/>
      <sheetName val="7_(2)2"/>
      <sheetName val="2-2_매출분석2"/>
      <sheetName val="몰드시스템_리스트2"/>
      <sheetName val="sum1_(2)2"/>
      <sheetName val="11_외화채무증권(AFS,HTM)082"/>
      <sheetName val="13_감액TEST_082"/>
      <sheetName val="Sheet1_(2)2"/>
      <sheetName val="3_바닥판설계2"/>
      <sheetName val="2_총괄표2"/>
      <sheetName val="12년_CF(9월)2"/>
      <sheetName val="Project_Brief"/>
      <sheetName val="表21_净利润调节表2"/>
      <sheetName val="입출재고현황_(2)"/>
      <sheetName val="2_대외공문2"/>
      <sheetName val="TRE_TABLE"/>
      <sheetName val="504전기실_동부하-L2"/>
      <sheetName val="OUTER_AREA(겹침없음)2"/>
      <sheetName val="EL_표면적2"/>
      <sheetName val="P_M_별1"/>
      <sheetName val="단면_(2)"/>
      <sheetName val="1_본사계정별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Process_List"/>
      <sheetName val="제시_손익계산서"/>
      <sheetName val="업무연락_(2)"/>
      <sheetName val="M_7회차_담금_계획"/>
      <sheetName val="01_02월_성과급1"/>
      <sheetName val="09~10년_매출계획"/>
      <sheetName val="97_사업추정(WEKI)"/>
      <sheetName val="팀별_실적"/>
      <sheetName val="팀별_실적_(환산)"/>
      <sheetName val="6월_공정외주"/>
      <sheetName val="Tong_hop"/>
      <sheetName val="95_1_1이후취득자산(숨기기상태)"/>
      <sheetName val="1_MDF1공장"/>
      <sheetName val="Weekly Progress(계장)"/>
      <sheetName val="表21_净利润夐#奜#"/>
      <sheetName val="판가반영"/>
      <sheetName val="KEY CODE"/>
      <sheetName val="97년"/>
      <sheetName val="????"/>
      <sheetName val="규"/>
      <sheetName val="규(3)"/>
      <sheetName val="소"/>
      <sheetName val="RE(2)"/>
      <sheetName val="4. Inj 투자상세내역"/>
      <sheetName val="3. Blow 투자 상세내역"/>
      <sheetName val="4__Inj_투자상세내역"/>
      <sheetName val="3__Blow_투자_상세내역"/>
      <sheetName val="Jul-Sep Actual cost (2)"/>
      <sheetName val="97실적"/>
      <sheetName val="을지"/>
      <sheetName val="npv"/>
      <sheetName val="13손익(실적)"/>
      <sheetName val="이름표시"/>
      <sheetName val="요일 테이블"/>
      <sheetName val="요일테이블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600ML"/>
      <sheetName val="producto"/>
      <sheetName val="Com (2PK)"/>
      <sheetName val="ctmg"/>
      <sheetName val="Asset"/>
      <sheetName val="MODELO"/>
      <sheetName val="ANS-Ap_Result_2003"/>
      <sheetName val="SupplyChainData"/>
      <sheetName val="Reasons"/>
      <sheetName val="Fun_Bl_Prod"/>
      <sheetName val="Calculos"/>
      <sheetName val="backlog"/>
      <sheetName val="기초자료"/>
      <sheetName val="Prd.Hierarchy(产品层次)"/>
      <sheetName val="Project Code"/>
      <sheetName val="Base_PEF"/>
      <sheetName val="Нарушения"/>
      <sheetName val="15년 BL 사계"/>
      <sheetName val="_손익기01.XL"/>
      <sheetName val="TargIS"/>
      <sheetName val="drop down list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ES部行动跟踪记录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[손익기01.XL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JOB_PROFILE_-_LAS"/>
      <sheetName val="Quarterly LBO Model"/>
      <sheetName val="_손익기01.XL_x005f_x0000__x005f_x0000_DePara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요일_테이블1"/>
      <sheetName val="요일_테이블_(2)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3_ISo_YTD1"/>
      <sheetName val="E_法规NC1"/>
      <sheetName val="Données_LMU1"/>
      <sheetName val="Brazil_Sovereign1"/>
      <sheetName val="Resumen_Costo1"/>
      <sheetName val="Fixed_ZBB1"/>
      <sheetName val="5_11"/>
      <sheetName val="Extract_Loss1"/>
      <sheetName val="QA_跟踪记录表1"/>
      <sheetName val="RG_Depots1"/>
      <sheetName val="material_data1"/>
      <sheetName val="other_data1"/>
      <sheetName val="Como_Estamos1"/>
      <sheetName val="Database_(RUR)Mar_YTD1"/>
      <sheetName val="SKU_Mapping1"/>
      <sheetName val="Drop_Down1"/>
      <sheetName val="Raw_Data1"/>
      <sheetName val="EBM-2_GHQ1"/>
      <sheetName val="Base_PEF1"/>
      <sheetName val="Base_de_Dados1"/>
      <sheetName val="Testing_Template_Guidance1"/>
      <sheetName val="Test_Programs1"/>
      <sheetName val="Dados_BLP1"/>
      <sheetName val="Controls_data3"/>
      <sheetName val="FJJX_Bud_IB"/>
      <sheetName val="look-up_data"/>
      <sheetName val="JOB_PROFILE_-_LAS1"/>
      <sheetName val="ARdistr_(2)1"/>
      <sheetName val="Prd_Hierarchy(产品层级)"/>
      <sheetName val="15년_BL_사계"/>
      <sheetName val="Com_(2PK)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86월원안"/>
      <sheetName val="오승"/>
      <sheetName val="팀별"/>
      <sheetName val="Action-Log"/>
      <sheetName val="Classification 分类"/>
      <sheetName val="Figures Report"/>
      <sheetName val="Set Up"/>
      <sheetName val="CONFIG"/>
      <sheetName val="Fare prices"/>
      <sheetName val="Hotel prices"/>
      <sheetName val="Intro"/>
      <sheetName val="DropDowns"/>
      <sheetName val="CPT倒罐记录"/>
      <sheetName val="extent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code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부서별12월추계액"/>
      <sheetName val="One_Pager"/>
      <sheetName val="DE-PARA"/>
      <sheetName val="FornecD"/>
      <sheetName val="FornecDAjustado"/>
      <sheetName val="전기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LE"/>
      <sheetName val="表3筛选项"/>
      <sheetName val="진천"/>
      <sheetName val="중연"/>
      <sheetName val="용연"/>
      <sheetName val="울산"/>
      <sheetName val="대구"/>
      <sheetName val="구미"/>
      <sheetName val="언양"/>
      <sheetName val="대차대조표"/>
      <sheetName val="입력자료"/>
      <sheetName val="기본연봉"/>
      <sheetName val="사원"/>
      <sheetName val="2-2.투자"/>
      <sheetName val="Proj. Fin."/>
      <sheetName val="환율표"/>
      <sheetName val="T6-6(7)"/>
      <sheetName val="입찰내역_발주처_양식1"/>
      <sheetName val="Data_Validation1"/>
      <sheetName val="부대시행1_(2)"/>
      <sheetName val="근거_및_가정"/>
      <sheetName val="2_카드채권(대출포함)"/>
      <sheetName val="118_세금과공과"/>
      <sheetName val="1_차입금"/>
      <sheetName val="해외_기술훈련비_(합계)"/>
      <sheetName val="Utility_Usage_YTN_TOWER"/>
      <sheetName val="B-1_기본정보"/>
      <sheetName val="?"/>
      <sheetName val="PAD_TR보호대기초"/>
      <sheetName val="설문_평가"/>
      <sheetName val="_견적서"/>
      <sheetName val="2-1.강사료,교통비 지급명세"/>
      <sheetName val="13.포장용역비표준"/>
      <sheetName val="9.가공부자재표준"/>
      <sheetName val="8.ROLL표준(TSW)"/>
      <sheetName val="4.톤당조관량표준"/>
      <sheetName val="5.조관부자재표준"/>
      <sheetName val="고정자산-회사제시"/>
      <sheetName val="기둥(원형)"/>
      <sheetName val="화전내"/>
      <sheetName val="수량산출내역1115"/>
      <sheetName val="개산공사비"/>
      <sheetName val="기본"/>
      <sheetName val="10월_vs_12월_채권잔액"/>
      <sheetName val="Rev. Recon 1"/>
      <sheetName val="1.고객불만건수"/>
      <sheetName val="1.변경범위"/>
      <sheetName val="9-1차이내역"/>
      <sheetName val="ITS Assumptions"/>
      <sheetName val="Proj__Fin_"/>
      <sheetName val="2-2_투자"/>
      <sheetName val="Master Data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2007전체투자세액공제_2008년처분"/>
      <sheetName val="득점현황"/>
      <sheetName val="#5"/>
      <sheetName val="#3"/>
      <sheetName val="Appendix(권장,단체)"/>
      <sheetName val="세액계산"/>
      <sheetName val="현용"/>
      <sheetName val="현장"/>
      <sheetName val="MH_생산"/>
      <sheetName val="구분List"/>
      <sheetName val="表21_净利润墨-닑⿕"/>
      <sheetName val="TO"/>
      <sheetName val="C2121"/>
      <sheetName val="C2123"/>
      <sheetName val="C2124"/>
      <sheetName val="C2125"/>
      <sheetName val="C2127"/>
      <sheetName val="C2122"/>
      <sheetName val="7.Utility Analysis"/>
      <sheetName val="Operational Activities"/>
      <sheetName val="대투_보관자료_변경"/>
      <sheetName val="상품입력"/>
      <sheetName val="월별자료"/>
      <sheetName val="Index"/>
      <sheetName val="MAT"/>
      <sheetName val="선평원내역"/>
      <sheetName val="BID"/>
      <sheetName val="식재품셈"/>
      <sheetName val="원가1"/>
      <sheetName val="원가2"/>
      <sheetName val="U_TYPE_1_"/>
      <sheetName val="C1.3.1"/>
      <sheetName val="부대공Ⅱ"/>
      <sheetName val="입찰내역 Ĉ_x0000__x0000_ᇆ"/>
      <sheetName val="입찰내역 Ĉ_x0000__x0000_ᇆ"/>
      <sheetName val="정보화기기매출"/>
      <sheetName val="compare2"/>
      <sheetName val="Krw"/>
      <sheetName val="BS"/>
      <sheetName val="소야공정계획표"/>
      <sheetName val="실행기성 갑지"/>
      <sheetName val="Eq. Mobilization"/>
      <sheetName val="TYPE-1"/>
      <sheetName val="견적"/>
      <sheetName val="기계경비"/>
      <sheetName val="종단계산"/>
      <sheetName val="산출근거(S4)"/>
      <sheetName val="설치자재"/>
      <sheetName val="표시트"/>
      <sheetName val="카드채권(대출포함)"/>
      <sheetName val="공통"/>
      <sheetName val="月度設定"/>
      <sheetName val="외부자료"/>
      <sheetName val="공시용CF"/>
      <sheetName val="97손익계획"/>
      <sheetName val="가정"/>
      <sheetName val="공시용PL"/>
      <sheetName val="예산대실적_작성"/>
      <sheetName val="SALE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데이타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청천내"/>
      <sheetName val="요율"/>
      <sheetName val="2공구하도급내역서"/>
      <sheetName val="시설물"/>
      <sheetName val="연결임시"/>
      <sheetName val="구조물공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자재대"/>
      <sheetName val="조명율표"/>
      <sheetName val="원가"/>
      <sheetName val="공정코드"/>
      <sheetName val="토공"/>
      <sheetName val="총괄-1"/>
      <sheetName val="도급"/>
      <sheetName val="포장공"/>
      <sheetName val="설 계"/>
      <sheetName val="현경"/>
      <sheetName val="단가대비표"/>
      <sheetName val="배수내역"/>
      <sheetName val="최적단면"/>
      <sheetName val="CF表示組替表"/>
      <sheetName val="수량산출서 갑지"/>
      <sheetName val="I一般比"/>
      <sheetName val="BM_NEW2"/>
      <sheetName val="그룹자료"/>
      <sheetName val="임율자료"/>
      <sheetName val="support"/>
      <sheetName val="000000"/>
      <sheetName val="목록!"/>
      <sheetName val="마스터0919"/>
      <sheetName val="98수문일위"/>
      <sheetName val="3.일반사상"/>
      <sheetName val="대구은행"/>
      <sheetName val="원재료"/>
      <sheetName val="비품"/>
      <sheetName val="M&amp;Q Lead"/>
      <sheetName val="control sheet"/>
      <sheetName val="STANDARD"/>
      <sheetName val="구분 Table"/>
      <sheetName val="PF 현황(11년12월)"/>
      <sheetName val="역T형옹벽(3.0)"/>
      <sheetName val="유효성검사"/>
      <sheetName val="1. 작성방식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Project Count"/>
      <sheetName val="Index1"/>
      <sheetName val="STRAT_PLAN_WKSHT1"/>
      <sheetName val="Sales_Plan_&amp;_other1"/>
      <sheetName val="drop_downs"/>
      <sheetName val="XREF"/>
      <sheetName val="산자사 운전용품"/>
      <sheetName val="코드"/>
      <sheetName val="표)CFT장 조직별 배분"/>
      <sheetName val="Remark"/>
      <sheetName val="기술분류체계"/>
      <sheetName val="20180214 P&amp;T"/>
      <sheetName val="Ref. 중점 추진 과제별 상세"/>
      <sheetName val="작성요령"/>
      <sheetName val="선택지"/>
      <sheetName val="Congfig"/>
      <sheetName val="Bank code"/>
      <sheetName val="총수율"/>
      <sheetName val="11"/>
      <sheetName val="Drop-down RAW"/>
      <sheetName val="CODE生成机"/>
      <sheetName val="조직필터"/>
      <sheetName val="1_종합손익(도급)5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변경실행(2차)_4"/>
      <sheetName val="CC_Down_load_07164"/>
      <sheetName val="나_출고4"/>
      <sheetName val="나_입고4"/>
      <sheetName val="09년_인건비(속리산)4"/>
      <sheetName val="합산목표(감가+57_5)4"/>
      <sheetName val="__한국_AMP_ASP-23_판매가격__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7_(2)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4"/>
      <sheetName val="Sheet1_(2)3"/>
      <sheetName val="2_대외공문3"/>
      <sheetName val="表21_净利润调节表3"/>
      <sheetName val="sum1_(2)3"/>
      <sheetName val="3_바닥판설계3"/>
      <sheetName val="504전기실_동부하-L3"/>
      <sheetName val="2_총괄표3"/>
      <sheetName val="OUTER_AREA(겹침없음)3"/>
      <sheetName val="EL_표면적3"/>
      <sheetName val="P_M_별2"/>
      <sheetName val="09~10년_매출계획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입출재고현황_(2)1"/>
      <sheetName val="TRE_TABLE1"/>
      <sheetName val="Process_List2"/>
      <sheetName val="제시_손익계산서2"/>
      <sheetName val="업무연락_(2)2"/>
      <sheetName val="M_7회차_담금_계획2"/>
      <sheetName val="01_02월_성과급3"/>
      <sheetName val="97_사업추정(WEKI)1"/>
      <sheetName val="팀별_실적2"/>
      <sheetName val="팀별_실적_(환산)2"/>
      <sheetName val="6월_공정외주1"/>
      <sheetName val="2_주요계수총괄1"/>
      <sheetName val="1_본사계정별1"/>
      <sheetName val="118_세금과공과1"/>
      <sheetName val="Tong_hop1"/>
      <sheetName val="95_1_1이후취득자산(숨기기상태)1"/>
      <sheetName val="1_MDF1공장1"/>
      <sheetName val="3_6_2남양주택배"/>
      <sheetName val="Project_Brief1"/>
      <sheetName val="Back_Data_11"/>
      <sheetName val="Facility_Information1"/>
      <sheetName val="단면_(2)1"/>
      <sheetName val="1월_예산"/>
      <sheetName val="해외_기술훈련비_(합계)1"/>
      <sheetName val="#1)_투자_구분"/>
      <sheetName val="1__시공측량"/>
      <sheetName val="수종별수량_(2)"/>
      <sheetName val="설산1_나"/>
      <sheetName val="Weekly_Progress(계장)"/>
      <sheetName val="납부내역총괄표_(수정)"/>
      <sheetName val="전선_및_전선관"/>
      <sheetName val="KEY_CODE"/>
      <sheetName val="2013_2월_연결대상"/>
      <sheetName val="외주현황_wq1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4__Inj_투자상세내역2"/>
      <sheetName val="3__Blow_투자_상세내역2"/>
      <sheetName val="Jul-Sep_Actual_cost_(2)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3_ISo_YTD2"/>
      <sheetName val="E_法规NC2"/>
      <sheetName val="Données_LMU2"/>
      <sheetName val="Brazil_Sovereign2"/>
      <sheetName val="Resumen_Costo2"/>
      <sheetName val="Fixed_ZBB2"/>
      <sheetName val="5_12"/>
      <sheetName val="Extract_Loss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Base_de_Dados2"/>
      <sheetName val="Testing_Template_Guidance2"/>
      <sheetName val="Test_Programs2"/>
      <sheetName val="Dados_BLP2"/>
      <sheetName val="Controls_data4"/>
      <sheetName val="FJJX_Bud_IB1"/>
      <sheetName val="look-up_data1"/>
      <sheetName val="JOB_PROFILE_-_LAS2"/>
      <sheetName val="ARdistr_(2)2"/>
      <sheetName val="Prd_Hierarchy(产品层级)1"/>
      <sheetName val="Com_(2PK)1"/>
      <sheetName val="Prd_Hierarchy(产品层次)1"/>
      <sheetName val="Project_Code1"/>
      <sheetName val="15년_BL_사계1"/>
      <sheetName val="_손익기01_XL1"/>
      <sheetName val="drop_down_list1"/>
      <sheetName val="[손익기01_XL_x005f_x0000__x005f_x0000_DePara1"/>
      <sheetName val="[손익기01_XL1"/>
      <sheetName val="Income_Stmt1"/>
      <sheetName val="Quarterly_LBO_Model1"/>
      <sheetName val="_손익기01_XL_x005f_x0000__x005f_x0000_DePara1"/>
      <sheetName val="Classification_分类"/>
      <sheetName val="Figures_Report"/>
      <sheetName val="Set_Up"/>
      <sheetName val="Fare_prices"/>
      <sheetName val="Hotel_prices"/>
      <sheetName val="tab_STATUS_DO_PROCESSO_"/>
      <sheetName val="Perf__Plan__Diário1"/>
      <sheetName val="In_(2)"/>
      <sheetName val="slide_24_cat_A"/>
      <sheetName val="slide_82_cat_b"/>
      <sheetName val="Incident_유형구분표"/>
      <sheetName val="CLASIFICACION_DE_AI"/>
      <sheetName val="Base_da_Datos"/>
      <sheetName val="Dados_dos_Produtos"/>
      <sheetName val="DD_list"/>
      <sheetName val="3YP2016-Bottom_up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BEP_加薪_KPI"/>
      <sheetName val="날개수량1.5"/>
      <sheetName val="제-노임"/>
      <sheetName val="N賃率-職"/>
      <sheetName val="pg15"/>
      <sheetName val="2.6 三无 (2)"/>
      <sheetName val="_x0018__"/>
      <sheetName val="노임단가(공사)"/>
      <sheetName val="설계조건"/>
      <sheetName val="터널전기"/>
      <sheetName val="토목주소"/>
      <sheetName val="프랜트면허"/>
      <sheetName val="RES"/>
      <sheetName val="数据有效性"/>
      <sheetName val="Worker List"/>
      <sheetName val="GB-IC Villingen GG"/>
      <sheetName val="MC&amp;다변화"/>
      <sheetName val="Library"/>
      <sheetName val="Desal-E&amp;I"/>
      <sheetName val="Month-Report"/>
      <sheetName val="드롭다운"/>
      <sheetName val="슬래_xd800_"/>
      <sheetName val="hiddenSheet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코드관리"/>
      <sheetName val="4.1 월별 에너지 사용량"/>
      <sheetName val="Diesel Price "/>
      <sheetName val="손익계산서"/>
      <sheetName val="한계원가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경비"/>
      <sheetName val="세금자료"/>
      <sheetName val="기초정보 코드"/>
      <sheetName val="MTP"/>
      <sheetName val="Exchange rate"/>
      <sheetName val="배열수식"/>
      <sheetName val="조도계산서 (도서)"/>
      <sheetName val="준검 내역서"/>
      <sheetName val="대전-교대(A1-A2)"/>
      <sheetName val="10매출"/>
      <sheetName val="견적을지"/>
      <sheetName val="6월 공嚺㓶가"/>
      <sheetName val="갑지"/>
      <sheetName val="부산제일극장"/>
      <sheetName val="기계"/>
      <sheetName val="정화조"/>
      <sheetName val="토목"/>
      <sheetName val="F 월별기성수금현황 "/>
      <sheetName val="수목단가"/>
      <sheetName val="시설수량표"/>
      <sheetName val="식재수량표"/>
      <sheetName val="FitOutConfCentre"/>
      <sheetName val="을-ATYPE"/>
      <sheetName val="기본일위"/>
      <sheetName val="오류항목"/>
      <sheetName val="7상품수"/>
      <sheetName val="DCY"/>
      <sheetName val="DHS"/>
      <sheetName val="HHJ"/>
      <sheetName val="SWS-1"/>
      <sheetName val="부재료 비교(11년 vs 10년)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Catalog_Zone"/>
      <sheetName val="DropList"/>
      <sheetName val="Unidades SAC-REVENDA"/>
      <sheetName val="FornecM Check"/>
      <sheetName val="下拉清单"/>
      <sheetName val="工伤分类"/>
      <sheetName val="菜单"/>
      <sheetName val="Hazards Analysis-隐患分析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Classification_分类1"/>
      <sheetName val="Figures_Report1"/>
      <sheetName val="Set_Up2"/>
      <sheetName val="Fare_prices1"/>
      <sheetName val="Hotel_prices1"/>
      <sheetName val="tab_STATUS_DO_PROCESSO_1"/>
      <sheetName val="Perf__Plan__Diário11"/>
      <sheetName val="In_(2)1"/>
      <sheetName val="slide_24_cat_A1"/>
      <sheetName val="slide_82_cat_b1"/>
      <sheetName val="Incident_유형구분표1"/>
      <sheetName val="CLASIFICACION_DE_AI1"/>
      <sheetName val="Base_da_Datos1"/>
      <sheetName val="Dados_dos_Produtos1"/>
      <sheetName val="DD_list1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备注"/>
      <sheetName val="_손익기01.XL_x005f_x005f_x005f_x0000__x005f_x005f_x0"/>
      <sheetName val="연료전력(군포)"/>
      <sheetName val="적립수신"/>
      <sheetName val="순수통장"/>
      <sheetName val="일별"/>
      <sheetName val="加薪规则排序"/>
      <sheetName val="Analysis"/>
      <sheetName val="索引表"/>
      <sheetName val="Control"/>
      <sheetName val="引用"/>
      <sheetName val="담당자Raw"/>
      <sheetName val="支柱模块源数据--请勿更改或删除"/>
      <sheetName val="MasterData"/>
      <sheetName val="条件表"/>
      <sheetName val="下拉菜单"/>
      <sheetName val="Issues List_Payments"/>
      <sheetName val="drop-down_lists"/>
      <sheetName val="数据库"/>
      <sheetName val="turnover reason퇴직사유"/>
      <sheetName val="Grafica Actos"/>
      <sheetName val="PGK-1610"/>
      <sheetName val="POC LIST"/>
      <sheetName val="Condiciones SyE"/>
      <sheetName val="DETALLE MENSUA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REALxMETA - CERVEJA"/>
      <sheetName val="REALxMETA - REFRI"/>
      <sheetName val="Catalogo"/>
      <sheetName val="MD"/>
      <sheetName val="Directrices de Metas 2017"/>
      <sheetName val="SKU Basic Data"/>
      <sheetName val="数据验证"/>
      <sheetName val="Лист2"/>
      <sheetName val="L1_L2_Lookup"/>
      <sheetName val="Entity Target"/>
      <sheetName val="条件"/>
      <sheetName val="Matriz"/>
      <sheetName val="Pareto"/>
      <sheetName val="Hoja5"/>
      <sheetName val="Personal"/>
      <sheetName val="VALIDACION DE DATOS"/>
      <sheetName val="Hoja4"/>
      <sheetName val="Drop-down List"/>
      <sheetName val="by DD"/>
      <sheetName val="1"/>
      <sheetName val="Ba"/>
      <sheetName val="分类统计"/>
      <sheetName val="隐患分类"/>
      <sheetName val="Check Qualidade"/>
      <sheetName val="Lista"/>
      <sheetName val="De_Par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Feuil2"/>
      <sheetName val="Check Aderencia"/>
      <sheetName val="원부재료1"/>
      <sheetName val="생산성(2차)"/>
      <sheetName val="요약(1차)"/>
      <sheetName val="PUR-12K"/>
      <sheetName val="TSCLFEB"/>
      <sheetName val="1월~9월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KEY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계좌정보"/>
      <sheetName val="CAT_5"/>
      <sheetName val="단기차입금(200006)"/>
      <sheetName val="EP0618"/>
      <sheetName val="호남본"/>
      <sheetName val="분석가정"/>
      <sheetName val="일위대가목차"/>
      <sheetName val="중기일위대가"/>
      <sheetName val="안산기계장치"/>
      <sheetName val="전기자료"/>
      <sheetName val="Sheet10"/>
      <sheetName val="시험장S자로가로등공사"/>
      <sheetName val="sum_x0008__x0000__x000d__x0000__x0006__x0000_"/>
      <sheetName val="Ѐ܀ऀ܀؀਀؀Ԁ̀Ѐ̀Ѐࠀ܀ఀ؀܀"/>
      <sheetName val="숨김"/>
      <sheetName val="특수선일위대가"/>
      <sheetName val="6호기"/>
      <sheetName val="A(Rev.3)"/>
      <sheetName val="견적내역서"/>
      <sheetName val="일위대가(목록)"/>
      <sheetName val="재료비"/>
      <sheetName val="有型区分分类"/>
      <sheetName val="업무 분류(Category)"/>
      <sheetName val="진행 DATA (2)"/>
      <sheetName val="_x005f_x005f_x005f_x0000__x005f_x005f_x005f_x0000_"/>
      <sheetName val="Cntmrs"/>
      <sheetName val="견적 맵"/>
      <sheetName val="euc"/>
      <sheetName val="$bhp"/>
      <sheetName val="업무분장 "/>
      <sheetName val="7300-1000.11"/>
      <sheetName val="7300-1000_11"/>
      <sheetName val="기준Data"/>
      <sheetName val="PJT 현황"/>
      <sheetName val="VNHA"/>
      <sheetName val="대차대조표-공시형"/>
      <sheetName val="참고) 기준정보"/>
      <sheetName val="포지셔닝(유형별)"/>
      <sheetName val="채권(하반기)"/>
      <sheetName val="금액"/>
      <sheetName val="제품"/>
      <sheetName val="분류표"/>
      <sheetName val="Long Term Prices"/>
      <sheetName val="생산량"/>
      <sheetName val="BK_PPA"/>
      <sheetName val="간접비차이_PJT"/>
      <sheetName val="작성양식"/>
      <sheetName val="문의내용 카테고리 분류(수정X)"/>
      <sheetName val="Assign"/>
      <sheetName val="합잔_역사"/>
      <sheetName val="01현금및현금성자산(ok)"/>
      <sheetName val="상불"/>
      <sheetName val="데이터유효성목록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7_(2)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Figures_Report2"/>
      <sheetName val="Set_Up3"/>
      <sheetName val="Fare_prices2"/>
      <sheetName val="Hotel_prices2"/>
      <sheetName val="tab_STATUS_DO_PROCESSO_2"/>
      <sheetName val="Perf__Plan__Diário12"/>
      <sheetName val="In_(2)2"/>
      <sheetName val="slide_24_cat_A2"/>
      <sheetName val="slide_82_cat_b2"/>
      <sheetName val="09~10년_매출계획2"/>
      <sheetName val="1_MDF1공장2"/>
      <sheetName val="Incident_유형구분표2"/>
      <sheetName val="CLASIFICACION_DE_AI2"/>
      <sheetName val="Base_da_Datos2"/>
      <sheetName val="Dados_dos_Produtos2"/>
      <sheetName val="DD_list2"/>
      <sheetName val="3YP2016-Bottom_up1"/>
      <sheetName val="2_카드채권(대출포함)1"/>
      <sheetName val="MASTER_APP1"/>
      <sheetName val="Cond__Inseguros1"/>
      <sheetName val="Comp__Inseguros1"/>
      <sheetName val="Lista_de_datos1"/>
      <sheetName val="Base_de_Datos1"/>
      <sheetName val="_DD_List1"/>
      <sheetName val="Share_Price_20021"/>
      <sheetName val="Clasif_1"/>
      <sheetName val="Lista_CI1"/>
      <sheetName val="Farol_Acciones1"/>
      <sheetName val="Lista_de_Entrenamientos1"/>
      <sheetName val="Supply_Cost_Centers1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Dashboard_Prevención_Riesgos_"/>
      <sheetName val="TOP_KPIs_MTM"/>
      <sheetName val="PLAN_DE_ACCION"/>
      <sheetName val="Faro_de_Indicadores"/>
      <sheetName val="Issues_List_Payments"/>
      <sheetName val="Grafica_Actos"/>
      <sheetName val="Condiciones_SyE"/>
      <sheetName val="POC_LIST"/>
      <sheetName val="turnover_reason퇴직사유"/>
      <sheetName val="SKU_Basic_Data"/>
      <sheetName val="DETALLE_MENSUAL"/>
      <sheetName val="do_not_delete"/>
      <sheetName val="REALxMETA_-_CERVEJA2"/>
      <sheetName val="REALxMETA_-_REFRI2"/>
      <sheetName val="APAC_S"/>
      <sheetName val="APAC_N"/>
      <sheetName val="Slide_output"/>
      <sheetName val="Directrices_de_Metas_2017"/>
      <sheetName val="Entity_Target"/>
      <sheetName val="_손익기01.XL_x005f_x0000__x0"/>
      <sheetName val="구분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Ta_x0005_"/>
      <sheetName val="Base Farol"/>
      <sheetName val="Gerencial IL"/>
      <sheetName val="Ventas Campo"/>
      <sheetName val="Graficos"/>
      <sheetName val="FornecM_Check1"/>
      <sheetName val="Unidades_SAC-REVENDA3"/>
      <sheetName val="[손익기01_XL??DePara1"/>
      <sheetName val="Farol_Metas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ACTOS POR RIESGO"/>
      <sheetName val="drop lists"/>
      <sheetName val="MRL NON SUPPLY URU"/>
      <sheetName val="AIIM - Empresas Ext 2012"/>
      <sheetName val="Blad2"/>
      <sheetName val="KPIs Hana"/>
      <sheetName val="CausasProblemasFolios"/>
      <sheetName val="Catalago de refacciones "/>
      <sheetName val="Existencias al 07-Nov-2012"/>
      <sheetName val="GAP"/>
      <sheetName val="Check GG"/>
      <sheetName val="工作表2"/>
      <sheetName val="条件格式选项"/>
      <sheetName val="单位信息"/>
      <sheetName val="条件格式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Figures_Report3"/>
      <sheetName val="Set_Up4"/>
      <sheetName val="Fare_prices3"/>
      <sheetName val="Hotel_prices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2_카드채권(대출포함)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BEP_加薪_KPI1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APAC_S1"/>
      <sheetName val="APAC_N1"/>
      <sheetName val="Slide_output1"/>
      <sheetName val="Directrices_de_Metas_20171"/>
      <sheetName val="Entity_Target1"/>
      <sheetName val="VALIDACION_DE_DATOS"/>
      <sheetName val="Drop-down_List"/>
      <sheetName val="by_DD"/>
      <sheetName val="Sensitivity and GC Value"/>
      <sheetName val="입찰내역 Ĉ"/>
      <sheetName val="갑지1"/>
      <sheetName val="Sheet17"/>
      <sheetName val="설비등록׃⼫"/>
      <sheetName val="설비등록_x0010__x0000_"/>
      <sheetName val="관리자"/>
      <sheetName val="받을어음"/>
      <sheetName val="외상매출금현황-수정분 A2"/>
      <sheetName val="TOWER 12TON"/>
      <sheetName val="TOWER 10TON"/>
      <sheetName val="JIB CRANE,HOIST"/>
      <sheetName val="기성현황집계표"/>
      <sheetName val="Basic Information"/>
      <sheetName val="_x005f_x005f_x005f_x0000__x005f"/>
      <sheetName val="소주(苏州)"/>
      <sheetName val="공통부대비"/>
      <sheetName val="수정양식"/>
      <sheetName val="#1 Basic"/>
      <sheetName val="만기"/>
      <sheetName val="월별비교(물리)"/>
      <sheetName val="첨부#2.Cash Flow(현장작성)"/>
      <sheetName val="필요면적"/>
      <sheetName val="요일 테이블 "/>
      <sheetName val="Nombre de SOP"/>
      <sheetName val="Vermelha"/>
      <sheetName val="Список"/>
      <sheetName val="targets"/>
      <sheetName val=" mngt Pillar"/>
      <sheetName val="2. Indicadores"/>
      <sheetName val="Ta¨"/>
      <sheetName val="Ta "/>
      <sheetName val="Sheet3 (2)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Lookups"/>
      <sheetName val="Other Listings"/>
      <sheetName val="Registros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Capa"/>
      <sheetName val="Reference"/>
      <sheetName val="Dropdown"/>
      <sheetName val="[손익기01_XL_x0000__x0000_DePara2"/>
      <sheetName val="_손익기01_XL_x0000__x0000_DePara2"/>
      <sheetName val="[손익기01_XL_x0000__x0000_DePara1"/>
      <sheetName val="_손익기01_XL_x0000__x0000_DePara1"/>
      <sheetName val="有效性"/>
      <sheetName val="基础信息"/>
      <sheetName val="dd"/>
      <sheetName val="隐患统计图"/>
      <sheetName val="Refs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Controls"/>
      <sheetName val="菜单联动"/>
      <sheetName val="不安全行为库"/>
      <sheetName val="KPI标准"/>
      <sheetName val="Motorista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Julio"/>
      <sheetName val="CONTADOR"/>
      <sheetName val="DROP"/>
      <sheetName val="INGRESO"/>
      <sheetName val="DATOS DE VALIDACIÓN"/>
      <sheetName val="clasificación"/>
      <sheetName val="Datos con"/>
      <sheetName val="Dato"/>
      <sheetName val="Enero(11)"/>
      <sheetName val="Respel-RAEE"/>
      <sheetName val="Asistencia"/>
      <sheetName val=" Datos Cond."/>
      <sheetName val="CRITERIOS"/>
      <sheetName val="참조용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Comp Inseguros"/>
      <sheetName val="BNR_2012 в ящике"/>
      <sheetName val="Legend"/>
      <sheetName val="INGRESO (2)"/>
      <sheetName val="PG-K1610 (UEN Areas)MNG"/>
      <sheetName val="DATOS GEN."/>
      <sheetName val="NUEVOS CRITERIOS"/>
      <sheetName val="Condiciones Agua"/>
      <sheetName val="筛选列表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lassification_分类4"/>
      <sheetName val="tab_STATUS_DO_PROCESSO_4"/>
      <sheetName val="Perf__Plan__Diário14"/>
      <sheetName val="In_(2)4"/>
      <sheetName val="__한국_AMP_ASP-23_판매가격__4"/>
      <sheetName val="제조원가_원단위_분석4"/>
      <sheetName val="종합표양식(품의_&amp;_입고)_24"/>
      <sheetName val="원가관리_(동월대비)4"/>
      <sheetName val="b_balju_(2)4"/>
      <sheetName val="2-2_매출분석4"/>
      <sheetName val="몰드시스템_리스트4"/>
      <sheetName val="11_외화채무증권(AFS,HTM)084"/>
      <sheetName val="13_감액TEST_084"/>
      <sheetName val="12년_CF(9월)4"/>
      <sheetName val="중기조종사_단위단가4"/>
      <sheetName val="6PILE__(돌출)4"/>
      <sheetName val="Sheet1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Data_validation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97_사업추정(WEKI)2"/>
      <sheetName val="Tong_hop2"/>
      <sheetName val="95_1_1이후취득자산(숨기기상태)2"/>
      <sheetName val="6월_공정외주2"/>
      <sheetName val="입출재고현황_(2)2"/>
      <sheetName val="TRE_TABLE2"/>
      <sheetName val="입찰내역_발주처_양식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Jul-Sep_Actual_cost_(2)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Un"/>
      <sheetName val="Justificativas"/>
      <sheetName val="DO NOT MOVE"/>
      <sheetName val="PINC汇总"/>
      <sheetName val="Note"/>
      <sheetName val="物料主数据"/>
      <sheetName val="选项"/>
      <sheetName val="品牌填写下拉菜单"/>
      <sheetName val="Dropdown list"/>
      <sheetName val="Liste"/>
      <sheetName val="清单"/>
      <sheetName val="beerflow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도급)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기성청구_공문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表21_净利润调节表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6월_공정외주3"/>
      <sheetName val="입출재고현황_(2)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[손익기01_XLDePara5"/>
      <sheetName val="_손익기01_XLDePara5"/>
      <sheetName val="Control de Fallas"/>
      <sheetName val="Setup for Templates"/>
      <sheetName val="Datos emp"/>
      <sheetName val="Проверки"/>
      <sheetName val="Drop list"/>
      <sheetName val="FX Rates"/>
      <sheetName val="Proced."/>
      <sheetName val="PTN"/>
      <sheetName val="Cut Machine Summary"/>
      <sheetName val="Validation lists"/>
      <sheetName val="Planilha_relts_xdb75__xdb62_eos7"/>
      <sheetName val="Testing_Template_Huidance1"/>
      <sheetName val="  한국 AMP ASP-23 판㧤가격  "/>
      <sheetName val="11.䡸화채무줝ⴌ(AFS,HTM)08"/>
      <sheetName val="statu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PREENCHIMENTO"/>
      <sheetName val="Vagas x Candidatos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Imputs"/>
      <sheetName val="Champions List"/>
      <sheetName val="Guidelines"/>
      <sheetName val="NAZ Strategy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sum1_(2)4"/>
      <sheetName val="3_바닥판설계4"/>
      <sheetName val="6월_공정외주4"/>
      <sheetName val="2_대외공문4"/>
      <sheetName val="2_총괄표4"/>
      <sheetName val="입출재고현황_(2)4"/>
      <sheetName val="504전기실_동부하-L4"/>
      <sheetName val="OUTER_AREA(겹침없음)4"/>
      <sheetName val="EL_표면적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FX_Rates"/>
      <sheetName val="Vagas_x_Candidatos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__한국_AMP_ASP-23_판㧤가격__"/>
      <sheetName val="11_䡸화채무줝ⴌ(AFS,HTM)08"/>
      <sheetName val="Drop_list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_손익기01_XL_x0000__x1"/>
      <sheetName val="_손익기01_XL_x005f_x0000__x2"/>
      <sheetName val="费用指引"/>
      <sheetName val="进货时间"/>
      <sheetName val="参考字段（不许更改）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생산성"/>
      <sheetName val="Book1"/>
      <sheetName val="数据分类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Análise Tempos"/>
      <sheetName val="Incentivo Automóvil"/>
      <sheetName val="EQR"/>
      <sheetName val="CNQ"/>
      <sheetName val="Справочник"/>
      <sheetName val="PDA BOP"/>
      <sheetName val="Referencias"/>
      <sheetName val="Códigos"/>
      <sheetName val="Validação de Dados"/>
      <sheetName val="No llenar "/>
      <sheetName val="0-info"/>
      <sheetName val="FAI分析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1. 템플릿"/>
      <sheetName val="2. 작성 참고사항"/>
      <sheetName val="1월"/>
      <sheetName val="2월"/>
      <sheetName val="3월"/>
      <sheetName val="4월"/>
      <sheetName val="거리"/>
      <sheetName val="架构"/>
      <sheetName val="库存模板"/>
      <sheetName val="陈列明细"/>
      <sheetName val="mapping (2)"/>
      <sheetName val="Ref."/>
      <sheetName val="折扣类型"/>
      <sheetName val="目标SKU"/>
      <sheetName val="Backup"/>
      <sheetName val="匹配"/>
      <sheetName val="序列"/>
      <sheetName val="Lista de Motivos"/>
      <sheetName val="Ponto Crítico - Resp. Plano"/>
      <sheetName val="Lista Funcionários (2)"/>
      <sheetName val="PIRÂMIDE"/>
      <sheetName val="Consolidator"/>
      <sheetName val="2.3 Projects Status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TO_Data_Base18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3_ISo_YTD10"/>
      <sheetName val="E_法规NC10"/>
      <sheetName val="Données_LMU10"/>
      <sheetName val="Brazil_Sovereign10"/>
      <sheetName val="Resumen_Costo10"/>
      <sheetName val="Extract_Loss10"/>
      <sheetName val="QA_跟踪记录表10"/>
      <sheetName val="5_110"/>
      <sheetName val="Como_Estamos10"/>
      <sheetName val="Base_de_Dados10"/>
      <sheetName val="RG_Depots10"/>
      <sheetName val="material_data10"/>
      <sheetName val="other_data10"/>
      <sheetName val="Database_(RUR)Mar_YTD10"/>
      <sheetName val="SKU_Mapping10"/>
      <sheetName val="Drop_Down10"/>
      <sheetName val="Raw_Data10"/>
      <sheetName val="EBM-2_GHQ10"/>
      <sheetName val="Base_PEF11"/>
      <sheetName val="Testing_Template_Guidance10"/>
      <sheetName val="Test_Programs10"/>
      <sheetName val="Controls_data12"/>
      <sheetName val="Dados_BLP10"/>
      <sheetName val="ARdistr_(2)10"/>
      <sheetName val="FJJX_Bud_IB9"/>
      <sheetName val="look-up_data9"/>
      <sheetName val="Prd_Hierarchy(产品层级)9"/>
      <sheetName val="Com_(2PK)9"/>
      <sheetName val="JOB_PROFILE_-_LAS10"/>
      <sheetName val="요일_테이블10"/>
      <sheetName val="요일_테이블_(2)9"/>
      <sheetName val="Prd_Hierarchy(产品层次)9"/>
      <sheetName val="Project_Code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Income_Stmt9"/>
      <sheetName val="drop_down_list9"/>
      <sheetName val="Figures_Report8"/>
      <sheetName val="[손익기01_XL_x005f_x0000__x005f_x0000_DePara9"/>
      <sheetName val="Quarterly_LBO_Model9"/>
      <sheetName val="[손익기01_XL9"/>
      <sheetName val="_손익기01_XL_x005f_x0000__x005f_x0000_DePara9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Fare_prices8"/>
      <sheetName val="Hotel_prices8"/>
      <sheetName val="tab_STATUS_DO_PROCESSO_8"/>
      <sheetName val="Perf__Plan__Diário18"/>
      <sheetName val="In_(2)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slide_24_cat_A8"/>
      <sheetName val="slide_82_cat_b8"/>
      <sheetName val="Dados_dos_Produtos8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2_카드채권(대출포함)7"/>
      <sheetName val="表21_净利润调节表7"/>
      <sheetName val="MASTER_APP7"/>
      <sheetName val="Cond__Inseguros7"/>
      <sheetName val="Comp__Inseguros7"/>
      <sheetName val="Lista_de_datos7"/>
      <sheetName val="Supply_Cost_Centers7"/>
      <sheetName val="Clasif_7"/>
      <sheetName val="Farol_Acciones7"/>
      <sheetName val="Lista_de_Entrenamientos7"/>
      <sheetName val="Unidades_SAC-REVENDA8"/>
      <sheetName val="FornecM_Check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BEP_加薪_KPI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Issues_List_Payments6"/>
      <sheetName val="Faro_de_Indicadores6"/>
      <sheetName val="TOP_KPIs_MTM6"/>
      <sheetName val="PLAN_DE_ACCION6"/>
      <sheetName val="Grafica_Actos6"/>
      <sheetName val="POC_LIST6"/>
      <sheetName val="Dashboard_Prevención_Riesgos_6"/>
      <sheetName val="APAC_S6"/>
      <sheetName val="APAC_N6"/>
      <sheetName val="Slide_output6"/>
      <sheetName val="do_not_delete6"/>
      <sheetName val="[손익기01_XL??DePara6"/>
      <sheetName val="Farol_Metas6"/>
      <sheetName val="Mod_Relac_6"/>
      <sheetName val="Condiciones_SyE6"/>
      <sheetName val="REALxMETA_-_CERVEJA8"/>
      <sheetName val="REALxMETA_-_REFRI8"/>
      <sheetName val="Directrices_de_Metas_20176"/>
      <sheetName val="DETALLE_MENSUAL6"/>
      <sheetName val="Entity_Target6"/>
      <sheetName val="VALIDACION_DE_DATOS5"/>
      <sheetName val="_손익기01_XL_x005f_x005f_x005f_x0000__x005f_x005f_x6"/>
      <sheetName val="Hazards_Analysis-隐患分析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PAR"/>
      <sheetName val="订单追踪_信阳市区_0825"/>
      <sheetName val="Data_validation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ROCESS MD"/>
      <sheetName val="Table"/>
      <sheetName val="Consolidated_Project List"/>
      <sheetName val="Fixed Cost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Project List"/>
      <sheetName val="概览"/>
      <sheetName val="Выпадающие списки"/>
      <sheetName val="Списки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SOP Freshness"/>
      <sheetName val="PAINEL RECOLHA CRÉDITO"/>
      <sheetName val="Gráficos - CDD"/>
      <sheetName val="Values"/>
      <sheetName val="Industries"/>
      <sheetName val="监控探头清单"/>
      <sheetName val="下拉选项"/>
      <sheetName val="不安全行为分类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Text"/>
      <sheetName val="3. Training &amp; travel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SUPERMONT_P2"/>
      <sheetName val="Brand_P&amp;L1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SUPERMONT_P1"/>
      <sheetName val="Source"/>
      <sheetName val="Dimension IN Sheet1!D1912"/>
      <sheetName val="Dimension IN 1912"/>
      <sheetName val="Introduction"/>
      <sheetName val="Manage to Sustain"/>
      <sheetName val="Meeting List"/>
      <sheetName val="DropLists"/>
      <sheetName val="Packages Info"/>
      <sheetName val="Preferred Option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JOB_PROFILE_-_LAS11"/>
      <sheetName val="ARdistr_(2)11"/>
      <sheetName val="FJJX_Bud_IB10"/>
      <sheetName val="look-up_data10"/>
      <sheetName val="Prd_Hierarchy(产品层级)10"/>
      <sheetName val="Com_(2PK)10"/>
      <sheetName val="Project_Code10"/>
      <sheetName val="[손익기01_XL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drop_down_list10"/>
      <sheetName val="Income_Stmt10"/>
      <sheetName val="[손익기01_XL_x005f_x0000__x005f_x0000_DePara10"/>
      <sheetName val="Quarterly_LBO_Model10"/>
      <sheetName val="_손익기01_XL_x005f_x0000__x005f_x0000_DePara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Figures_Report9"/>
      <sheetName val="Classification_分类9"/>
      <sheetName val="Set_Up10"/>
      <sheetName val="Fare_prices9"/>
      <sheetName val="Hotel_prices9"/>
      <sheetName val="tab_STATUS_DO_PROCESSO_9"/>
      <sheetName val="slide_24_cat_A9"/>
      <sheetName val="slide_82_cat_b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Perf__Plan__Diário19"/>
      <sheetName val="In_(2)9"/>
      <sheetName val="CLASIFICACION_DE_AI9"/>
      <sheetName val="Base_da_Datos9"/>
      <sheetName val="Dados_dos_Produtos9"/>
      <sheetName val="09~10년_매출계획9"/>
      <sheetName val="1_MDF1공장9"/>
      <sheetName val="Incident_유형구분표9"/>
      <sheetName val="3YP2016-Bottom_up8"/>
      <sheetName val="DD_list9"/>
      <sheetName val="Base_de_Datos8"/>
      <sheetName val="Clasif_8"/>
      <sheetName val="Supply_Cost_Centers8"/>
      <sheetName val="Cond__Inseguros8"/>
      <sheetName val="Comp__Inseguros8"/>
      <sheetName val="Lista_de_datos8"/>
      <sheetName val="MASTER_APP8"/>
      <sheetName val="2_카드채권(대출포함)8"/>
      <sheetName val="表21_净利润调节表8"/>
      <sheetName val="Lista_CI8"/>
      <sheetName val="Dashboard_Prevención_Riesgos_7"/>
      <sheetName val="TOP_KPIs_MTM7"/>
      <sheetName val="PLAN_DE_ACCION7"/>
      <sheetName val="Faro_de_Indicadores7"/>
      <sheetName val="Farol_Acciones8"/>
      <sheetName val="Lista_de_Entrenamientos8"/>
      <sheetName val="Unidades_SAC-REVENDA9"/>
      <sheetName val="FornecM_Check7"/>
      <sheetName val="Share_Price_20028"/>
      <sheetName val="_DD_List8"/>
      <sheetName val="BEP_加薪_KPI7"/>
      <sheetName val="_손익기01_XL_x005f_x005f_x005f_x0000__x005f_x005f_x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Estratificación_AI7"/>
      <sheetName val="condicion_inseguras7"/>
      <sheetName val="Actos_Inseguros7"/>
      <sheetName val="Control_de_incidentes7"/>
      <sheetName val="Plan_de_Acción7"/>
      <sheetName val="Hazards_Analysis-隐患分析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Issues_List_Payments7"/>
      <sheetName val="turnover_reason퇴직사유7"/>
      <sheetName val="Grafica_Actos7"/>
      <sheetName val="POC_LIST7"/>
      <sheetName val="Condiciones_SyE7"/>
      <sheetName val="DETALLE_MENSUAL7"/>
      <sheetName val="SKU_Basic_Data7"/>
      <sheetName val="do_not_delete7"/>
      <sheetName val="APAC_S7"/>
      <sheetName val="APAC_N7"/>
      <sheetName val="Slide_output7"/>
      <sheetName val="[손익기01_XL??DePara7"/>
      <sheetName val="Farol_Metas7"/>
      <sheetName val="Mod_Relac_7"/>
      <sheetName val="REALxMETA_-_CERVEJA9"/>
      <sheetName val="REALxMETA_-_REFRI9"/>
      <sheetName val="Directrices_de_Metas_20177"/>
      <sheetName val="Data_validation7"/>
      <sheetName val="Drop-down_List6"/>
      <sheetName val="by_DD6"/>
      <sheetName val="VALIDACION_DE_DATOS6"/>
      <sheetName val="Entity_Target7"/>
      <sheetName val="Jul-Sep_Actual_cost_(2)6"/>
      <sheetName val="Check_Qualidade5"/>
      <sheetName val="De_Para6"/>
      <sheetName val="Check_Aderencia5"/>
      <sheetName val="부재료_비교(11년_vs_10년)5"/>
      <sheetName val="_손익기01_XL_x005f_x0000__x0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_mngt_Pillar5"/>
      <sheetName val="2__Indicadores5"/>
      <sheetName val="Ta_5"/>
      <sheetName val="요일_테이블_5"/>
      <sheetName val="Sheet2_(2)5"/>
      <sheetName val="Other_Listings5"/>
      <sheetName val="Lista_de_Entrenamientos_RSO5"/>
      <sheetName val="Tablero_SDG8"/>
      <sheetName val="Lista_Areas8"/>
      <sheetName val="One_Page8"/>
      <sheetName val="Sub-Productos_HN6"/>
      <sheetName val="Eficiencia_linea5"/>
      <sheetName val="Pauta_RPS_Distribuição4"/>
      <sheetName val="Estoque_(2)4"/>
      <sheetName val="Comp_Inseguros4"/>
      <sheetName val="BNR_2012_в_ящике4"/>
      <sheetName val="DATOS_DE_VALIDACIÓN4"/>
      <sheetName val="Datos_con4"/>
      <sheetName val="_Datos_Cond_4"/>
      <sheetName val="DO_NOT_MOVE4"/>
      <sheetName val="INGRESO_(2)4"/>
      <sheetName val="PG-K1610_(UEN_Areas)MNG4"/>
      <sheetName val="DATOS_GEN_4"/>
      <sheetName val="NUEVOS_CRITERIOS4"/>
      <sheetName val="Condiciones_Agua4"/>
      <sheetName val="Dropdown_list3"/>
      <sheetName val="Proced_3"/>
      <sheetName val="Drop_list3"/>
      <sheetName val="FX_Rates3"/>
      <sheetName val="Cut_Machine_Summary3"/>
      <sheetName val="__한국_AMP_ASP-23_판㧤가격__3"/>
      <sheetName val="11_䡸화채무줝ⴌ(AFS,HTM)08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Data_selection1"/>
      <sheetName val="1_1"/>
      <sheetName val="Customer_&amp;_SO1"/>
      <sheetName val="Session_Proposal1"/>
      <sheetName val="Vagas_x_Candidatos3"/>
      <sheetName val="Listas_y_equipos_a_evaluar3"/>
      <sheetName val="Data_Reporte3"/>
      <sheetName val="Read_me3"/>
      <sheetName val="Champions_List2"/>
      <sheetName val="NAZ_Strategy1"/>
      <sheetName val="Daily_Dashboard3"/>
      <sheetName val="Dropdown_Menu"/>
      <sheetName val="Análise_Tempos"/>
      <sheetName val="PDA_BOP"/>
      <sheetName val="Validação_de_Dados"/>
      <sheetName val="No_llenar_"/>
      <sheetName val="Incentivo_Automóvil"/>
      <sheetName val="유류대_현황"/>
      <sheetName val="mapping_(2)"/>
      <sheetName val="Ref_"/>
      <sheetName val="2_3_Projects_Status"/>
      <sheetName val="Lista_de_Motivos"/>
      <sheetName val="Ponto_Crítico_-_Resp__Plano"/>
      <sheetName val="Lista_Funcionários_(2)"/>
      <sheetName val="Project_List"/>
      <sheetName val="PROCESS_MD"/>
      <sheetName val="Выпадающие_списки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Supporting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Razão Social"/>
      <sheetName val="MOTOSxCONDUTOR"/>
      <sheetName val="Plan4"/>
      <sheetName val="filtros"/>
      <sheetName val="Relatorio"/>
      <sheetName val="Codes"/>
      <sheetName val="PAINEL_RECOLHA_CRÉDITO"/>
      <sheetName val="Gráficos_-_CDD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Brand_P&amp;L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FAB별"/>
      <sheetName val="전기요금 산출내역"/>
      <sheetName val="_x005f_x005f_x005f_x0018__x005f_x005f_x005f_x0000_"/>
      <sheetName val="_x005f_x0018_?"/>
      <sheetName val="_x005f_x0018__"/>
      <sheetName val="기준재고"/>
      <sheetName val="수액원료4"/>
      <sheetName val="노원열병합  건축공사기성내역서"/>
      <sheetName val="640ꠌ᜹렀㣃씃"/>
      <sheetName val="640ꠏ᜹쀀씃"/>
      <sheetName val="미계약2"/>
      <sheetName val="시스템 개요 유효값"/>
      <sheetName val="Mot So Thuat Ngu EN-VI"/>
      <sheetName val="Sheet475"/>
      <sheetName val="7_Utility_Analysis"/>
      <sheetName val="Operational_Activities"/>
      <sheetName val="근거_및_가정1"/>
      <sheetName val="1_차입금1"/>
      <sheetName val="부대시행1_(2)1"/>
      <sheetName val="_견적서1"/>
      <sheetName val="Utility_Usage_YTN_TOWER1"/>
      <sheetName val="B-1_기본정보1"/>
      <sheetName val="PAD_TR보호대기초1"/>
      <sheetName val="설문_평가1"/>
      <sheetName val="대투_보관자료_변경1"/>
      <sheetName val="2-2_투자1"/>
      <sheetName val="Proj__Fin_1"/>
      <sheetName val="Rev__Recon_1"/>
      <sheetName val="1_고객불만건수"/>
      <sheetName val="1_변경범위"/>
      <sheetName val="HQ_급여_"/>
      <sheetName val="OF_급여"/>
      <sheetName val="F_Ma급여"/>
      <sheetName val="SMT_급여"/>
      <sheetName val="QC_급여"/>
      <sheetName val="Sam_sung_급여"/>
      <sheetName val="Dlock_급여"/>
      <sheetName val="_thôi_việc_급여"/>
      <sheetName val="Công_smt"/>
      <sheetName val="Công_smt_(2)"/>
      <sheetName val="Detail_smt"/>
      <sheetName val="Công_QC"/>
      <sheetName val="Detail_QC_"/>
      <sheetName val="Công_SS"/>
      <sheetName val="Detail_SS"/>
      <sheetName val="Công_FMa"/>
      <sheetName val="Detail_FMa"/>
      <sheetName val="Công_OF"/>
      <sheetName val="Detail_OF"/>
      <sheetName val="Công_Dlock"/>
      <sheetName val="Detail_Dlock"/>
      <sheetName val="Công_thôi_việc"/>
      <sheetName val="Detail_thôi"/>
      <sheetName val="C1_3_1"/>
      <sheetName val="입찰내역_Ĉᇆ"/>
      <sheetName val="입찰내역_Ĉᇆ"/>
      <sheetName val="Eq__Mobilization"/>
      <sheetName val="ITS_Assumptions"/>
      <sheetName val="Master_Data"/>
      <sheetName val="7_Utility_Analysis1"/>
      <sheetName val="Operational_Activities1"/>
      <sheetName val="Facility_Information2"/>
      <sheetName val="근거_및_가정2"/>
      <sheetName val="118_세금과공과2"/>
      <sheetName val="P_M_별3"/>
      <sheetName val="집계"/>
      <sheetName val="1TL종점(1)"/>
      <sheetName val="Worker_List"/>
      <sheetName val="GB-IC_Villingen_GG"/>
      <sheetName val="Mot_So_Thuat_Ngu_EN-VI"/>
      <sheetName val="(참조)"/>
      <sheetName val="Investment Category"/>
      <sheetName val="대환취급"/>
      <sheetName val="001"/>
      <sheetName val="네고14"/>
      <sheetName val="관리1"/>
      <sheetName val="연체리스료"/>
      <sheetName val="회사전체"/>
      <sheetName val="지급어음"/>
      <sheetName val="Asset9809CAK"/>
      <sheetName val="중속정보"/>
      <sheetName val="실행예산SHEET도장재검토"/>
      <sheetName val="0901"/>
      <sheetName val="식문화"/>
      <sheetName val="SRS 월별 BS"/>
      <sheetName val="SRS"/>
      <sheetName val="중기매출"/>
      <sheetName val="제조비(신청)"/>
      <sheetName val="경쟁사생산량추이"/>
      <sheetName val="12매출실적Copy"/>
      <sheetName val="매출액"/>
      <sheetName val="경영현황"/>
      <sheetName val="4월실적"/>
      <sheetName val="C"/>
      <sheetName val="평가&amp;선급.미지급"/>
      <sheetName val="지질조사"/>
      <sheetName val="07년10~12월"/>
      <sheetName val="EXC IND"/>
      <sheetName val="SRS_월별_BS"/>
      <sheetName val="평가&amp;선급_미지급"/>
      <sheetName val="COLOR별 인쇄"/>
      <sheetName val="일정표"/>
      <sheetName val="FED"/>
      <sheetName val="급여인상효과-연간부담분"/>
      <sheetName val="FORM4"/>
      <sheetName val="FORM1"/>
      <sheetName val="FORM2"/>
      <sheetName val="FORM3"/>
      <sheetName val="FORM5"/>
      <sheetName val="FORM10"/>
      <sheetName val="FORM15"/>
      <sheetName val="FORM16"/>
      <sheetName val="23기-3분기결산PL"/>
      <sheetName val="BATCH"/>
      <sheetName val="1-1"/>
      <sheetName val="wall"/>
      <sheetName val="1-2.설계변경요청서(갑지)"/>
      <sheetName val="사유집계"/>
      <sheetName val="설계변경내역서(주차관제)"/>
      <sheetName val="증감사유"/>
      <sheetName val="첨부1.(주차관제-.당공)"/>
      <sheetName val="첨부1-1.설계변경내역서(CCTV)"/>
      <sheetName val="첨부1-2.(주차관제-변공)"/>
      <sheetName val="2-6.변공량(추가공사)"/>
      <sheetName val=" 2-1.관제(물량산출서집계표)"/>
      <sheetName val=" 2-2.유도(물량산출서집계표)"/>
      <sheetName val="물량산출서(총괄)"/>
      <sheetName val="3-1.주차관제"/>
      <sheetName val="3-2.주차-광케이블"/>
      <sheetName val="3-3.층별LPR"/>
      <sheetName val="4-1.유도-광케이블"/>
      <sheetName val="4-2.주차키오스크"/>
      <sheetName val="4-3.4면카메라"/>
      <sheetName val="4-5.CCTV"/>
      <sheetName val="4-6.블럭유도등"/>
      <sheetName val="4-7.입구만차등"/>
      <sheetName val="4-8.비상벨"/>
      <sheetName val="지장물C"/>
      <sheetName val="협가표"/>
      <sheetName val="가설공사내역"/>
      <sheetName val="401"/>
      <sheetName val="1공구산출내역서"/>
      <sheetName val="7_공사비집_x0000__x0000_Ā_x0000__x0005__x0000_翸_x0000_"/>
      <sheetName val="기성"/>
      <sheetName val="BQ"/>
      <sheetName val="Basic"/>
      <sheetName val="교량하부공"/>
      <sheetName val="1~9 하중계산"/>
      <sheetName val="정공공사"/>
      <sheetName val="월간공정표(04월))"/>
      <sheetName val="날개벽수량표"/>
      <sheetName val="산출"/>
      <sheetName val="이름표"/>
      <sheetName val="증감대비"/>
      <sheetName val="공종단가"/>
      <sheetName val="1.수인터널"/>
      <sheetName val="아산추가1220"/>
      <sheetName val="sum_x0008_"/>
      <sheetName val="JT3.0견적-구1"/>
      <sheetName val="Dropbox 목록"/>
      <sheetName val="DB"/>
      <sheetName val="SS20"/>
      <sheetName val="SS10"/>
      <sheetName val="유리단가"/>
      <sheetName val="OUTER_A՜_x0000_缀_x0000__x0000__x0000_尀빙끯"/>
      <sheetName val="2_주요계수총괄2"/>
      <sheetName val="Project_Brief2"/>
      <sheetName val="단면_(2)2"/>
      <sheetName val="1__시공측량1"/>
      <sheetName val="1_본사계정별2"/>
      <sheetName val="납부내역총괄표_(수정)1"/>
      <sheetName val="수종별수량_(2)1"/>
      <sheetName val="3_6_2남양주택배1"/>
      <sheetName val="Back_Data_12"/>
      <sheetName val="1월_예산1"/>
      <sheetName val="Weekly_Progress(계장)1"/>
      <sheetName val="해외_기술훈련비_(합계)2"/>
      <sheetName val="전선_및_전선관1"/>
      <sheetName val="설산1_나1"/>
      <sheetName val="#1)_투자_구분1"/>
      <sheetName val="2013_2월_연결대상1"/>
      <sheetName val="G_R300경비"/>
      <sheetName val="AS포장복구_"/>
      <sheetName val="설_계"/>
      <sheetName val="수량산출서_갑지"/>
      <sheetName val="KEY_CODE1"/>
      <sheetName val="실행기성_갑지1"/>
      <sheetName val="준검_내역서"/>
      <sheetName val="날개수량1_5"/>
      <sheetName val="외주현황_wq11"/>
      <sheetName val="2-1_강사료,교통비_지급명세1"/>
      <sheetName val="13_포장용역비표준1"/>
      <sheetName val="9_가공부자재표준1"/>
      <sheetName val="8_ROLL표준(TSW)1"/>
      <sheetName val="4_톤당조관량표준1"/>
      <sheetName val="5_조관부자재표준1"/>
      <sheetName val="F_월별기성수금현황_"/>
      <sheetName val="기초정보_코드"/>
      <sheetName val="1__작성방식"/>
      <sheetName val="조도계산서_(도서)"/>
      <sheetName val="6월_공嚺㓶가"/>
      <sheetName val="sum_x000a_"/>
      <sheetName val="_"/>
      <sheetName val="설비등록"/>
      <sheetName val="표)CFT장_조직별_배분"/>
      <sheetName val="20180214_P&amp;T"/>
      <sheetName val="Ref__중점_추진_과제별_상세"/>
      <sheetName val="2_6_三无_(2)"/>
      <sheetName val="A(Rev_3)"/>
      <sheetName val="부대공사총괄"/>
      <sheetName val="건축공사집계표"/>
      <sheetName val="방배동내역 (총괄)"/>
      <sheetName val="공통비_x0000__x0000_ʯ"/>
      <sheetName val="공통비_x0000_í遘̩"/>
      <sheetName val="BSD (2)"/>
      <sheetName val="날개벽(시점좌측)"/>
      <sheetName val="철거산출근거"/>
      <sheetName val="01_02월_성B_x0000_"/>
      <sheetName val="gr_val"/>
      <sheetName val="gr_sum"/>
      <sheetName val="부대내역"/>
      <sheetName val="C1ㅇ"/>
      <sheetName val="단가조정"/>
      <sheetName val="나_출_x0000__x0000_"/>
      <sheetName val="입찰내역_Ĉ"/>
      <sheetName val="보고서_표"/>
      <sheetName val="0__가정_및_결론"/>
      <sheetName val="1__투자비"/>
      <sheetName val="2__Rent-roll"/>
      <sheetName val="3__Funding"/>
      <sheetName val="4__운영수익"/>
      <sheetName val="5__운영비용"/>
      <sheetName val="6_1_N+1년차_NOI_산정"/>
      <sheetName val="6__부동산매각"/>
      <sheetName val="7__보유세"/>
      <sheetName val="8__교통유발부담금"/>
      <sheetName val="9__BS부속"/>
      <sheetName val="10__CF(M)"/>
      <sheetName val="11__IS(M)"/>
      <sheetName val="12__BS(M)"/>
      <sheetName val="14__IS(FY)"/>
      <sheetName val="13__CF(FY)"/>
      <sheetName val="15__BS(FY)"/>
      <sheetName val="16__RE(FY)"/>
      <sheetName val="1_수인터널"/>
      <sheetName val="工완성공사율"/>
      <sheetName val="기초단가"/>
      <sheetName val="파일의이용"/>
      <sheetName val="총괄집계표"/>
      <sheetName val="합계표"/>
      <sheetName val="_x005f_x0000___x0000__x0000__x0005__x0000_㴐ኰ"/>
      <sheetName val="_x005f_x0000___x0000__x0000__x0005__x0000_움ᕕ"/>
      <sheetName val="2_실행ﶻĉ_x0000_"/>
      <sheetName val="2_실행䔭疖꜀"/>
      <sheetName val="2_실행ﶻ_x001e__x0000_"/>
      <sheetName val="오스피셔스제사차"/>
      <sheetName val="공종별집계"/>
      <sheetName val="항목(1)"/>
      <sheetName val="BOOK4"/>
      <sheetName val="7_공사비집"/>
      <sheetName val="2.FM Fee_2차년도"/>
      <sheetName val="3.감가장비"/>
      <sheetName val="이자"/>
      <sheetName val="master(ZH)"/>
      <sheetName val="NG Item"/>
      <sheetName val="3.공통공사대비"/>
      <sheetName val="2002년12월"/>
      <sheetName val="현장관리비 산출내역"/>
      <sheetName val="일일투입집계표"/>
      <sheetName val="평가데이터"/>
      <sheetName val="Macro3"/>
      <sheetName val="무형자산 LS11"/>
      <sheetName val="Global"/>
      <sheetName val="_x005f_x0000_"/>
      <sheetName val="기타수지&amp;특별손익_ﹴÕ"/>
      <sheetName val="_x005f_x005f_x005f_x005f_x005f_x005f_x005f_x0018__x005f"/>
      <sheetName val="_x005f_x005f_x005f_x0018__"/>
      <sheetName val="간접비"/>
      <sheetName val="OH _x000f__x0000__x000c__x0000__x0006__x0000__x0005__x0000__x000c__x0000_"/>
      <sheetName val="_x0000__x0004__x0000__x0002__x0000__x0002__x0000__x0005__x0000__x0008__x0000_"/>
      <sheetName val="ࠀ฀က฀Ԁ"/>
      <sheetName val="Ref. Spec Review 양식"/>
      <sheetName val="Ref. 시험항목 테이블"/>
      <sheetName val="Ref. Search Result 테이블"/>
      <sheetName val="Bank_code"/>
      <sheetName val="Drop-down_RAW"/>
      <sheetName val="Basic_Information"/>
      <sheetName val="Exchange_rate"/>
      <sheetName val="견적서"/>
      <sheetName val="1711월"/>
      <sheetName val="개발계획수립"/>
      <sheetName val="건축"/>
      <sheetName val="산근(목록)"/>
      <sheetName val="심사계산"/>
      <sheetName val="변수"/>
      <sheetName val="심사물량"/>
      <sheetName val="입력"/>
      <sheetName val="노임단"/>
      <sheetName val="단위수량"/>
      <sheetName val="예측단가간지"/>
      <sheetName val="환경일위대가"/>
      <sheetName val="1~69"/>
      <sheetName val="01_건설공사_투입인원수_산정"/>
      <sheetName val="운반공"/>
      <sheetName val="이형관중량"/>
      <sheetName val="일위목록"/>
      <sheetName val="자재단"/>
      <sheetName val="장비단"/>
      <sheetName val="고시단가"/>
      <sheetName val="지구단위계획"/>
      <sheetName val="단위모델"/>
      <sheetName val="PAD_TR보호대기초2"/>
      <sheetName val="1__시공측량2"/>
      <sheetName val="납부내역총괄표_(수정)2"/>
      <sheetName val="수종별수량_(2)2"/>
      <sheetName val="Weekly_Progress(계장)2"/>
      <sheetName val="1_차입금2"/>
      <sheetName val="부대시행1_(2)2"/>
      <sheetName val="3_6_2남양주택배2"/>
      <sheetName val="설산1_나2"/>
      <sheetName val="main"/>
      <sheetName val="무역한도관리"/>
      <sheetName val="OH _x000f_"/>
      <sheetName val="____"/>
      <sheetName val="국내_x0000__x0000_"/>
      <sheetName val="운반"/>
      <sheetName val="자판실행"/>
      <sheetName val="자금_제_x0000__x0000_Ԁ_x0000_"/>
      <sheetName val="지급제한자"/>
      <sheetName val="tifico"/>
      <sheetName val="생산"/>
      <sheetName val="단가조사표"/>
      <sheetName val="NCR_HEC_6 Opens"/>
      <sheetName val="NCR_HEC_4 Open &amp; Vendor_2 Opens"/>
      <sheetName val="참고3.DATA"/>
      <sheetName val="건축갑지"/>
      <sheetName val="건축내역서"/>
      <sheetName val="견적보고서"/>
      <sheetName val="NKC (final)"/>
      <sheetName val="물가대비표"/>
      <sheetName val="상반기손익차2총괄"/>
      <sheetName val="OUTER_A՜"/>
      <sheetName val="M&amp;Q_Lead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4_1_월별_에너지_사용량"/>
      <sheetName val="첨부#2_Cash_Flow(현장작성)"/>
      <sheetName val="7_공사비집Ā翸"/>
      <sheetName val="NKC_(final)"/>
      <sheetName val="1-2_설계변경요청서(갑지)"/>
      <sheetName val="첨부1_(주차관제-_당공)"/>
      <sheetName val="첨부1-1_설계변경내역서(CCTV)"/>
      <sheetName val="첨부1-2_(주차관제-변공)"/>
      <sheetName val="2-6_변공량(추가공사)"/>
      <sheetName val="_2-1_관제(물량산출서집계표)"/>
      <sheetName val="_2-2_유도(물량산출서집계표)"/>
      <sheetName val="3-1_주차관제"/>
      <sheetName val="3-2_주차-광케이블"/>
      <sheetName val="3-3_층별LPR"/>
      <sheetName val="4-1_유도-광케이블"/>
      <sheetName val="4-2_주차키오스크"/>
      <sheetName val="4-3_4면카메라"/>
      <sheetName val="4-5_CCTV"/>
      <sheetName val="4-6_블럭유도등"/>
      <sheetName val="4-7_입구만차등"/>
      <sheetName val="4-8_비상벨"/>
      <sheetName val="__Dscljh_c_EXCEL________1_96__2"/>
      <sheetName val="수량산출서 (2)"/>
      <sheetName val="토공(우물통,기타) "/>
      <sheetName val="STRAT_PLAN_WKSHT2"/>
      <sheetName val="Sales_Plan_&amp;_other2"/>
      <sheetName val="drop_downs1"/>
      <sheetName val="산자사_운전용품"/>
      <sheetName val="업무_분류(Category)"/>
      <sheetName val="구분_Table"/>
      <sheetName val="역T형옹벽(3_0)"/>
      <sheetName val="외상매출금현황-수정분_A2"/>
      <sheetName val="3_일반사상"/>
      <sheetName val="Project_Count"/>
      <sheetName val="control_sheet"/>
      <sheetName val="PF_현황(11년12월)"/>
      <sheetName val="Diesel_Price_"/>
      <sheetName val="진행_DATA_(2)"/>
      <sheetName val="견적_맵"/>
      <sheetName val="업무분장_"/>
      <sheetName val="7300-1000_111"/>
      <sheetName val="PJT_현황"/>
      <sheetName val="참고)_기준정보"/>
      <sheetName val="Long_Term_Prices"/>
      <sheetName val="문의내용_카테고리_분류(수정X)"/>
      <sheetName val="Sensitivity_and_GC_Value"/>
      <sheetName val="B05"/>
      <sheetName val="B07"/>
      <sheetName val="A02"/>
      <sheetName val="A04"/>
      <sheetName val="A13"/>
      <sheetName val="B08"/>
      <sheetName val="B10"/>
      <sheetName val="Insight MTD QTD YTD DATA"/>
      <sheetName val="Working (PivotTable)"/>
      <sheetName val="Essbase (53 Weeks)"/>
      <sheetName val="Essbase (52 Weeks)"/>
      <sheetName val="Store Listing"/>
      <sheetName val="COMP Working"/>
      <sheetName val="Q1"/>
      <sheetName val="Q2"/>
      <sheetName val="Q3"/>
      <sheetName val="COMP LLY Working"/>
      <sheetName val="주주명부&lt;끝&gt;"/>
      <sheetName val="지역개발"/>
      <sheetName val="매입매출(입력)"/>
      <sheetName val="상표권"/>
      <sheetName val="체신주조서"/>
      <sheetName val="91"/>
      <sheetName val="생산1-2"/>
      <sheetName val="생산1-1"/>
      <sheetName val="매출계획"/>
      <sheetName val="품의서개정(갑)"/>
      <sheetName val="10.예산 및 원가 계획(02년)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/>
      <sheetData sheetId="1103"/>
      <sheetData sheetId="1104"/>
      <sheetData sheetId="1105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/>
      <sheetData sheetId="1301"/>
      <sheetData sheetId="1302"/>
      <sheetData sheetId="1303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/>
      <sheetData sheetId="1312" refreshError="1"/>
      <sheetData sheetId="1313"/>
      <sheetData sheetId="1314" refreshError="1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/>
      <sheetData sheetId="1529" refreshError="1"/>
      <sheetData sheetId="1530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/>
      <sheetData sheetId="1764"/>
      <sheetData sheetId="1765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 refreshError="1"/>
      <sheetData sheetId="1864"/>
      <sheetData sheetId="1865"/>
      <sheetData sheetId="1866" refreshError="1"/>
      <sheetData sheetId="1867"/>
      <sheetData sheetId="1868" refreshError="1"/>
      <sheetData sheetId="1869"/>
      <sheetData sheetId="1870" refreshError="1"/>
      <sheetData sheetId="1871" refreshError="1"/>
      <sheetData sheetId="1872" refreshError="1"/>
      <sheetData sheetId="1873" refreshError="1"/>
      <sheetData sheetId="1874"/>
      <sheetData sheetId="1875" refreshError="1"/>
      <sheetData sheetId="1876" refreshError="1"/>
      <sheetData sheetId="1877"/>
      <sheetData sheetId="1878"/>
      <sheetData sheetId="1879" refreshError="1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 refreshError="1"/>
      <sheetData sheetId="2766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/>
      <sheetData sheetId="2810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/>
      <sheetData sheetId="2822"/>
      <sheetData sheetId="2823"/>
      <sheetData sheetId="2824"/>
      <sheetData sheetId="2825"/>
      <sheetData sheetId="2826"/>
      <sheetData sheetId="2827"/>
      <sheetData sheetId="2828" refreshError="1"/>
      <sheetData sheetId="2829" refreshError="1"/>
      <sheetData sheetId="2830"/>
      <sheetData sheetId="2831"/>
      <sheetData sheetId="2832"/>
      <sheetData sheetId="2833"/>
      <sheetData sheetId="2834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/>
      <sheetData sheetId="2877" refreshError="1"/>
      <sheetData sheetId="2878" refreshError="1"/>
      <sheetData sheetId="2879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/>
      <sheetData sheetId="2903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/>
      <sheetData sheetId="3404"/>
      <sheetData sheetId="3405"/>
      <sheetData sheetId="3406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/>
      <sheetData sheetId="4095"/>
      <sheetData sheetId="4096"/>
      <sheetData sheetId="4097" refreshError="1"/>
      <sheetData sheetId="4098" refreshError="1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 refreshError="1"/>
      <sheetData sheetId="4297" refreshError="1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 refreshError="1"/>
      <sheetData sheetId="4401" refreshError="1"/>
      <sheetData sheetId="4402" refreshError="1"/>
      <sheetData sheetId="4403" refreshError="1"/>
      <sheetData sheetId="4404"/>
      <sheetData sheetId="4405"/>
      <sheetData sheetId="4406"/>
      <sheetData sheetId="4407"/>
      <sheetData sheetId="4408"/>
      <sheetData sheetId="4409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 refreshError="1"/>
      <sheetData sheetId="4813" refreshError="1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 refreshError="1"/>
      <sheetData sheetId="5204" refreshError="1"/>
      <sheetData sheetId="5205"/>
      <sheetData sheetId="5206"/>
      <sheetData sheetId="5207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/>
      <sheetData sheetId="5237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/>
      <sheetData sheetId="5277"/>
      <sheetData sheetId="5278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/>
      <sheetData sheetId="5396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/>
      <sheetData sheetId="5423"/>
      <sheetData sheetId="5424"/>
      <sheetData sheetId="5425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/>
      <sheetData sheetId="5456"/>
      <sheetData sheetId="5457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 refreshError="1"/>
      <sheetData sheetId="5515" refreshError="1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현금흐름"/>
      <sheetName val="시멘트"/>
      <sheetName val="목표세부명세"/>
      <sheetName val="45,46"/>
      <sheetName val="공사비집계"/>
      <sheetName val="입찰안"/>
      <sheetName val="공통가설"/>
      <sheetName val="수입"/>
      <sheetName val="폼관조직"/>
      <sheetName val="월별수입"/>
      <sheetName val="차수"/>
      <sheetName val="화의-현금흐름"/>
      <sheetName val="담보"/>
      <sheetName val="1유리"/>
      <sheetName val="호프"/>
      <sheetName val="예적금"/>
      <sheetName val="월별손익"/>
      <sheetName val="추가예산"/>
      <sheetName val="매출"/>
      <sheetName val="국내총괄"/>
      <sheetName val="특판제외"/>
      <sheetName val="건축공사실행"/>
      <sheetName val="건축원가"/>
      <sheetName val="5사남"/>
      <sheetName val="현장관리비"/>
      <sheetName val="020114"/>
      <sheetName val="0111월"/>
      <sheetName val="A-4"/>
      <sheetName val="점수계산1-2"/>
      <sheetName val="인건비"/>
      <sheetName val="base"/>
      <sheetName val="공문"/>
      <sheetName val="교각1"/>
      <sheetName val="Sheet5"/>
      <sheetName val="#REF"/>
      <sheetName val="업체FIX"/>
      <sheetName val="손익"/>
      <sheetName val="입찰보고"/>
      <sheetName val="SUMMARY"/>
      <sheetName val="PAINT"/>
      <sheetName val="FURNITURE-01"/>
      <sheetName val="I一般比"/>
      <sheetName val="건축내역"/>
      <sheetName val="지급자재"/>
      <sheetName val="ABUT수량-A1"/>
      <sheetName val="대손검토"/>
      <sheetName val="차액보증"/>
      <sheetName val="Sheet1 (2)"/>
      <sheetName val="이자율"/>
      <sheetName val="SO416"/>
      <sheetName val="분양금입금계획"/>
      <sheetName val="투입"/>
      <sheetName val="IMPEADENCE MAP 취수장"/>
      <sheetName val="SKETCH"/>
      <sheetName val="REINF."/>
      <sheetName val="LOADS"/>
      <sheetName val="CHECK1"/>
      <sheetName val="손익계산서"/>
      <sheetName val="설계내역서"/>
      <sheetName val="인사자료총집계"/>
      <sheetName val="내역서"/>
      <sheetName val="최종"/>
      <sheetName val="choose"/>
      <sheetName val="fs"/>
      <sheetName val="원본"/>
      <sheetName val="공정코드"/>
      <sheetName val="9GNG운반"/>
      <sheetName val="지하시설물작성"/>
      <sheetName val="Intro2"/>
      <sheetName val="Id"/>
      <sheetName val="재무가정"/>
      <sheetName val="수정시산표"/>
      <sheetName val="인원계획-미화"/>
      <sheetName val="노무비"/>
      <sheetName val="출자한도"/>
      <sheetName val="Sheet3"/>
      <sheetName val="6동"/>
      <sheetName val="내역"/>
      <sheetName val="기본DATA"/>
      <sheetName val="토목주소"/>
      <sheetName val="프랜트면허"/>
      <sheetName val="전체"/>
      <sheetName val="실행철강하도"/>
      <sheetName val="D1300 자삽"/>
      <sheetName val="목차"/>
      <sheetName val="결산감사"/>
      <sheetName val="선수금(29)"/>
      <sheetName val="별제권_정리담보권"/>
      <sheetName val="01"/>
      <sheetName val="Config"/>
      <sheetName val="2.주요계수총괄"/>
      <sheetName val="물량표(신)"/>
      <sheetName val="b_balju"/>
      <sheetName val="b_balju (2)"/>
      <sheetName val="b_gunmul"/>
      <sheetName val="물량표"/>
      <sheetName val="명단"/>
      <sheetName val="선급비용"/>
      <sheetName val="실행기초"/>
      <sheetName val="낙찰표"/>
      <sheetName val="INPUT"/>
      <sheetName val="Customer Databas"/>
      <sheetName val="상가지급현황"/>
      <sheetName val="음료실행"/>
      <sheetName val="갑지(추정)"/>
      <sheetName val="ITEM"/>
      <sheetName val="시산표"/>
      <sheetName val="일반"/>
      <sheetName val="잡비"/>
      <sheetName val="BSD (2)"/>
      <sheetName val="1공구산출내역서"/>
      <sheetName val="견적공통"/>
      <sheetName val="A (Calcs)"/>
      <sheetName val="B (Controls)"/>
      <sheetName val="Set-Up"/>
      <sheetName val="Multi-Iteration"/>
      <sheetName val="적용환율"/>
      <sheetName val="확인서"/>
      <sheetName val="별제권_정리담보권1"/>
      <sheetName val="회사정보"/>
      <sheetName val="계수원본(99.2.28)"/>
      <sheetName val="대차대조표"/>
      <sheetName val="Scenario"/>
      <sheetName val="Ⅱ1-0타"/>
      <sheetName val="인근점포"/>
      <sheetName val="날1"/>
      <sheetName val="건축집계"/>
      <sheetName val="EACT10"/>
      <sheetName val="일위대가"/>
      <sheetName val="부대공Ⅱ"/>
      <sheetName val="기준및분포(OT)"/>
      <sheetName val="면적"/>
      <sheetName val="현금및현금등가물1"/>
      <sheetName val="편입조서"/>
      <sheetName val="표지_(3)"/>
      <sheetName val="표지_(2)"/>
      <sheetName val="자재업체(egy)_"/>
      <sheetName val="노임이_(2)"/>
      <sheetName val="차선도색현황"/>
      <sheetName val="횡배수관토공수량"/>
      <sheetName val="원가"/>
      <sheetName val="토공99-5=2"/>
      <sheetName val="단가대비표"/>
      <sheetName val="수목표준대가"/>
      <sheetName val="차량운반구"/>
      <sheetName val="Dept Upload"/>
      <sheetName val="93상각비"/>
      <sheetName val="982월원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우편물 발송내역"/>
      <sheetName val="지출결의서"/>
      <sheetName val="Acc20040528"/>
      <sheetName val="Cash Shipper"/>
      <sheetName val="지출결의서내역"/>
    </sheetNames>
    <sheetDataSet>
      <sheetData sheetId="0" refreshError="1"/>
      <sheetData sheetId="1" refreshError="1"/>
      <sheetData sheetId="2">
        <row r="12">
          <cell r="A12" t="str">
            <v>D0035</v>
          </cell>
          <cell r="B12" t="str">
            <v>㈜도모에이아이티</v>
          </cell>
          <cell r="C12" t="str">
            <v>211-86-75575</v>
          </cell>
          <cell r="F12" t="str">
            <v>세금계산서 발송후 10일정도에 우리쪽에 입금됨</v>
          </cell>
        </row>
        <row r="13">
          <cell r="A13" t="str">
            <v>H0012</v>
          </cell>
          <cell r="B13" t="str">
            <v>하네스글로벌</v>
          </cell>
          <cell r="C13" t="str">
            <v>123-86-00608</v>
          </cell>
          <cell r="F13" t="str">
            <v>월말결제업체</v>
          </cell>
        </row>
        <row r="14">
          <cell r="A14" t="str">
            <v>S0025</v>
          </cell>
          <cell r="B14" t="str">
            <v>한국소니전자㈜</v>
          </cell>
          <cell r="C14" t="str">
            <v>608-81-15999</v>
          </cell>
          <cell r="F14" t="str">
            <v>우편물 25일 발송 월말결제업체</v>
          </cell>
        </row>
        <row r="15">
          <cell r="A15" t="str">
            <v>W0001</v>
          </cell>
          <cell r="B15" t="str">
            <v>㈜더블유에스아이티씨</v>
          </cell>
          <cell r="C15">
            <v>1308603675</v>
          </cell>
          <cell r="F15" t="str">
            <v>월말결제업체</v>
          </cell>
        </row>
      </sheetData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"/>
      <sheetName val="K arp"/>
      <sheetName val="감상overall"/>
      <sheetName val="K5"/>
      <sheetName val="K6"/>
      <sheetName val="calendar"/>
      <sheetName val="HEADER"/>
      <sheetName val="langu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현황"/>
      <sheetName val="현황2"/>
      <sheetName val="부지"/>
      <sheetName val="부지2"/>
      <sheetName val="계획"/>
      <sheetName val="증설"/>
      <sheetName val="금액"/>
      <sheetName val="수지"/>
      <sheetName val="결론"/>
      <sheetName val="결론2"/>
      <sheetName val="Sheet1"/>
      <sheetName val="해안"/>
      <sheetName val="++++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s"/>
      <sheetName val="P&amp;L"/>
      <sheetName val="P1 &amp; P2 analysis"/>
      <sheetName val="Debtors"/>
      <sheetName val="Cash Flows"/>
      <sheetName val="Staff"/>
      <sheetName val="Portfolio"/>
      <sheetName val="Treasury - quarterly"/>
      <sheetName val="Risks - quarterly"/>
      <sheetName val="96월별P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Sheet2"/>
      <sheetName val="충당"/>
      <sheetName val="Commen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종합대책2"/>
      <sheetName val="빙과"/>
      <sheetName val="유지 "/>
      <sheetName val="대책"/>
      <sheetName val="삼강"/>
      <sheetName val="Sheet1"/>
      <sheetName val="IMCI-Assumptions (Mgt.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il"/>
      <sheetName val="May"/>
      <sheetName val="June"/>
      <sheetName val="July"/>
      <sheetName val="Aug"/>
      <sheetName val="Sep"/>
      <sheetName val="Oct"/>
      <sheetName val="Nov"/>
      <sheetName val="Dec"/>
      <sheetName val="YTD"/>
      <sheetName val="Inventory_YTD"/>
      <sheetName val="Inventory"/>
      <sheetName val="COGS"/>
      <sheetName val="PPV"/>
      <sheetName val="Sheet1"/>
      <sheetName val="수율생산"/>
      <sheetName val="지역개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Actual-December</v>
          </cell>
        </row>
      </sheetData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_Recon"/>
      <sheetName val="Balance_Main"/>
      <sheetName val="Cashflow KRW"/>
      <sheetName val="CITI_MMDA"/>
      <sheetName val="USD_TRANS"/>
      <sheetName val="AUD_TRANS"/>
      <sheetName val="EUR_TRANS"/>
      <sheetName val="FC"/>
      <sheetName val="ST_INVEST"/>
      <sheetName val="LOAN"/>
      <sheetName val="HANA_MMDA"/>
      <sheetName val="HANA_TD"/>
      <sheetName val="CITI_CD"/>
      <sheetName val="PLACE"/>
      <sheetName val="SWEEP"/>
      <sheetName val="RATE"/>
      <sheetName val="REPORT"/>
      <sheetName val="Accr_Int_P"/>
      <sheetName val="Accr_Int_R"/>
      <sheetName val="Dec"/>
      <sheetName val="수율생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C3" t="str">
            <v xml:space="preserve">HANA_MMDA 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DAY</v>
          </cell>
        </row>
      </sheetData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분석"/>
      <sheetName val="조정자산리스트"/>
      <sheetName val="Sheet1"/>
      <sheetName val="OM"/>
      <sheetName val="FM"/>
      <sheetName val="RATE"/>
      <sheetName val="ST_INVEST"/>
      <sheetName val="주행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리손익"/>
      <sheetName val="조리EBITDA"/>
      <sheetName val="조리이자"/>
      <sheetName val="조리면투자"/>
      <sheetName val="손익"/>
      <sheetName val="손익세부"/>
      <sheetName val="세부2"/>
      <sheetName val="Sheet1"/>
      <sheetName val="Sheet2"/>
      <sheetName val="Sheet3"/>
      <sheetName val="일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00"/>
      <sheetName val="T110"/>
      <sheetName val="T111"/>
      <sheetName val="T112"/>
      <sheetName val="T120"/>
      <sheetName val="T121"/>
      <sheetName val="T122"/>
      <sheetName val="T123"/>
      <sheetName val="T140"/>
      <sheetName val="8차(1)"/>
      <sheetName val="8차(2)"/>
      <sheetName val="9차(1)"/>
      <sheetName val="9차(2)"/>
      <sheetName val="T100 Equity_IPS"/>
    </sheetNames>
    <definedNames>
      <definedName name="BB"/>
      <definedName name="bsNote"/>
      <definedName name="btnClose"/>
      <definedName name="btnFootNoting"/>
      <definedName name="btnNext"/>
      <definedName name="btnOK"/>
      <definedName name="btnPrevious"/>
      <definedName name="btnReturn"/>
      <definedName name="cash"/>
      <definedName name="CashFlow_Button1_Click"/>
      <definedName name="cashIndex"/>
      <definedName name="F_123"/>
      <definedName name="FINAL_FS"/>
      <definedName name="finalReport"/>
      <definedName name="ini_button_Click"/>
      <definedName name="job_run"/>
      <definedName name="menu_button_Click"/>
      <definedName name="OptionButton21_Click"/>
      <definedName name="plNote"/>
      <definedName name="PL환산"/>
      <definedName name="quit_button_Click"/>
      <definedName name="reportPl"/>
      <definedName name="ㄴㅁㅇㄻㄴㅇㄹ"/>
      <definedName name="집기비품"/>
      <definedName name="총괄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L  (주)두산"/>
      <sheetName val="Sum_BS (주)두산"/>
      <sheetName val="Sum_PL  (상사)"/>
      <sheetName val="Sum_BS (상사)"/>
      <sheetName val="Sum_PL  (식품)"/>
      <sheetName val="Sum_BS (식품)"/>
      <sheetName val="Sum_PL  (기계)"/>
      <sheetName val="Sum_BS (기계)"/>
      <sheetName val="Sum_PL  (전자)"/>
      <sheetName val="Sum_BS (전자)"/>
      <sheetName val="Sum_PL  (출판)"/>
      <sheetName val="Sum_BS (출판)"/>
      <sheetName val="Sum_PL  (주류)"/>
      <sheetName val="Sum_BS (주류)"/>
      <sheetName val="Sum_PL (타워)"/>
      <sheetName val="Sum_BS (타워)"/>
      <sheetName val="Sum_PL (바이오)"/>
      <sheetName val="Sum_BS (바이오)"/>
      <sheetName val="Sum_PL (의류)"/>
      <sheetName val="Sum_BS (의류)"/>
      <sheetName val="Sum_PL(외식)"/>
      <sheetName val="Sum_BS (외식)"/>
      <sheetName val="Sum_PL (정보)"/>
      <sheetName val="Sum_BS (정보)"/>
      <sheetName val="Sum_PL (잡지)"/>
      <sheetName val="Sum_BS (잡지)"/>
      <sheetName val="Sum_PL 테크팩"/>
      <sheetName val="Sum_BS 테크팩"/>
      <sheetName val="Sum_PL (관리)"/>
      <sheetName val="Sum_BS (관리)"/>
      <sheetName val="Sum_PL"/>
      <sheetName val="Sum_BS"/>
      <sheetName val="PRT_BS"/>
      <sheetName val="PRT_PL"/>
      <sheetName val="Data"/>
      <sheetName val="송전기본"/>
      <sheetName val="12341"/>
      <sheetName val="BAN9905"/>
      <sheetName val="ITEMLIST9911"/>
      <sheetName val="지분법(회사장부)"/>
      <sheetName val="Variable"/>
      <sheetName val="제조부문배부"/>
      <sheetName val="Collateral"/>
      <sheetName val="Disposition"/>
      <sheetName val=" new Codes used"/>
      <sheetName val="Sum_PL__(주)두산"/>
      <sheetName val="Sum_BS_(주)두산"/>
      <sheetName val="Sum_PL__(상사)"/>
      <sheetName val="Sum_BS_(상사)"/>
      <sheetName val="Sum_PL__(식품)"/>
      <sheetName val="Sum_BS_(식품)"/>
      <sheetName val="Sum_PL__(기계)"/>
      <sheetName val="Sum_BS_(기계)"/>
      <sheetName val="Sum_PL__(전자)"/>
      <sheetName val="Sum_BS_(전자)"/>
      <sheetName val="Sum_PL__(출판)"/>
      <sheetName val="Sum_BS_(출판)"/>
      <sheetName val="Sum_PL__(주류)"/>
      <sheetName val="Sum_BS_(주류)"/>
      <sheetName val="Sum_PL_(타워)"/>
      <sheetName val="Sum_BS_(타워)"/>
      <sheetName val="Sum_PL_(바이오)"/>
      <sheetName val="Sum_BS_(바이오)"/>
      <sheetName val="Sum_PL_(의류)"/>
      <sheetName val="Sum_BS_(의류)"/>
      <sheetName val="Sum_BS_(외식)"/>
      <sheetName val="Sum_PL_(정보)"/>
      <sheetName val="Sum_BS_(정보)"/>
      <sheetName val="Sum_PL_(잡지)"/>
      <sheetName val="Sum_BS_(잡지)"/>
      <sheetName val="Sum_PL_테크팩"/>
      <sheetName val="Sum_BS_테크팩"/>
      <sheetName val="Sum_PL_(관리)"/>
      <sheetName val="Sum_BS_(관리)"/>
      <sheetName val="_new_Codes_used"/>
      <sheetName val="Bank charge"/>
      <sheetName val="97년추정손익계산서"/>
      <sheetName val="Sheet3"/>
      <sheetName val="월별손익"/>
      <sheetName val="노동부"/>
      <sheetName val="누TB"/>
      <sheetName val="Æo°¡±aAØ"/>
      <sheetName val="9609Aß"/>
      <sheetName val="출입자명단"/>
      <sheetName val="9-1차이내역"/>
      <sheetName val="Working"/>
      <sheetName val="1.2 IS-BS assumptions"/>
      <sheetName val="dec"/>
      <sheetName val="local description"/>
      <sheetName val="P&amp;L"/>
      <sheetName val="실사"/>
      <sheetName val="관계주식"/>
      <sheetName val="대출 상환 계획"/>
      <sheetName val="#2 BSPL"/>
      <sheetName val="차종MH"/>
      <sheetName val="Borrower"/>
      <sheetName val="A"/>
      <sheetName val="B"/>
      <sheetName val="BS"/>
      <sheetName val="Analysis"/>
      <sheetName val="126.255"/>
      <sheetName val="213"/>
      <sheetName val="2.주요계수총괄"/>
      <sheetName val="점수계산1-2"/>
      <sheetName val="45,46"/>
      <sheetName val="TEMP1"/>
      <sheetName val="TEMP2"/>
      <sheetName val="시산"/>
      <sheetName val="FOOD&amp;BEVERAGE"/>
      <sheetName val="MAINT. &amp; UTILITIES"/>
      <sheetName val="8-1차이내역"/>
      <sheetName val="10-3월별수입"/>
      <sheetName val="선급비용"/>
      <sheetName val="StandAlne"/>
      <sheetName val="전신환매도율"/>
      <sheetName val="graph"/>
      <sheetName val="잡손실내역"/>
      <sheetName val="PL"/>
      <sheetName val="손익분기점 데이터"/>
      <sheetName val="LEGEND"/>
      <sheetName val="admin"/>
      <sheetName val="1_2_IS-BS_assumptions"/>
      <sheetName val="산정기준"/>
      <sheetName val="DATA-B"/>
      <sheetName val="자금계획(N)"/>
      <sheetName val="MACRO"/>
      <sheetName val="Sum_PL__(주)두산1"/>
      <sheetName val="Sum_BS_(주)두산1"/>
      <sheetName val="Sum_PL__(상사)1"/>
      <sheetName val="Sum_BS_(상사)1"/>
      <sheetName val="Sum_PL__(식품)1"/>
      <sheetName val="Sum_BS_(식품)1"/>
      <sheetName val="Sum_PL__(기계)1"/>
      <sheetName val="Sum_BS_(기계)1"/>
      <sheetName val="Sum_PL__(전자)1"/>
      <sheetName val="Sum_BS_(전자)1"/>
      <sheetName val="Sum_PL__(출판)1"/>
      <sheetName val="Sum_BS_(출판)1"/>
      <sheetName val="Sum_PL__(주류)1"/>
      <sheetName val="Sum_BS_(주류)1"/>
      <sheetName val="Sum_PL_(타워)1"/>
      <sheetName val="Sum_BS_(타워)1"/>
      <sheetName val="Sum_PL_(바이오)1"/>
      <sheetName val="Sum_BS_(바이오)1"/>
      <sheetName val="Sum_PL_(의류)1"/>
      <sheetName val="Sum_BS_(의류)1"/>
      <sheetName val="Sum_BS_(외식)1"/>
      <sheetName val="Sum_PL_(정보)1"/>
      <sheetName val="Sum_BS_(정보)1"/>
      <sheetName val="Sum_PL_(잡지)1"/>
      <sheetName val="Sum_BS_(잡지)1"/>
      <sheetName val="Sum_PL_테크팩1"/>
      <sheetName val="Sum_BS_테크팩1"/>
      <sheetName val="Sum_PL_(관리)1"/>
      <sheetName val="Sum_BS_(관리)1"/>
      <sheetName val="_new_Codes_used1"/>
      <sheetName val="Bank_charge"/>
      <sheetName val="1_2_IS-BS_assumptions1"/>
      <sheetName val="local_description"/>
      <sheetName val="대출_상환_계획"/>
      <sheetName val="#2_BSPL"/>
      <sheetName val="126_255"/>
      <sheetName val="2_주요계수총괄"/>
      <sheetName val="MAINT__&amp;_UTILITIES"/>
      <sheetName val="손익분기점_데이터"/>
      <sheetName val="Sum_PL__(주)두산2"/>
      <sheetName val="Sum_BS_(주)두산2"/>
      <sheetName val="Sum_PL__(상사)2"/>
      <sheetName val="Sum_BS_(상사)2"/>
      <sheetName val="Sum_PL__(식품)2"/>
      <sheetName val="Sum_BS_(식품)2"/>
      <sheetName val="Sum_PL__(기계)2"/>
      <sheetName val="Sum_BS_(기계)2"/>
      <sheetName val="Sum_PL__(전자)2"/>
      <sheetName val="Sum_BS_(전자)2"/>
      <sheetName val="Sum_PL__(출판)2"/>
      <sheetName val="Sum_BS_(출판)2"/>
      <sheetName val="Sum_PL__(주류)2"/>
      <sheetName val="Sum_BS_(주류)2"/>
      <sheetName val="Sum_PL_(타워)2"/>
      <sheetName val="Sum_BS_(타워)2"/>
      <sheetName val="Sum_PL_(바이오)2"/>
      <sheetName val="Sum_BS_(바이오)2"/>
      <sheetName val="Sum_PL_(의류)2"/>
      <sheetName val="Sum_BS_(의류)2"/>
      <sheetName val="Sum_BS_(외식)2"/>
      <sheetName val="Sum_PL_(정보)2"/>
      <sheetName val="Sum_BS_(정보)2"/>
      <sheetName val="Sum_PL_(잡지)2"/>
      <sheetName val="Sum_BS_(잡지)2"/>
      <sheetName val="Sum_PL_테크팩2"/>
      <sheetName val="Sum_BS_테크팩2"/>
      <sheetName val="Sum_PL_(관리)2"/>
      <sheetName val="Sum_BS_(관리)2"/>
      <sheetName val="_new_Codes_used2"/>
      <sheetName val="Bank_charge1"/>
      <sheetName val="1_2_IS-BS_assumptions2"/>
      <sheetName val="local_description1"/>
      <sheetName val="대출_상환_계획1"/>
      <sheetName val="#2_BSPL1"/>
      <sheetName val="126_2551"/>
      <sheetName val="2_주요계수총괄1"/>
      <sheetName val="MAINT__&amp;_UTILITIES1"/>
      <sheetName val="손익분기점_데이터1"/>
      <sheetName val="Sum_PL__(주)두산3"/>
      <sheetName val="Sum_BS_(주)두산3"/>
      <sheetName val="Sum_PL__(상사)3"/>
      <sheetName val="Sum_BS_(상사)3"/>
      <sheetName val="Sum_PL__(식품)3"/>
      <sheetName val="Sum_BS_(식품)3"/>
      <sheetName val="Sum_PL__(기계)3"/>
      <sheetName val="Sum_BS_(기계)3"/>
      <sheetName val="Sum_PL__(전자)3"/>
      <sheetName val="Sum_BS_(전자)3"/>
      <sheetName val="Sum_PL__(출판)3"/>
      <sheetName val="Sum_BS_(출판)3"/>
      <sheetName val="Sum_PL__(주류)3"/>
      <sheetName val="Sum_BS_(주류)3"/>
      <sheetName val="Sum_PL_(타워)3"/>
      <sheetName val="Sum_BS_(타워)3"/>
      <sheetName val="Sum_PL_(바이오)3"/>
      <sheetName val="Sum_BS_(바이오)3"/>
      <sheetName val="Sum_PL_(의류)3"/>
      <sheetName val="Sum_BS_(의류)3"/>
      <sheetName val="Sum_BS_(외식)3"/>
      <sheetName val="Sum_PL_(정보)3"/>
      <sheetName val="Sum_BS_(정보)3"/>
      <sheetName val="Sum_PL_(잡지)3"/>
      <sheetName val="Sum_BS_(잡지)3"/>
      <sheetName val="Sum_PL_테크팩3"/>
      <sheetName val="Sum_BS_테크팩3"/>
      <sheetName val="Sum_PL_(관리)3"/>
      <sheetName val="Sum_BS_(관리)3"/>
      <sheetName val="_new_Codes_used3"/>
      <sheetName val="Bank_charge2"/>
      <sheetName val="1_2_IS-BS_assumptions3"/>
      <sheetName val="local_description2"/>
      <sheetName val="대출_상환_계획2"/>
      <sheetName val="#2_BSPL2"/>
      <sheetName val="126_2552"/>
      <sheetName val="2_주요계수총괄2"/>
      <sheetName val="MAINT__&amp;_UTILITIES2"/>
      <sheetName val="손익분기점_데이터2"/>
      <sheetName val="Sum_PL__(주)두산7"/>
      <sheetName val="Sum_BS_(주)두산7"/>
      <sheetName val="Sum_PL__(상사)7"/>
      <sheetName val="Sum_BS_(상사)7"/>
      <sheetName val="Sum_PL__(식품)7"/>
      <sheetName val="Sum_BS_(식품)7"/>
      <sheetName val="Sum_PL__(기계)7"/>
      <sheetName val="Sum_BS_(기계)7"/>
      <sheetName val="Sum_PL__(전자)7"/>
      <sheetName val="Sum_BS_(전자)7"/>
      <sheetName val="Sum_PL__(출판)7"/>
      <sheetName val="Sum_BS_(출판)7"/>
      <sheetName val="Sum_PL__(주류)7"/>
      <sheetName val="Sum_BS_(주류)7"/>
      <sheetName val="Sum_PL_(타워)7"/>
      <sheetName val="Sum_BS_(타워)7"/>
      <sheetName val="Sum_PL_(바이오)7"/>
      <sheetName val="Sum_BS_(바이오)7"/>
      <sheetName val="Sum_PL_(의류)7"/>
      <sheetName val="Sum_BS_(의류)7"/>
      <sheetName val="Sum_BS_(외식)7"/>
      <sheetName val="Sum_PL_(정보)7"/>
      <sheetName val="Sum_BS_(정보)7"/>
      <sheetName val="Sum_PL_(잡지)7"/>
      <sheetName val="Sum_BS_(잡지)7"/>
      <sheetName val="Sum_PL_테크팩7"/>
      <sheetName val="Sum_BS_테크팩7"/>
      <sheetName val="Sum_PL_(관리)7"/>
      <sheetName val="Sum_BS_(관리)7"/>
      <sheetName val="_new_Codes_used7"/>
      <sheetName val="Bank_charge6"/>
      <sheetName val="1_2_IS-BS_assumptions7"/>
      <sheetName val="local_description6"/>
      <sheetName val="대출_상환_계획6"/>
      <sheetName val="#2_BSPL6"/>
      <sheetName val="126_2556"/>
      <sheetName val="2_주요계수총괄6"/>
      <sheetName val="MAINT__&amp;_UTILITIES6"/>
      <sheetName val="손익분기점_데이터6"/>
      <sheetName val="Sum_PL__(주)두산4"/>
      <sheetName val="Sum_BS_(주)두산4"/>
      <sheetName val="Sum_PL__(상사)4"/>
      <sheetName val="Sum_BS_(상사)4"/>
      <sheetName val="Sum_PL__(식품)4"/>
      <sheetName val="Sum_BS_(식품)4"/>
      <sheetName val="Sum_PL__(기계)4"/>
      <sheetName val="Sum_BS_(기계)4"/>
      <sheetName val="Sum_PL__(전자)4"/>
      <sheetName val="Sum_BS_(전자)4"/>
      <sheetName val="Sum_PL__(출판)4"/>
      <sheetName val="Sum_BS_(출판)4"/>
      <sheetName val="Sum_PL__(주류)4"/>
      <sheetName val="Sum_BS_(주류)4"/>
      <sheetName val="Sum_PL_(타워)4"/>
      <sheetName val="Sum_BS_(타워)4"/>
      <sheetName val="Sum_PL_(바이오)4"/>
      <sheetName val="Sum_BS_(바이오)4"/>
      <sheetName val="Sum_PL_(의류)4"/>
      <sheetName val="Sum_BS_(의류)4"/>
      <sheetName val="Sum_BS_(외식)4"/>
      <sheetName val="Sum_PL_(정보)4"/>
      <sheetName val="Sum_BS_(정보)4"/>
      <sheetName val="Sum_PL_(잡지)4"/>
      <sheetName val="Sum_BS_(잡지)4"/>
      <sheetName val="Sum_PL_테크팩4"/>
      <sheetName val="Sum_BS_테크팩4"/>
      <sheetName val="Sum_PL_(관리)4"/>
      <sheetName val="Sum_BS_(관리)4"/>
      <sheetName val="_new_Codes_used4"/>
      <sheetName val="Bank_charge3"/>
      <sheetName val="1_2_IS-BS_assumptions4"/>
      <sheetName val="local_description3"/>
      <sheetName val="대출_상환_계획3"/>
      <sheetName val="#2_BSPL3"/>
      <sheetName val="126_2553"/>
      <sheetName val="2_주요계수총괄3"/>
      <sheetName val="MAINT__&amp;_UTILITIES3"/>
      <sheetName val="손익분기점_데이터3"/>
      <sheetName val="Sum_PL__(주)두산5"/>
      <sheetName val="Sum_BS_(주)두산5"/>
      <sheetName val="Sum_PL__(상사)5"/>
      <sheetName val="Sum_BS_(상사)5"/>
      <sheetName val="Sum_PL__(식품)5"/>
      <sheetName val="Sum_BS_(식품)5"/>
      <sheetName val="Sum_PL__(기계)5"/>
      <sheetName val="Sum_BS_(기계)5"/>
      <sheetName val="Sum_PL__(전자)5"/>
      <sheetName val="Sum_BS_(전자)5"/>
      <sheetName val="Sum_PL__(출판)5"/>
      <sheetName val="Sum_BS_(출판)5"/>
      <sheetName val="Sum_PL__(주류)5"/>
      <sheetName val="Sum_BS_(주류)5"/>
      <sheetName val="Sum_PL_(타워)5"/>
      <sheetName val="Sum_BS_(타워)5"/>
      <sheetName val="Sum_PL_(바이오)5"/>
      <sheetName val="Sum_BS_(바이오)5"/>
      <sheetName val="Sum_PL_(의류)5"/>
      <sheetName val="Sum_BS_(의류)5"/>
      <sheetName val="Sum_BS_(외식)5"/>
      <sheetName val="Sum_PL_(정보)5"/>
      <sheetName val="Sum_BS_(정보)5"/>
      <sheetName val="Sum_PL_(잡지)5"/>
      <sheetName val="Sum_BS_(잡지)5"/>
      <sheetName val="Sum_PL_테크팩5"/>
      <sheetName val="Sum_BS_테크팩5"/>
      <sheetName val="Sum_PL_(관리)5"/>
      <sheetName val="Sum_BS_(관리)5"/>
      <sheetName val="_new_Codes_used5"/>
      <sheetName val="Bank_charge4"/>
      <sheetName val="1_2_IS-BS_assumptions5"/>
      <sheetName val="local_description4"/>
      <sheetName val="대출_상환_계획4"/>
      <sheetName val="#2_BSPL4"/>
      <sheetName val="126_2554"/>
      <sheetName val="2_주요계수총괄4"/>
      <sheetName val="MAINT__&amp;_UTILITIES4"/>
      <sheetName val="손익분기점_데이터4"/>
      <sheetName val="Sum_PL__(주)두산6"/>
      <sheetName val="Sum_BS_(주)두산6"/>
      <sheetName val="Sum_PL__(상사)6"/>
      <sheetName val="Sum_BS_(상사)6"/>
      <sheetName val="Sum_PL__(식품)6"/>
      <sheetName val="Sum_BS_(식품)6"/>
      <sheetName val="Sum_PL__(기계)6"/>
      <sheetName val="Sum_BS_(기계)6"/>
      <sheetName val="Sum_PL__(전자)6"/>
      <sheetName val="Sum_BS_(전자)6"/>
      <sheetName val="Sum_PL__(출판)6"/>
      <sheetName val="Sum_BS_(출판)6"/>
      <sheetName val="Sum_PL__(주류)6"/>
      <sheetName val="Sum_BS_(주류)6"/>
      <sheetName val="Sum_PL_(타워)6"/>
      <sheetName val="Sum_BS_(타워)6"/>
      <sheetName val="Sum_PL_(바이오)6"/>
      <sheetName val="Sum_BS_(바이오)6"/>
      <sheetName val="Sum_PL_(의류)6"/>
      <sheetName val="Sum_BS_(의류)6"/>
      <sheetName val="Sum_BS_(외식)6"/>
      <sheetName val="Sum_PL_(정보)6"/>
      <sheetName val="Sum_BS_(정보)6"/>
      <sheetName val="Sum_PL_(잡지)6"/>
      <sheetName val="Sum_BS_(잡지)6"/>
      <sheetName val="Sum_PL_테크팩6"/>
      <sheetName val="Sum_BS_테크팩6"/>
      <sheetName val="Sum_PL_(관리)6"/>
      <sheetName val="Sum_BS_(관리)6"/>
      <sheetName val="_new_Codes_used6"/>
      <sheetName val="Bank_charge5"/>
      <sheetName val="1_2_IS-BS_assumptions6"/>
      <sheetName val="local_description5"/>
      <sheetName val="대출_상환_계획5"/>
      <sheetName val="#2_BSPL5"/>
      <sheetName val="126_2555"/>
      <sheetName val="2_주요계수총괄5"/>
      <sheetName val="MAINT__&amp;_UTILITIES5"/>
      <sheetName val="손익분기점_데이터5"/>
      <sheetName val="HISTORIA"/>
    </sheetNames>
    <sheetDataSet>
      <sheetData sheetId="0">
        <row r="4">
          <cell r="A4" t="str">
            <v>BG명</v>
          </cell>
        </row>
      </sheetData>
      <sheetData sheetId="1">
        <row r="4">
          <cell r="A4" t="str">
            <v>BG명</v>
          </cell>
        </row>
      </sheetData>
      <sheetData sheetId="2">
        <row r="4">
          <cell r="A4" t="str">
            <v>BG명</v>
          </cell>
        </row>
      </sheetData>
      <sheetData sheetId="3">
        <row r="4">
          <cell r="A4" t="str">
            <v>BG명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A4" t="str">
            <v>BG명</v>
          </cell>
        </row>
      </sheetData>
      <sheetData sheetId="31">
        <row r="4">
          <cell r="A4" t="str">
            <v>BG명</v>
          </cell>
        </row>
      </sheetData>
      <sheetData sheetId="32">
        <row r="4">
          <cell r="A4" t="str">
            <v>BG명</v>
          </cell>
        </row>
      </sheetData>
      <sheetData sheetId="33">
        <row r="4">
          <cell r="A4" t="str">
            <v>BG명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/>
      <sheetData sheetId="125" refreshError="1"/>
      <sheetData sheetId="126">
        <row r="4">
          <cell r="A4" t="str">
            <v>BG명</v>
          </cell>
        </row>
      </sheetData>
      <sheetData sheetId="127">
        <row r="4">
          <cell r="A4" t="str">
            <v>BG명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>
        <row r="4">
          <cell r="A4" t="str">
            <v>BG명</v>
          </cell>
        </row>
      </sheetData>
      <sheetData sheetId="166">
        <row r="4">
          <cell r="A4" t="str">
            <v>BG명</v>
          </cell>
        </row>
      </sheetData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>
        <row r="4">
          <cell r="A4" t="str">
            <v>BG명</v>
          </cell>
        </row>
      </sheetData>
      <sheetData sheetId="205">
        <row r="4">
          <cell r="A4" t="str">
            <v>BG명</v>
          </cell>
        </row>
      </sheetData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>
        <row r="4">
          <cell r="A4" t="str">
            <v>BG명</v>
          </cell>
        </row>
      </sheetData>
      <sheetData sheetId="244">
        <row r="4">
          <cell r="A4" t="str">
            <v>BG명</v>
          </cell>
        </row>
      </sheetData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>
        <row r="4">
          <cell r="A4" t="str">
            <v>BG명</v>
          </cell>
        </row>
      </sheetData>
      <sheetData sheetId="283">
        <row r="4">
          <cell r="A4" t="str">
            <v>BG명</v>
          </cell>
        </row>
      </sheetData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>
        <row r="4">
          <cell r="A4" t="str">
            <v>BG명</v>
          </cell>
        </row>
      </sheetData>
      <sheetData sheetId="322">
        <row r="4">
          <cell r="A4" t="str">
            <v>BG명</v>
          </cell>
        </row>
      </sheetData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>
        <row r="4">
          <cell r="A4" t="str">
            <v>BG명</v>
          </cell>
        </row>
      </sheetData>
      <sheetData sheetId="361">
        <row r="4">
          <cell r="A4" t="str">
            <v>BG명</v>
          </cell>
        </row>
      </sheetData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관리비"/>
      <sheetName val="9-1차이내역"/>
      <sheetName val="공문.사"/>
      <sheetName val="손익"/>
      <sheetName val="매출원가"/>
      <sheetName val="공문1"/>
      <sheetName val="표지"/>
      <sheetName val="표지2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9확정실적"/>
      <sheetName val="xxxxxx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2월15일"/>
      <sheetName val="아산공문"/>
      <sheetName val="매출현황"/>
      <sheetName val="총괄현황"/>
      <sheetName val="표"/>
      <sheetName val="중복브랜드실적"/>
      <sheetName val="2F엘레강스"/>
      <sheetName val="2F캐릭터"/>
      <sheetName val="9_1차이내역"/>
      <sheetName val="대차대조표"/>
      <sheetName val="영업.일1"/>
      <sheetName val="Details"/>
      <sheetName val="합계잔액시산표"/>
      <sheetName val="비교대차대조표"/>
      <sheetName val="비교손익계산서 "/>
      <sheetName val="결손금처리계산서"/>
      <sheetName val="현금흐름표정산표"/>
      <sheetName val="현금흐름표"/>
      <sheetName val="현금흐름표_명세"/>
      <sheetName val="0312대차대조표"/>
      <sheetName val="(기준서반영)0312손익계산서"/>
      <sheetName val="상품"/>
      <sheetName val="매장상품"/>
      <sheetName val="외상매입금"/>
      <sheetName val="2003.12"/>
      <sheetName val="2002.12"/>
      <sheetName val="대차대조표_보고"/>
      <sheetName val="손익계산서_보고"/>
      <sheetName val="요약대차당해년"/>
      <sheetName val="요약대차대조표"/>
      <sheetName val="년도별손익계산서"/>
      <sheetName val="년도별대차대조표"/>
      <sheetName val="주요계정명세서_보고"/>
      <sheetName val="결산공고용"/>
      <sheetName val="수정시산표"/>
      <sheetName val="판관(용역)"/>
      <sheetName val="FS"/>
      <sheetName val="98지급계획"/>
      <sheetName val="주차구획선수량"/>
      <sheetName val="신공항A-9(원가수정)"/>
      <sheetName val="Foreign Exchange Rates"/>
      <sheetName val="INCOME STATEMENT INPUT"/>
      <sheetName val="Data Input Sheet"/>
      <sheetName val="일일총괄"/>
      <sheetName val="Asset9809CAK"/>
      <sheetName val="물량투입계획"/>
      <sheetName val="선급미지급비용"/>
      <sheetName val="인원_20001101"/>
      <sheetName val="영업_일1"/>
      <sheetName val="sm"/>
      <sheetName val="DATE"/>
      <sheetName val="2"/>
      <sheetName val="2.대외공문"/>
      <sheetName val="인건비기준"/>
      <sheetName val="#REF"/>
      <sheetName val="18"/>
      <sheetName val="운전자금97총괄"/>
      <sheetName val="97년 1월"/>
      <sheetName val="①매출"/>
      <sheetName val="공표손익"/>
      <sheetName val="213"/>
      <sheetName val="영업.일"/>
      <sheetName val="생산 &amp; 매출추이 분석"/>
      <sheetName val="Bank charge"/>
      <sheetName val="외화계약"/>
      <sheetName val="9609추"/>
      <sheetName val="전직원(직영)"/>
      <sheetName val="Sheet6"/>
      <sheetName val="감충변동"/>
      <sheetName val="별첨1"/>
      <sheetName val="광혁기성"/>
      <sheetName val="일괄인쇄"/>
      <sheetName val="차량별점검"/>
      <sheetName val="경비공통"/>
      <sheetName val="주요기준"/>
      <sheetName val="식음료"/>
      <sheetName val="수량산출"/>
      <sheetName val="출자한도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보고서"/>
      <sheetName val="고정"/>
      <sheetName val="자산1"/>
      <sheetName val="자산2"/>
      <sheetName val="자산3"/>
      <sheetName val="선급비용"/>
      <sheetName val="UZ미수이자"/>
      <sheetName val="미수수익"/>
      <sheetName val="유가증권미수수익"/>
      <sheetName val="부채1"/>
      <sheetName val="부채2"/>
      <sheetName val="부채3"/>
      <sheetName val="부채4"/>
      <sheetName val="미지급비용"/>
      <sheetName val="퇴충조정"/>
      <sheetName val="수입금액"/>
      <sheetName val="판관제조경비월계"/>
      <sheetName val="일반관리비"/>
      <sheetName val="세금공과"/>
      <sheetName val="영업외수익1"/>
      <sheetName val="영업외비용"/>
      <sheetName val="법인세명세"/>
      <sheetName val="96원가"/>
      <sheetName val="Billing &amp; Collection"/>
      <sheetName val="MTD Cost by PJ No"/>
      <sheetName val="AP"/>
      <sheetName val="차수"/>
      <sheetName val="DATE"/>
      <sheetName val="매출"/>
      <sheetName val="Sheet1"/>
      <sheetName val="Value"/>
      <sheetName val="Assumptions"/>
      <sheetName val="BS"/>
      <sheetName val="FCF"/>
      <sheetName val="IS"/>
      <sheetName val="Ratios"/>
      <sheetName val="NOP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ge"/>
      <sheetName val="Cases"/>
      <sheetName val="Earnings"/>
      <sheetName val="DCF Input"/>
      <sheetName val="__FDSCACHE__"/>
      <sheetName val="DCF Output"/>
      <sheetName val="Contribution Analysis"/>
      <sheetName val="Valuation Matrix"/>
      <sheetName val="Valuation Summary"/>
      <sheetName val="Credit Statistics"/>
      <sheetName val="Leasing"/>
      <sheetName val="Materiality"/>
      <sheetName val="COMPS"/>
      <sheetName val="Paperboy"/>
      <sheetName val="IMCI-Assumptions (Mgt.)"/>
      <sheetName val="수율생산"/>
      <sheetName val="data"/>
      <sheetName val="대차총괄"/>
      <sheetName val="Borrower"/>
      <sheetName val="적용환율"/>
      <sheetName val="★외출12"/>
      <sheetName val="생산량"/>
      <sheetName val="입찰안"/>
      <sheetName val="Sheet3"/>
      <sheetName val="Coding"/>
      <sheetName val="Asset9809CAK"/>
      <sheetName val="완성차 미수금"/>
      <sheetName val="Sheet1"/>
      <sheetName val="BLOOMBERG"/>
      <sheetName val="Rate"/>
      <sheetName val="CHECKSHEET"/>
      <sheetName val="CODE TABLES"/>
      <sheetName val="현금흐름표"/>
      <sheetName val="output"/>
      <sheetName val="손익계산서(管理)"/>
      <sheetName val="급여등록"/>
      <sheetName val="급여명세서"/>
      <sheetName val="FLUC-94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채권채무 (2)"/>
      <sheetName val="Cases"/>
      <sheetName val="DCF Input"/>
      <sheetName val="Earnings"/>
      <sheetName val="Control Page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权限验证"/>
      <sheetName val="界面"/>
      <sheetName val="帮助"/>
      <sheetName val="资产负债表"/>
      <sheetName val="BS-SH"/>
      <sheetName val="损益表"/>
      <sheetName val="PL-SH"/>
      <sheetName val="现金流量表"/>
      <sheetName val="现金流量表 (2)"/>
      <sheetName val="利润分配表"/>
      <sheetName val="损益明细"/>
      <sheetName val="StartModul"/>
      <sheetName val="PublicModul"/>
      <sheetName val="FormulaModul"/>
      <sheetName val="汇率"/>
      <sheetName val="计算结果"/>
      <sheetName val="FormMail"/>
      <sheetName val="资产负债表 (2)"/>
      <sheetName val="损益表 (2)"/>
      <sheetName val="SAP 01-12-31"/>
      <sheetName val="Selling"/>
      <sheetName val="송전기본"/>
      <sheetName val="TAX INCO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등손익"/>
      <sheetName val="공사손익"/>
      <sheetName val="분양사업손익"/>
      <sheetName val="교육사업손익"/>
      <sheetName val="사원 선급금"/>
      <sheetName val="가지급금"/>
      <sheetName val="어음.수표"/>
      <sheetName val="무형자산 상각내역서 "/>
      <sheetName val="고용보험 미지급비용"/>
      <sheetName val="이자미지급비용"/>
      <sheetName val="유가증권"/>
      <sheetName val="유가증권수불"/>
      <sheetName val="증안기금"/>
      <sheetName val="채권할인1"/>
      <sheetName val="채권할인2"/>
      <sheetName val="김보경-선수금"/>
      <sheetName val="사원 미지급금"/>
      <sheetName val="예수원천세"/>
      <sheetName val="예수보험료"/>
      <sheetName val="외화환산1"/>
      <sheetName val="미수수익"/>
      <sheetName val="주임종단기대여금"/>
      <sheetName val="선급비용 산출내역"/>
      <sheetName val="선급비용(이자등)"/>
      <sheetName val="퇴직충당금"/>
      <sheetName val="퇴직금지급내역 "/>
      <sheetName val="교육사업안분 "/>
      <sheetName val="교육사업월별매출"/>
      <sheetName val="교육사업월별원가 "/>
      <sheetName val="칩원가산출"/>
      <sheetName val="특장손익"/>
      <sheetName val="특장제조원가"/>
      <sheetName val="특장최종집계"/>
      <sheetName val="노무비배분"/>
      <sheetName val="특장재료비배분"/>
      <sheetName val="특장재료집계"/>
      <sheetName val="특장재료"/>
      <sheetName val="특장재료2"/>
      <sheetName val="특장경비 및 노무원장"/>
      <sheetName val="분양원가"/>
      <sheetName val="분양예정원가"/>
      <sheetName val="분양경비"/>
      <sheetName val="분양원장(경비 및 원가)"/>
      <sheetName val="Sheet1"/>
      <sheetName val="분양원장 (2)"/>
      <sheetName val="분양원장"/>
      <sheetName val="분양선수금내역서"/>
      <sheetName val="Sheet7"/>
      <sheetName val="대체분개"/>
      <sheetName val="투자유가증권"/>
      <sheetName val="수입임대"/>
      <sheetName val="잡이익"/>
      <sheetName val="주석"/>
      <sheetName val="사업안분"/>
      <sheetName val="합잔 관련"/>
      <sheetName val="이스타빌1"/>
      <sheetName val="Sheet8"/>
      <sheetName val="Sheet9"/>
      <sheetName val="Sheet10"/>
      <sheetName val="Sheet11"/>
      <sheetName val="Sheet12"/>
      <sheetName val="공시지가"/>
      <sheetName val="유형자산매각"/>
      <sheetName val="집계표"/>
      <sheetName val="총계정"/>
      <sheetName val="강사"/>
      <sheetName val="학원미수"/>
      <sheetName val="학원선수"/>
      <sheetName val="Sheet3"/>
      <sheetName val="사업부별판관안분"/>
      <sheetName val="Sheet2"/>
      <sheetName val="합잔"/>
      <sheetName val="합잔원본"/>
      <sheetName val="Sheet5"/>
      <sheetName val="집계"/>
      <sheetName val="총계정1"/>
      <sheetName val="총계정2"/>
      <sheetName val="0-Basics"/>
      <sheetName val="회사정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($)"/>
      <sheetName val="Sales"/>
      <sheetName val="OEM"/>
      <sheetName val="Code Info"/>
      <sheetName val="6"/>
      <sheetName val="CSM"/>
      <sheetName val="Drop Shipment"/>
      <sheetName val="界面"/>
    </sheetNames>
    <sheetDataSet>
      <sheetData sheetId="0"/>
      <sheetData sheetId="1"/>
      <sheetData sheetId="2"/>
      <sheetData sheetId="3">
        <row r="2">
          <cell r="J2" t="str">
            <v>CBS</v>
          </cell>
          <cell r="K2" t="str">
            <v>Steering</v>
          </cell>
          <cell r="L2" t="str">
            <v>Suspension</v>
          </cell>
          <cell r="M2" t="str">
            <v>ABS</v>
          </cell>
          <cell r="N2" t="str">
            <v>Module</v>
          </cell>
        </row>
        <row r="3">
          <cell r="C3" t="str">
            <v>GM</v>
          </cell>
        </row>
        <row r="4">
          <cell r="C4" t="str">
            <v>Ford</v>
          </cell>
        </row>
        <row r="5">
          <cell r="C5" t="str">
            <v>DCX</v>
          </cell>
        </row>
        <row r="6">
          <cell r="C6" t="str">
            <v>HMMA</v>
          </cell>
        </row>
        <row r="7">
          <cell r="C7" t="str">
            <v>CLUB-CAR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C40"/>
      <sheetName val="H"/>
      <sheetName val="H1.1"/>
      <sheetName val="H20(주석)"/>
      <sheetName val="지분법"/>
      <sheetName val="J"/>
      <sheetName val="지급임차료"/>
      <sheetName val="K"/>
      <sheetName val="K (2)"/>
      <sheetName val="k20-1"/>
      <sheetName val="k20-2"/>
      <sheetName val="비품"/>
      <sheetName val="건물외"/>
      <sheetName val="공기구"/>
      <sheetName val="L"/>
      <sheetName val="L10"/>
      <sheetName val="N"/>
      <sheetName val="N10(미지급) "/>
      <sheetName val="N20"/>
      <sheetName val="구매처별 잔액"/>
      <sheetName val="R"/>
      <sheetName val="R10"/>
      <sheetName val="R30"/>
      <sheetName val="R40"/>
      <sheetName val="U3"/>
      <sheetName val="u32"/>
      <sheetName val="0306월별손익(U3.2)"/>
      <sheetName val="U4"/>
      <sheetName val="U3.1"/>
      <sheetName val="U3.2"/>
      <sheetName val="U3.3(0630)"/>
      <sheetName val="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텔레텍"/>
      <sheetName val="Ｗ　ＰＬＡＮ"/>
      <sheetName val="고정자산원본"/>
      <sheetName val="부서실적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재고자산(상품불량)"/>
      <sheetName val="감가상각"/>
      <sheetName val="970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할인어음명세"/>
      <sheetName val="선급법인세"/>
      <sheetName val="선급법인세12월추가분"/>
      <sheetName val="유동성장기부채"/>
      <sheetName val="장기차입금명세서"/>
      <sheetName val="Sheet3"/>
      <sheetName val="PLarp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(2)"/>
      <sheetName val="CF (2)"/>
      <sheetName val="Materiality"/>
      <sheetName val="A(R)JE"/>
      <sheetName val="WIS"/>
      <sheetName val="WBS"/>
      <sheetName val="PMS"/>
      <sheetName val="CFV"/>
      <sheetName val="CF"/>
      <sheetName val="IS"/>
      <sheetName val="BS"/>
      <sheetName val="RA1"/>
      <sheetName val="RE"/>
      <sheetName val="RA2"/>
      <sheetName val="심리"/>
      <sheetName val="C"/>
      <sheetName val="A"/>
      <sheetName val="A (2)"/>
      <sheetName val="B"/>
      <sheetName val="D"/>
      <sheetName val="E"/>
      <sheetName val="감가상각"/>
      <sheetName val="f1"/>
      <sheetName val="F"/>
      <sheetName val="H"/>
      <sheetName val="K"/>
      <sheetName val="A (3)"/>
      <sheetName val="L"/>
      <sheetName val="N"/>
      <sheetName val="M"/>
      <sheetName val="Q"/>
      <sheetName val="U"/>
      <sheetName val="V"/>
      <sheetName val="W"/>
      <sheetName val="UT"/>
      <sheetName val="Y"/>
      <sheetName val="X"/>
      <sheetName val="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Æo°¡±aAØ"/>
      <sheetName val="Æo___aAØ"/>
      <sheetName val="자본조정"/>
      <sheetName val="자금동향"/>
      <sheetName val="외화"/>
      <sheetName val="1997"/>
      <sheetName val="시산"/>
      <sheetName val="Margins"/>
      <sheetName val="시산표"/>
      <sheetName val="9705"/>
      <sheetName val="9609Aß"/>
      <sheetName val="고정자산원본"/>
      <sheetName val="BaseData"/>
      <sheetName val="은행"/>
      <sheetName val="평가&amp;선급.미지급"/>
      <sheetName val="#REF"/>
      <sheetName val="C"/>
      <sheetName val="주주명부&lt;끝&gt;"/>
      <sheetName val="building"/>
      <sheetName val="????"/>
      <sheetName val="YLD"/>
      <sheetName val="MATL"/>
      <sheetName val="DATA"/>
      <sheetName val="현금"/>
      <sheetName val="전체"/>
      <sheetName val="10월판관"/>
      <sheetName val="IGACP"/>
      <sheetName val="INVACCR"/>
      <sheetName val="Inputs"/>
      <sheetName val="FAB별"/>
      <sheetName val="SCK"/>
      <sheetName val="적용환율"/>
      <sheetName val="MLIN-SPREAD"/>
      <sheetName val="분류"/>
      <sheetName val="98VS99(EL)"/>
      <sheetName val="EXPENSE"/>
      <sheetName val="GBP"/>
      <sheetName val="Cap Table-Orig"/>
      <sheetName val="목차"/>
      <sheetName val="우편번호"/>
      <sheetName val="선급법인세 (2)"/>
      <sheetName val="411-00 외화장기"/>
      <sheetName val="2.손익계산서"/>
      <sheetName val="태광"/>
      <sheetName val="평가기준"/>
      <sheetName val="9609추"/>
      <sheetName val="HSA"/>
      <sheetName val="____"/>
      <sheetName val="¨¡o¡Æ¢®¡¾aA¨ª"/>
      <sheetName val="detail"/>
      <sheetName val="P-msd"/>
      <sheetName val="P-tb"/>
      <sheetName val="평가&amp;선급_미지급"/>
      <sheetName val="Cap_Table-Orig"/>
      <sheetName val="선급법인세_(2)"/>
      <sheetName val="411-00_외화장기"/>
      <sheetName val="2_손익계산서"/>
      <sheetName val="qryDataKoreaWRA"/>
      <sheetName val="투자유가증권평가손익"/>
      <sheetName val="투자자산감액손실"/>
      <sheetName val="심마니지분법평가"/>
      <sheetName val="배당금수익"/>
      <sheetName val="tax1"/>
      <sheetName val="NTM Usage"/>
      <sheetName val="Inhouse_Usage"/>
      <sheetName val="97년"/>
      <sheetName val="Template"/>
      <sheetName val="23기-3분기결산PL"/>
      <sheetName val="99선급비용"/>
      <sheetName val="▶판매량Trend(수정안)"/>
      <sheetName val="▶판가Trend(수정안)"/>
      <sheetName val="VS배관내역서"/>
      <sheetName val="월별손익"/>
      <sheetName val="FLUC-94"/>
      <sheetName val="최종"/>
      <sheetName val="fs-e"/>
      <sheetName val="대비"/>
      <sheetName val="ATTACHMENT E (TOTAL_INVEST)"/>
      <sheetName val="Download Sheet"/>
      <sheetName val="수량산출"/>
      <sheetName val="dso-WS"/>
      <sheetName val="이자율"/>
      <sheetName val="A"/>
      <sheetName val="표지"/>
      <sheetName val="A1-GRPH"/>
      <sheetName val="A2-GRPH"/>
      <sheetName val="ASSY1"/>
      <sheetName val="A2-생산"/>
      <sheetName val="A2-영업"/>
      <sheetName val="공수생산량"/>
      <sheetName val="苚啊盿A9Axlss"/>
      <sheetName val="Page 1A - Proposal Strategy "/>
      <sheetName val="Construction"/>
      <sheetName val="경제성분석"/>
      <sheetName val="1. PS_bond"/>
      <sheetName val="Download"/>
      <sheetName val="Calculations"/>
      <sheetName val="완성차 미수금"/>
      <sheetName val="Notes "/>
      <sheetName val="Daily data"/>
      <sheetName val="HC Data"/>
      <sheetName val="Brussels"/>
      <sheetName val="Update"/>
      <sheetName val="P&amp;L"/>
      <sheetName val="Asset9809CAK"/>
      <sheetName val="GOE Budget"/>
      <sheetName val="99OB"/>
      <sheetName val="10월관리List"/>
      <sheetName val="lookup"/>
      <sheetName val="IS-Mkt"/>
      <sheetName val="Sheet1"/>
      <sheetName val="관계회사거래내역및 채권채무잔액 99"/>
      <sheetName val="Period"/>
      <sheetName val="대차대조표"/>
      <sheetName val="현금및현금등가물1"/>
      <sheetName val="key"/>
      <sheetName val="증가명세서"/>
      <sheetName val="8.12"/>
      <sheetName val="99판매상세"/>
      <sheetName val="하수급견적대비"/>
      <sheetName val="TKDE"/>
      <sheetName val="유통망계획"/>
      <sheetName val="손익총괄"/>
      <sheetName val="CODE"/>
      <sheetName val="코드"/>
      <sheetName val="평가&amp;선급_미지급1"/>
      <sheetName val="선급법인세_(2)1"/>
      <sheetName val="Cap_Table-Orig1"/>
      <sheetName val="411-00_외화장기1"/>
      <sheetName val="2_손익계산서1"/>
      <sheetName val="NTM_Usage"/>
      <sheetName val="ATTACHMENT_E_(TOTAL_INVEST)"/>
      <sheetName val="Download_Sheet"/>
      <sheetName val="Page_1A_-_Proposal_Strategy_"/>
      <sheetName val="관계회사거래내역및_채권채무잔액_99"/>
      <sheetName val="1__PS_bond"/>
      <sheetName val="완성차_미수금"/>
      <sheetName val="Notes_"/>
      <sheetName val="Daily_data"/>
      <sheetName val="HC_Data"/>
      <sheetName val="GOE_Budget"/>
      <sheetName val="8_12"/>
      <sheetName val="Main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PV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2.대외공문"/>
      <sheetName val="95하U$가격"/>
      <sheetName val="전체현황"/>
      <sheetName val="추이도표"/>
      <sheetName val="추이도표 (2)"/>
      <sheetName val="미지급이자"/>
      <sheetName val="forecasted_BS"/>
      <sheetName val="forecasted_IS"/>
      <sheetName val="Factor"/>
      <sheetName val="PIPE내역(FCN)"/>
      <sheetName val="Lead"/>
      <sheetName val="Field Status Gp"/>
      <sheetName val="Target Grid"/>
      <sheetName val="PMSL"/>
      <sheetName val="Rates"/>
      <sheetName val="Admin"/>
      <sheetName val="CPK Dept Codes"/>
      <sheetName val="현금예금"/>
      <sheetName val="93상각비"/>
      <sheetName val="RecommendedRange"/>
      <sheetName val="013199"/>
      <sheetName val="108.수선비"/>
      <sheetName val="공정가치"/>
      <sheetName val="Variance"/>
      <sheetName val="Datex GL"/>
      <sheetName val="argl(1)"/>
      <sheetName val="340024"/>
      <sheetName val="uncap"/>
      <sheetName val="IKSoKH"/>
      <sheetName val="98 IKSoKH"/>
      <sheetName val="Tabelle1"/>
      <sheetName val="YOEMAGUM"/>
      <sheetName val="BAU-ITEMLIST"/>
      <sheetName val="자본금99(수)"/>
      <sheetName val="원_VL"/>
      <sheetName val="CD&amp;SwapRates"/>
      <sheetName val="FAR"/>
      <sheetName val="28홈파티돈"/>
      <sheetName val="FME"/>
      <sheetName val="VME"/>
      <sheetName val="Mando-Korea"/>
      <sheetName val="Variables"/>
      <sheetName val="IST"/>
      <sheetName val="VJ"/>
      <sheetName val="PM-BRAND-2003"/>
      <sheetName val="노임이"/>
      <sheetName val="INFORM"/>
      <sheetName val="Product Amt"/>
      <sheetName val="현금및현금등가물"/>
      <sheetName val="부문손익"/>
      <sheetName val="LTEURPSY"/>
      <sheetName val="CPK_Dept_Codes"/>
      <sheetName val="July_"/>
      <sheetName val="KPI_sheet"/>
      <sheetName val="FREIGHT_DE_COPACKERS"/>
      <sheetName val="stdd_costBPCS"/>
      <sheetName val="Movement_of_TB"/>
      <sheetName val="BS_Export"/>
      <sheetName val="_new_Codes_used"/>
      <sheetName val="2_대외공문"/>
      <sheetName val="예적금"/>
      <sheetName val="index"/>
      <sheetName val="Start"/>
      <sheetName val="98_IKSoKH"/>
      <sheetName val="Field_Status_Gp"/>
      <sheetName val="Target_Grid"/>
      <sheetName val="Cement IS"/>
      <sheetName val="OUTLINE"/>
      <sheetName val="Financ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 refreshError="1"/>
      <sheetData sheetId="239" refreshError="1"/>
      <sheetData sheetId="240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ANA_MMDA"/>
      <sheetName val="RATE"/>
      <sheetName val="Index"/>
      <sheetName val="b110"/>
      <sheetName val="주간계획"/>
      <sheetName val="Assumption"/>
      <sheetName val="DBL LPG시험"/>
    </sheetNames>
    <sheetDataSet>
      <sheetData sheetId="0"/>
      <sheetData sheetId="1"/>
      <sheetData sheetId="2">
        <row r="3">
          <cell r="G3" t="str">
            <v>USD_JPY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디지웨이브특허양수"/>
      <sheetName val="자금"/>
      <sheetName val="차량구매"/>
      <sheetName val="06년 행사예정수량(정리본)"/>
      <sheetName val="로얄티검토"/>
      <sheetName val="가산세"/>
      <sheetName val="IR ISSUE"/>
      <sheetName val="계산tool"/>
      <sheetName val="현황"/>
      <sheetName val="기타(jc)"/>
      <sheetName val="LCD판가"/>
      <sheetName val="차량요약"/>
      <sheetName val="선행개발2팀"/>
      <sheetName val="회의현황"/>
      <sheetName val="회장주식"/>
      <sheetName val="wi연락060201"/>
      <sheetName val="UB서식"/>
      <sheetName val="경조금"/>
      <sheetName val="1월TB"/>
      <sheetName val="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-ENG"/>
      <sheetName val="PL-ENG"/>
      <sheetName val="BS-ENG"/>
      <sheetName val="COS-ENG"/>
      <sheetName val="CF-ENG"/>
      <sheetName val="AR-ENG"/>
      <sheetName val="AP-ENG"/>
      <sheetName val="REV-CHN"/>
      <sheetName val="PL-CHN"/>
      <sheetName val="BS-CHN"/>
      <sheetName val="CF-CHN"/>
      <sheetName val="AR-CHN"/>
      <sheetName val="AP-CHN"/>
      <sheetName val="Code Info"/>
    </sheetNames>
    <sheetDataSet>
      <sheetData sheetId="0" refreshError="1">
        <row r="90">
          <cell r="L90">
            <v>8.2765000000000004</v>
          </cell>
        </row>
      </sheetData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-ENG(book)"/>
      <sheetName val="REV-ENG(Actual)"/>
      <sheetName val="COST-ENG"/>
      <sheetName val="PL-ENG"/>
      <sheetName val="BS-ENG"/>
      <sheetName val="CF-ENG"/>
      <sheetName val="AR-ENG"/>
      <sheetName val="AP-ENG"/>
      <sheetName val="REV-CHN(book)"/>
      <sheetName val="REV-CHN(Actual)"/>
      <sheetName val="PL-CHN"/>
      <sheetName val="BS-CHN"/>
      <sheetName val="CF-CHN"/>
      <sheetName val="AR-CHN"/>
      <sheetName val="AP-CHN"/>
      <sheetName val="REV-ENG"/>
    </sheetNames>
    <sheetDataSet>
      <sheetData sheetId="0" refreshError="1">
        <row r="102">
          <cell r="R102">
            <v>8.2773000000000003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-ENG"/>
      <sheetName val="PL-ENG"/>
      <sheetName val="BS-ENG"/>
      <sheetName val="COS-ENG"/>
      <sheetName val="COS-CENTER-ENG"/>
      <sheetName val="CF-ENG"/>
      <sheetName val="AR-ENG"/>
      <sheetName val="AP-ENG"/>
      <sheetName val="REV-CHN"/>
      <sheetName val="PL-CHN"/>
      <sheetName val="BS-CHN"/>
      <sheetName val="CF-CHN"/>
      <sheetName val="Sheet1"/>
      <sheetName val="AR-CHN(FORMAT)"/>
      <sheetName val="AR-CHN"/>
      <sheetName val="AP-CHN"/>
      <sheetName val="REV-ENG(book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-ENG"/>
      <sheetName val="PL-ENG"/>
      <sheetName val="BS-ENG"/>
      <sheetName val="COS-ENG"/>
      <sheetName val="CF-ENG"/>
      <sheetName val="AR-ENG"/>
      <sheetName val="AP-ENG"/>
      <sheetName val="REV-CHN"/>
      <sheetName val="PL-CHN"/>
      <sheetName val="BS-CHN"/>
      <sheetName val="CF-CHN"/>
      <sheetName val="AR-CHN"/>
      <sheetName val="AP-CHN"/>
      <sheetName val="AR-CHN(form)"/>
    </sheetNames>
    <sheetDataSet>
      <sheetData sheetId="0" refreshError="1">
        <row r="90">
          <cell r="K90">
            <v>8.2766000000000002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09Aß"/>
      <sheetName val="118.세금과공과"/>
    </sheetNames>
    <sheetDataSet>
      <sheetData sheetId="0" refreshError="1"/>
      <sheetData sheetId="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등손익"/>
      <sheetName val="공사손익"/>
      <sheetName val="분양사업손익"/>
      <sheetName val="교육사업손익"/>
      <sheetName val="사원 선급금"/>
      <sheetName val="가지급금"/>
      <sheetName val="어음.수표"/>
      <sheetName val="무형자산 상각내역서 "/>
      <sheetName val="고용보험 미지급비용"/>
      <sheetName val="이자미지급비용"/>
      <sheetName val="유가증권"/>
      <sheetName val="유가증권수불"/>
      <sheetName val="증안기금"/>
      <sheetName val="채권할인1"/>
      <sheetName val="채권할인2"/>
      <sheetName val="김보경-선수금"/>
      <sheetName val="사원 미지급금"/>
      <sheetName val="예수원천세"/>
      <sheetName val="예수보험료"/>
      <sheetName val="외화환산1"/>
      <sheetName val="미수수익"/>
      <sheetName val="주임종단기대여금"/>
      <sheetName val="선급비용 산출내역"/>
      <sheetName val="선급비용(이자등)"/>
      <sheetName val="퇴직충당금"/>
      <sheetName val="퇴직금지급내역 "/>
      <sheetName val="교육사업안분 "/>
      <sheetName val="교육사업월별매출"/>
      <sheetName val="교육사업월별원가 "/>
      <sheetName val="칩원가산출"/>
      <sheetName val="특장손익"/>
      <sheetName val="특장제조원가"/>
      <sheetName val="특장최종집계"/>
      <sheetName val="노무비배분"/>
      <sheetName val="특장재료비배분"/>
      <sheetName val="특장재료집계"/>
      <sheetName val="특장재료"/>
      <sheetName val="특장재료2"/>
      <sheetName val="특장경비 및 노무원장"/>
      <sheetName val="분양원가"/>
      <sheetName val="분양예정원가"/>
      <sheetName val="분양경비"/>
      <sheetName val="분양원장(경비 및 원가)"/>
      <sheetName val="Sheet1"/>
      <sheetName val="분양원장 (2)"/>
      <sheetName val="분양원장"/>
      <sheetName val="분양선수금내역서"/>
      <sheetName val="Sheet7"/>
      <sheetName val="대체분개"/>
      <sheetName val="투자유가증권"/>
      <sheetName val="수입임대"/>
      <sheetName val="잡이익"/>
      <sheetName val="주석"/>
      <sheetName val="사업안분"/>
      <sheetName val="합잔 관련"/>
      <sheetName val="이스타빌1"/>
      <sheetName val="Sheet8"/>
      <sheetName val="Sheet9"/>
      <sheetName val="Sheet10"/>
      <sheetName val="Sheet11"/>
      <sheetName val="Sheet12"/>
      <sheetName val="공시지가"/>
      <sheetName val="유형자산매각"/>
      <sheetName val="집계표"/>
      <sheetName val="총계정"/>
      <sheetName val="강사"/>
      <sheetName val="학원미수"/>
      <sheetName val="학원선수"/>
      <sheetName val="Sheet3"/>
      <sheetName val="사업부별판관안분"/>
      <sheetName val="Sheet2"/>
      <sheetName val="합잔"/>
      <sheetName val="합잔원본"/>
      <sheetName val="Sheet5"/>
      <sheetName val="집계"/>
      <sheetName val="총계정1"/>
      <sheetName val="총계정2"/>
      <sheetName val="비용명세"/>
      <sheetName val="Foreign Exchange Rates"/>
      <sheetName val="INCOME STATEMENT INPUT"/>
      <sheetName val="Data Input Sheet"/>
      <sheetName val="118.세금과공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출장"/>
      <sheetName val="2.철골"/>
      <sheetName val="3.판넬"/>
      <sheetName val="4.건축"/>
      <sheetName val="5.조건"/>
      <sheetName val="6.분석"/>
      <sheetName val="7.집계"/>
      <sheetName val="8.총괄"/>
      <sheetName val="9.표지"/>
      <sheetName val="건축총괄"/>
      <sheetName val="총괄대비"/>
      <sheetName val="공사비집계"/>
      <sheetName val="부대총괄"/>
      <sheetName val="철골-판넬"/>
      <sheetName val="기초분석"/>
      <sheetName val="공장대비2A"/>
      <sheetName val="부대집계"/>
      <sheetName val="외벽판넬"/>
      <sheetName val="부대-철골"/>
      <sheetName val="부대-R.C.1"/>
      <sheetName val="부대-R.C.2"/>
      <sheetName val="추정공사비"/>
      <sheetName val="실결-01"/>
      <sheetName val="실결-02"/>
      <sheetName val="내역-01"/>
      <sheetName val="내역-02"/>
      <sheetName val="내역-기성"/>
      <sheetName val="속지"/>
      <sheetName val="경상기준"/>
      <sheetName val="공장대비"/>
      <sheetName val="공장대비2"/>
      <sheetName val="냉연집계"/>
      <sheetName val="부대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界面"/>
      <sheetName val="9609Aß"/>
    </sheetNames>
    <sheetDataSet>
      <sheetData sheetId="0" refreshError="1">
        <row r="9">
          <cell r="C9">
            <v>6350</v>
          </cell>
        </row>
      </sheetData>
      <sheetData sheetId="1" refreshError="1"/>
      <sheetData sheetId="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영계획"/>
      <sheetName val="SHEET5"/>
    </sheetNames>
    <sheetDataSet>
      <sheetData sheetId="0"/>
      <sheetData sheetId="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표손익"/>
      <sheetName val="xxxxxx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표지"/>
      <sheetName val="목차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영업.일1"/>
      <sheetName val="대차대조표"/>
      <sheetName val="BSPL"/>
      <sheetName val="시산표"/>
      <sheetName val="금융부채"/>
      <sheetName val="비용"/>
      <sheetName val="원가"/>
      <sheetName val="요약재무"/>
      <sheetName val="요약손익"/>
      <sheetName val="사업별"/>
      <sheetName val="사업장별"/>
      <sheetName val="grap"/>
      <sheetName val="공사원가"/>
      <sheetName val="잉여금"/>
      <sheetName val="발견사항"/>
      <sheetName val="발견사항 (2)"/>
      <sheetName val="FINDING"/>
      <sheetName val="WBS"/>
      <sheetName val="대차"/>
      <sheetName val="WPL "/>
      <sheetName val="손익"/>
      <sheetName val="이익잉여금"/>
      <sheetName val="매출액명세서"/>
      <sheetName val="제조원가명세서 "/>
      <sheetName val="정산표"/>
      <sheetName val="bs"/>
      <sheetName val="PL0430연금통합제시"/>
      <sheetName val="BS0430연금통합제시"/>
      <sheetName val="외화계약"/>
      <sheetName val="BM_NEW2"/>
      <sheetName val="Financials"/>
      <sheetName val="공구기구"/>
      <sheetName val="Assumptions"/>
      <sheetName val="매월결산"/>
      <sheetName val="매월결산 (석탑반영)"/>
      <sheetName val="Sheet1"/>
      <sheetName val="Sheet2"/>
      <sheetName val="매월결산 (감사제시확정)"/>
      <sheetName val="장기차입금"/>
      <sheetName val="손익계산서"/>
      <sheetName val="판관.비용수익"/>
      <sheetName val="BS (2003)"/>
      <sheetName val="중요성기준"/>
      <sheetName val="PL"/>
      <sheetName val="CF"/>
      <sheetName val="정산표BS(2003)"/>
      <sheetName val="정산표(IS)2003"/>
      <sheetName val="정산표PL(2003)"/>
      <sheetName val="외화평가"/>
      <sheetName val="Other Assets leadersheet"/>
      <sheetName val="Fixed Assets leadersheet"/>
      <sheetName val="Current Liabilities"/>
      <sheetName val="계정code"/>
      <sheetName val="수입원가(원료)"/>
      <sheetName val="수입원가(첨가제)"/>
      <sheetName val="받check"/>
      <sheetName val="ins"/>
      <sheetName val="원본"/>
      <sheetName val="Krw"/>
      <sheetName val="Property"/>
      <sheetName val="공수견적"/>
      <sheetName val="외화금융(97-03)"/>
      <sheetName val="01_성적표"/>
      <sheetName val="DSL"/>
      <sheetName val="최종중간기간성과"/>
      <sheetName val="FITTING"/>
      <sheetName val="완성차 미수금"/>
      <sheetName val="손익계산서(2월누계)"/>
      <sheetName val="손익계산서(2월)"/>
      <sheetName val="매출원가명세서(2월누계)"/>
      <sheetName val="매출원가명세서(2월)"/>
      <sheetName val="손익계산서(1월)"/>
      <sheetName val="매출원가명세서(1월)"/>
      <sheetName val="개황"/>
      <sheetName val="긴축실적 (2분기)"/>
      <sheetName val="건설중인자산(기타)"/>
      <sheetName val="부가세신고자료"/>
      <sheetName val="재무제표"/>
      <sheetName val="00~09 세대수(Actual)"/>
      <sheetName val="현재"/>
      <sheetName val="첨부5. 01~06 Sales Volume(Actual)"/>
      <sheetName val="2006 Budget 대비"/>
      <sheetName val="BRAKE"/>
      <sheetName val="INFO"/>
      <sheetName val="지분법평가"/>
      <sheetName val="KUNGDEVI"/>
      <sheetName val="Variables"/>
      <sheetName val="A-100전제"/>
      <sheetName val="첨부1"/>
      <sheetName val="외주수리비"/>
      <sheetName val="수입"/>
      <sheetName val="부서직접비"/>
      <sheetName val="부재료재고"/>
      <sheetName val="재공품"/>
      <sheetName val="HOT MELT원재료"/>
      <sheetName val="제품재고"/>
      <sheetName val="공사건별집계표"/>
      <sheetName val="MC"/>
      <sheetName val="BS(1)"/>
      <sheetName val="3.잉여금처분O"/>
      <sheetName val="4.현금흐름"/>
      <sheetName val="1.대차대조표"/>
      <sheetName val="2.손익계산서"/>
      <sheetName val="합계잔액"/>
      <sheetName val="58.제조원가"/>
      <sheetName val="81.전기대비추세표"/>
      <sheetName val="BS합산"/>
      <sheetName val="제조원가"/>
      <sheetName val="소제목"/>
      <sheetName val="9월현금등가물"/>
      <sheetName val="12월현금"/>
      <sheetName val="12월당좌예금"/>
      <sheetName val="12월보통예금"/>
      <sheetName val="12월외화예금"/>
      <sheetName val="9월단기금융상품"/>
      <sheetName val="9월유가증권"/>
      <sheetName val="9월외상매출"/>
      <sheetName val="실외상매출"/>
      <sheetName val="9월받을어음"/>
      <sheetName val="12월할인어음"/>
      <sheetName val="9월부도어음"/>
      <sheetName val="12월대손충당금"/>
      <sheetName val="9월미수금"/>
      <sheetName val="9월미수수익"/>
      <sheetName val="9월선급금"/>
      <sheetName val="6월가지급금"/>
      <sheetName val="9월선급비용"/>
      <sheetName val="9월선급법인세"/>
      <sheetName val="12월재고자산"/>
      <sheetName val="제품수불"/>
      <sheetName val="원재료수불"/>
      <sheetName val="9월미착원재료"/>
      <sheetName val="9월투자유가증권"/>
      <sheetName val="9월장기금융상품"/>
      <sheetName val="9월장기대여금"/>
      <sheetName val="9월임차보증금"/>
      <sheetName val="6월이연법인세차"/>
      <sheetName val="12월단기대여금"/>
      <sheetName val="01기타의투자자산"/>
      <sheetName val="6월유형자산"/>
      <sheetName val="9월건물(정액)"/>
      <sheetName val="9월구축물(정액)"/>
      <sheetName val="9월기계장치(정율)"/>
      <sheetName val="9월차량운반구(정율)"/>
      <sheetName val="3월시설장치"/>
      <sheetName val="9월공구와기구(정율)"/>
      <sheetName val="9월집기비품(정율)"/>
      <sheetName val="9월창업비"/>
      <sheetName val="당좌차월09"/>
      <sheetName val="9월개발비"/>
      <sheetName val="9월특허권"/>
      <sheetName val="6월매입채무"/>
      <sheetName val="9월외상매입"/>
      <sheetName val="9월지급어음"/>
      <sheetName val="9월단기차입금명세서"/>
      <sheetName val="9월당좌차월명세서"/>
      <sheetName val="9월일반대출금명세서"/>
      <sheetName val="9월구매자금차입금명세서"/>
      <sheetName val="9월단기차입금"/>
      <sheetName val="9월미지급금"/>
      <sheetName val="6월선수금"/>
      <sheetName val="9월예수금"/>
      <sheetName val="9월미지급비용"/>
      <sheetName val="12월가수금"/>
      <sheetName val="2000미지급법인세"/>
      <sheetName val="12월미지급배당금"/>
      <sheetName val="9월유동성장기부채"/>
      <sheetName val="9월전환사채"/>
      <sheetName val="9월장기미지급이자"/>
      <sheetName val="9월장기차입금"/>
      <sheetName val="9월퇴직충당"/>
      <sheetName val="9월국민연금전환금"/>
      <sheetName val="미지급부가세09"/>
      <sheetName val="6월자본금명세"/>
      <sheetName val="6월주식발행초과금"/>
      <sheetName val="6월기타자본잉여금 "/>
      <sheetName val="6월이익잉여금 "/>
      <sheetName val="6월자본조정"/>
      <sheetName val="12월매출액명세서"/>
      <sheetName val="판관비명세"/>
      <sheetName val="12월영업외수익명세"/>
      <sheetName val="영업외비용명세"/>
      <sheetName val="차입금상환일정표"/>
      <sheetName val="보증금(전신전화가입권)"/>
      <sheetName val="BS99"/>
      <sheetName val="backdata"/>
      <sheetName val="관세"/>
      <sheetName val="8월현금흐름표"/>
      <sheetName val="control sheet"/>
      <sheetName val="페이지"/>
      <sheetName val="국내진행95년이전"/>
      <sheetName val="경영비율 "/>
      <sheetName val="2001급여"/>
      <sheetName val="현금흐름표"/>
      <sheetName val="B"/>
      <sheetName val="TEMP1"/>
      <sheetName val="업무분장 "/>
      <sheetName val="#REF"/>
      <sheetName val="진행률기표"/>
      <sheetName val="환율표(12월)"/>
      <sheetName val="공정가치"/>
      <sheetName val="반기_유가증권"/>
      <sheetName val="이자수익 명세"/>
      <sheetName val="00'미수"/>
      <sheetName val="Update"/>
      <sheetName val="P&amp;L"/>
      <sheetName val="합손"/>
      <sheetName val="rate"/>
      <sheetName val="HERO01"/>
      <sheetName val="받을어음"/>
      <sheetName val="ED DS"/>
      <sheetName val="ED DT"/>
      <sheetName val="서울재고"/>
      <sheetName val="RE9604"/>
      <sheetName val="재고AR"/>
      <sheetName val=" 견적서"/>
      <sheetName val="INMD1198"/>
      <sheetName val="Korea"/>
      <sheetName val="G4"/>
      <sheetName val="인쇄BS"/>
      <sheetName val="F1,2"/>
      <sheetName val="사내수급"/>
      <sheetName val="설정"/>
      <sheetName val="합계잔액(1)"/>
      <sheetName val="합계잔액 (2)"/>
      <sheetName val="잉여금처분"/>
      <sheetName val="PL (3)"/>
      <sheetName val="MC (3)"/>
      <sheetName val="BS1"/>
      <sheetName val="BS2"/>
      <sheetName val="WTB"/>
      <sheetName val="F-4"/>
      <sheetName val="F-5"/>
      <sheetName val="2262"/>
      <sheetName val="2262-10"/>
      <sheetName val="WTB-BS"/>
      <sheetName val="WTB-IS"/>
      <sheetName val="1.BS"/>
      <sheetName val="2.PL"/>
      <sheetName val="3.제조"/>
      <sheetName val="4.이익"/>
      <sheetName val="24.보증금(전신전화가입권)"/>
      <sheetName val="비품"/>
      <sheetName val="Sheet3"/>
      <sheetName val="MAT"/>
      <sheetName val="최종조정"/>
      <sheetName val="Index"/>
      <sheetName val="LCGRAPH"/>
      <sheetName val="PUC명"/>
      <sheetName val="감액여부"/>
      <sheetName val="유가증권"/>
      <sheetName val="명단"/>
      <sheetName val="채권(하반기)"/>
      <sheetName val="96갑지"/>
      <sheetName val="01"/>
      <sheetName val="국산화"/>
      <sheetName val="Sheet1 (2)"/>
      <sheetName val="10월 급여"/>
      <sheetName val="8100"/>
      <sheetName val="09.1분기실적"/>
      <sheetName val="만기"/>
      <sheetName val="감사일어"/>
      <sheetName val="실행계획"/>
      <sheetName val="지상1층상가면적표"/>
      <sheetName val="지상2층상가면적표"/>
      <sheetName val="층별용도별면적표"/>
      <sheetName val="단가"/>
      <sheetName val="95TOTREV"/>
      <sheetName val="분석(품목)"/>
      <sheetName val="FACTOR"/>
      <sheetName val="118.세금과공과"/>
      <sheetName val="당좌차월"/>
      <sheetName val="용도별수요격차"/>
      <sheetName val="환율"/>
      <sheetName val="XREF"/>
      <sheetName val="노동부"/>
      <sheetName val="항목(1)"/>
      <sheetName val="CoA map"/>
      <sheetName val="현금예금"/>
      <sheetName val="0001new"/>
      <sheetName val="내역서"/>
      <sheetName val="충당금"/>
      <sheetName val="합계잔액시산표"/>
      <sheetName val="6월추가불출"/>
      <sheetName val="REF"/>
      <sheetName val="出口合同"/>
      <sheetName val="Res"/>
      <sheetName val="Bal"/>
      <sheetName val="회사정보"/>
      <sheetName val="00~09_세대수(Actual)"/>
      <sheetName val="긴축실적_(2분기)"/>
      <sheetName val="첨부5__01~06_Sales_Volume(Actual)"/>
      <sheetName val="2006_Budget_대비"/>
      <sheetName val="매월결산_(석탑반영)"/>
      <sheetName val="매월결산_(감사제시확정)"/>
      <sheetName val="HOT_MELT원재료"/>
      <sheetName val="BS_(2003)"/>
      <sheetName val="Other_Assets_leadersheet"/>
      <sheetName val="Fixed_Assets_leadersheet"/>
      <sheetName val="Current_Liabilities"/>
      <sheetName val="판관_비용수익"/>
      <sheetName val="3_잉여금처분O"/>
      <sheetName val="4_현금흐름"/>
      <sheetName val="1_대차대조표"/>
      <sheetName val="2_손익계산서"/>
      <sheetName val="58_제조원가"/>
      <sheetName val="81_전기대비추세표"/>
      <sheetName val="6월기타자본잉여금_"/>
      <sheetName val="6월이익잉여금_"/>
      <sheetName val="발견사항_(2)"/>
      <sheetName val="WPL_"/>
      <sheetName val="제조원가명세서_"/>
      <sheetName val="Sheet1_(2)"/>
      <sheetName val="10월_급여"/>
      <sheetName val=""/>
      <sheetName val="BS정산표"/>
      <sheetName val="A.현금"/>
      <sheetName val="T6-6(7)"/>
      <sheetName val="T6-6(6)"/>
      <sheetName val="은행"/>
      <sheetName val="AT"/>
      <sheetName val="B777"/>
      <sheetName val="신공항"/>
      <sheetName val="정비재료비"/>
      <sheetName val="지상조업료"/>
      <sheetName val="JJ"/>
      <sheetName val="잡유비"/>
      <sheetName val="MA"/>
      <sheetName val="계류장사용료"/>
      <sheetName val="ME"/>
      <sheetName val="MF"/>
      <sheetName val="MI"/>
      <sheetName val="MT"/>
      <sheetName val="QA"/>
      <sheetName val="laroux"/>
      <sheetName val="JSP01"/>
      <sheetName val="공통"/>
      <sheetName val="7 (2)"/>
      <sheetName val="DATASHT2"/>
      <sheetName val="Test"/>
      <sheetName val="Bs. de Uso 2002"/>
      <sheetName val="prov locales"/>
      <sheetName val="은행계정"/>
      <sheetName val="TaxCalc"/>
      <sheetName val="기초자료(20010831)"/>
      <sheetName val="전행순위"/>
      <sheetName val="Ⅰ-1"/>
      <sheetName val="주요비율-낙관"/>
      <sheetName val="별제권_정리담보권1"/>
      <sheetName val="PL98"/>
      <sheetName val="01_tool"/>
      <sheetName val="Scenario"/>
      <sheetName val="Borrower"/>
      <sheetName val="국외감가상각내역0103"/>
      <sheetName val="STC3"/>
      <sheetName val="본부예산"/>
      <sheetName val="Ⅱ1-0타"/>
      <sheetName val="0930PLENG"/>
      <sheetName val="감독1130"/>
      <sheetName val="년"/>
      <sheetName val="대비"/>
      <sheetName val="감가상각"/>
      <sheetName val="특정현금과예금"/>
      <sheetName val="부재료입고집계"/>
      <sheetName val="9-1차이내역"/>
      <sheetName val="일반관리비"/>
      <sheetName val="영업.일"/>
      <sheetName val="선급미지급비용"/>
      <sheetName val="기안"/>
      <sheetName val="sh1"/>
      <sheetName val="sh2"/>
      <sheetName val="sh3"/>
      <sheetName val="물량투입계획"/>
      <sheetName val="상품원가피벗"/>
      <sheetName val="①매출"/>
      <sheetName val="내외국인총괄"/>
      <sheetName val="년도별"/>
      <sheetName val="인력(정규직)"/>
      <sheetName val="과정별"/>
      <sheetName val="sm"/>
      <sheetName val="판매2팀"/>
      <sheetName val="항목등록"/>
      <sheetName val="보정전BS"/>
      <sheetName val="보정전PL"/>
      <sheetName val="전산각주"/>
      <sheetName val="각주"/>
      <sheetName val="수정"/>
      <sheetName val="보정후BS"/>
      <sheetName val="Net PL"/>
      <sheetName val="정산samfile"/>
      <sheetName val="종수"/>
      <sheetName val="수기평가자료_해외분"/>
      <sheetName val="수기평가자료"/>
      <sheetName val="수기보정자료"/>
      <sheetName val="보정samfile"/>
      <sheetName val="보정전BS(세분류)"/>
      <sheetName val="보정전BS(세분류)-본지점수정전"/>
      <sheetName val="보정전BS(소분류)"/>
      <sheetName val="보정전PL(세분류)"/>
      <sheetName val="보정전PL(소분류)"/>
      <sheetName val="보정후BS(세분류)"/>
      <sheetName val="보정후BS(소분류)"/>
      <sheetName val="Net PL(세분류)"/>
      <sheetName val="Net PL(소분류)"/>
      <sheetName val="본봉표"/>
      <sheetName val="직원신상"/>
      <sheetName val="당좌예금"/>
      <sheetName val="K55BOM"/>
      <sheetName val="WELDING"/>
      <sheetName val=" PLENG"/>
      <sheetName val="현금"/>
      <sheetName val="99구축"/>
      <sheetName val="TABLE"/>
      <sheetName val="사업개황1"/>
      <sheetName val="결손금처리(안)"/>
      <sheetName val="4.경비 5.영업외수지"/>
      <sheetName val="Inv. LS"/>
      <sheetName val="YOEMAGUM"/>
      <sheetName val="F4-F7"/>
      <sheetName val="TB"/>
      <sheetName val="이자율"/>
      <sheetName val="표건"/>
      <sheetName val="현장별미수"/>
      <sheetName val="과"/>
      <sheetName val="공통가설"/>
      <sheetName val="미착기계"/>
      <sheetName val="Input"/>
      <sheetName val="이자수익1"/>
      <sheetName val="고자현황"/>
      <sheetName val="취득"/>
      <sheetName val="협조전"/>
      <sheetName val="admin"/>
      <sheetName val="품의서"/>
      <sheetName val="2차-PROTO-(1)"/>
      <sheetName val="제조원가명세서"/>
      <sheetName val="Macro3"/>
      <sheetName val="CAUDIT"/>
      <sheetName val="AGING"/>
      <sheetName val="Customer List"/>
      <sheetName val="Supply List"/>
      <sheetName val="전체"/>
      <sheetName val="제조"/>
      <sheetName val="1.외주공사"/>
      <sheetName val="LEAD-WBS"/>
      <sheetName val="경비공통"/>
      <sheetName val="소계정"/>
      <sheetName val="직급"/>
      <sheetName val="직무"/>
      <sheetName val="변동"/>
      <sheetName val="Pivot_직무상세"/>
      <sheetName val="Pivot_직무"/>
      <sheetName val="Pivot_직급"/>
      <sheetName val="insa_tmp"/>
      <sheetName val="내수충당금"/>
      <sheetName val="가수금대체"/>
      <sheetName val="재무상태표"/>
      <sheetName val="이익잉여금처분계산서"/>
      <sheetName val="sisan"/>
      <sheetName val="TCA"/>
      <sheetName val="Calcs for Sensitivy"/>
      <sheetName val="DCF Inputs"/>
      <sheetName val="99사업소득정산"/>
      <sheetName val="dartBS"/>
      <sheetName val="B4.1"/>
      <sheetName val="dartIS"/>
      <sheetName val="B4.2"/>
      <sheetName val="PL (2)"/>
      <sheetName val="부채계정"/>
      <sheetName val="현장실사결과요약"/>
      <sheetName val="TEMP"/>
      <sheetName val="JA"/>
      <sheetName val="제조98"/>
      <sheetName val="인건비예산(정규직)"/>
      <sheetName val="인건비예산(용역)"/>
      <sheetName val="수불부"/>
      <sheetName val="계정명세"/>
      <sheetName val="실행철강하도"/>
      <sheetName val="M1master"/>
      <sheetName val="수정분개"/>
      <sheetName val="단기대여금"/>
      <sheetName val="보증금"/>
      <sheetName val="비교"/>
      <sheetName val="월별재고예상(감량전)"/>
      <sheetName val="A-LINE"/>
      <sheetName val="F-1,2"/>
      <sheetName val="수정시산표"/>
      <sheetName val="Balance sheet"/>
      <sheetName val="대차대조표(수정)"/>
      <sheetName val="비교대차"/>
      <sheetName val="손익계산서(수정)"/>
      <sheetName val="비교손익"/>
      <sheetName val="시산표1차"/>
      <sheetName val="시산표2차 "/>
      <sheetName val="일계표"/>
      <sheetName val="비교대차  (1)"/>
      <sheetName val="손익결산  (1)"/>
      <sheetName val="비교대차  (2)"/>
      <sheetName val="손익결산  (2)"/>
      <sheetName val="시산결산 (2)"/>
      <sheetName val="결손금처분"/>
      <sheetName val="세무조정(간략)"/>
      <sheetName val="기초코드"/>
      <sheetName val="개시전표"/>
      <sheetName val="공사집계"/>
      <sheetName val="경제성분석"/>
      <sheetName val="지역별약정(당일)"/>
      <sheetName val="주관사업"/>
      <sheetName val="MacroA"/>
      <sheetName val="정의"/>
      <sheetName val="0096판보"/>
      <sheetName val="고정자산-회사제시"/>
      <sheetName val="품의"/>
      <sheetName val="S&amp;D (2)"/>
      <sheetName val="9609Aß"/>
      <sheetName val="HSA"/>
      <sheetName val="region"/>
      <sheetName val="Assign"/>
      <sheetName val="A (3)"/>
      <sheetName val="Active"/>
      <sheetName val="knoc_et"/>
      <sheetName val="OtherKPI"/>
      <sheetName val="09_1분기실적"/>
      <sheetName val="118_세금과공과"/>
      <sheetName val="세무서코드"/>
      <sheetName val="기계경비(시간당)"/>
      <sheetName val="램머"/>
      <sheetName val="보조부문비배부"/>
      <sheetName val="일위대가(여기까지)"/>
      <sheetName val="C"/>
      <sheetName val="MACRO2"/>
      <sheetName val="유효성검사"/>
      <sheetName val="업무분장_"/>
      <sheetName val="Template"/>
      <sheetName val="LTEURPSY"/>
      <sheetName val="199-0150"/>
      <sheetName val="지급보증금74"/>
      <sheetName val="LTFX"/>
      <sheetName val="수도"/>
      <sheetName val="수도종합"/>
      <sheetName val="목차_(2)"/>
      <sheetName val="Training"/>
      <sheetName val="Facility Information"/>
      <sheetName val="General"/>
      <sheetName val="Instructions"/>
      <sheetName val="People"/>
      <sheetName val="Quality"/>
      <sheetName val="Risk"/>
      <sheetName val="Tool"/>
      <sheetName val="출퇴근"/>
      <sheetName val="업무분장"/>
      <sheetName val="영업_일1"/>
      <sheetName val="영업_일"/>
      <sheetName val="목차_(2)1"/>
      <sheetName val="영업_일11"/>
      <sheetName val="영업_일2"/>
      <sheetName val="매월결산_(석탑반영)1"/>
      <sheetName val="매월결산_(감사제시확정)1"/>
      <sheetName val="금액내역서"/>
      <sheetName val="97년추정손익계산서"/>
      <sheetName val="범례"/>
      <sheetName val="Usd"/>
      <sheetName val="3-4현"/>
      <sheetName val="3-3현"/>
      <sheetName val="당연"/>
      <sheetName val="손익합산"/>
      <sheetName val="매출채권"/>
      <sheetName val="매입채무"/>
      <sheetName val="합천내역"/>
      <sheetName val="A"/>
      <sheetName val="7_(2)"/>
      <sheetName val="완성차_미수금"/>
      <sheetName val="Net_PL"/>
      <sheetName val="Net_PL(세분류)"/>
      <sheetName val="Net_PL(소분류)"/>
      <sheetName val="임차보증금현황04.6.30"/>
      <sheetName val="sap`04.7.14"/>
      <sheetName val="27M&amp;I - Input"/>
      <sheetName val="약속"/>
      <sheetName val="건설가"/>
      <sheetName val="Æo°¡±aAØ"/>
      <sheetName val="Inv Trend "/>
      <sheetName val="Segments"/>
      <sheetName val="Macro1"/>
      <sheetName val="CASE ASM"/>
      <sheetName val="Lead"/>
      <sheetName val="관계주식"/>
      <sheetName val="DATA"/>
      <sheetName val="VXXXXXX"/>
      <sheetName val="비용flux test"/>
      <sheetName val="SALES4"/>
      <sheetName val="주주명부&lt;끝&gt;"/>
      <sheetName val="MASIMS"/>
      <sheetName val="pus"/>
      <sheetName val="고정비"/>
      <sheetName val="A_현금"/>
      <sheetName val="301  금성근"/>
      <sheetName val="A2"/>
      <sheetName val="A1"/>
      <sheetName val="주요재무비율"/>
      <sheetName val="회사제시"/>
      <sheetName val="bal sheet"/>
      <sheetName val="조건"/>
      <sheetName val="f_BS"/>
      <sheetName val="10월판관"/>
      <sheetName val="MSVT"/>
      <sheetName val="예수금"/>
      <sheetName val="96월별PL"/>
      <sheetName val="2.대외공문"/>
      <sheetName val="대차대조표(3분기)"/>
      <sheetName val="손익계산서(3분기)"/>
      <sheetName val="대차대조표(반기)"/>
      <sheetName val="손익계산서(반기)"/>
      <sheetName val="Balance Sheet(AR)"/>
      <sheetName val="Income Statement(AR)"/>
      <sheetName val="품셈"/>
      <sheetName val="삭재 금지"/>
      <sheetName val="LeadSchedule"/>
      <sheetName val="선급비용"/>
      <sheetName val="5월"/>
      <sheetName val="기계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>
        <row r="68">
          <cell r="B68" t="str">
            <v xml:space="preserve"> Ⅶ. 營 　 業    外 　 費　  用</v>
          </cell>
        </row>
      </sheetData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68">
          <cell r="B68" t="str">
            <v xml:space="preserve"> Ⅶ. 營 　 業    外 　 費　  用</v>
          </cell>
        </row>
      </sheetData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 refreshError="1"/>
      <sheetData sheetId="424"/>
      <sheetData sheetId="425"/>
      <sheetData sheetId="426"/>
      <sheetData sheetId="427" refreshError="1"/>
      <sheetData sheetId="428"/>
      <sheetData sheetId="429" refreshError="1"/>
      <sheetData sheetId="430"/>
      <sheetData sheetId="431"/>
      <sheetData sheetId="432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합계잔액시산표"/>
      <sheetName val="결손금처리계산서"/>
      <sheetName val="현금"/>
      <sheetName val="당좌예금"/>
      <sheetName val="보통예금"/>
      <sheetName val="별단예금"/>
      <sheetName val="외상매출금"/>
      <sheetName val="받을어음"/>
      <sheetName val="미수금"/>
      <sheetName val="선급금"/>
      <sheetName val="선급비용"/>
      <sheetName val="부가세대급금"/>
      <sheetName val="선납법인세"/>
      <sheetName val="상품수불부"/>
      <sheetName val="상품수불명세서"/>
      <sheetName val="저장품"/>
      <sheetName val="저장품 (2)"/>
      <sheetName val="미착품"/>
      <sheetName val="특정현금과예금"/>
      <sheetName val="전신전화가입권"/>
      <sheetName val="임차보증금"/>
      <sheetName val="예치보증금"/>
      <sheetName val="유형고정자산"/>
      <sheetName val="이연자산"/>
      <sheetName val="외상매입금"/>
      <sheetName val="외화외상매입금"/>
      <sheetName val="지급어음"/>
      <sheetName val="단기차입금"/>
      <sheetName val="미지급금"/>
      <sheetName val="선수금"/>
      <sheetName val="예수금"/>
      <sheetName val="부가세예수금"/>
      <sheetName val="가수금"/>
      <sheetName val="장기차입금"/>
      <sheetName val="퇴직급여충당금"/>
      <sheetName val="퇴직금전환금"/>
      <sheetName val="자본금"/>
      <sheetName val="추이도표"/>
      <sheetName val="추이도표 (2)"/>
      <sheetName val="원_VL"/>
      <sheetName val="결산자~1"/>
      <sheetName val="판매"/>
      <sheetName val="WBS98"/>
      <sheetName val="9609Aß"/>
      <sheetName val="기본정보입력"/>
      <sheetName val="Variable"/>
      <sheetName val="코드"/>
      <sheetName val="제조원가(확인)"/>
      <sheetName val="재고자산명세"/>
      <sheetName val="compare2"/>
      <sheetName val="Krw"/>
      <sheetName val="경제성분석"/>
      <sheetName val="인원_20001101"/>
      <sheetName val="MRS세부"/>
      <sheetName val="Control"/>
      <sheetName val="Macro Assmpt."/>
      <sheetName val="견적과실행예산"/>
      <sheetName val="98년매출액및매출원가"/>
      <sheetName val="손익계산서(가로)"/>
      <sheetName val=" 견적서"/>
      <sheetName val="제조98"/>
      <sheetName val="조건"/>
      <sheetName val="UTCW"/>
      <sheetName val="VXXXX"/>
      <sheetName val="3-4현"/>
      <sheetName val="3-3현"/>
      <sheetName val="1995년 섹터별 매출"/>
      <sheetName val="건물명세"/>
      <sheetName val="Int-Invst"/>
      <sheetName val="Disclosure"/>
      <sheetName val="Select"/>
      <sheetName val="생산"/>
      <sheetName val="감가상각"/>
      <sheetName val="Asset9809CAK"/>
      <sheetName val="저장품_(2)"/>
      <sheetName val="추이도표_(2)"/>
      <sheetName val="저장품_(2)1"/>
      <sheetName val="추이도표_(2)1"/>
      <sheetName val="DM 56"/>
      <sheetName val="Köpfe"/>
      <sheetName val="N"/>
      <sheetName val="2-2.매출분석"/>
      <sheetName val="YOEMAGUM"/>
      <sheetName val="96수표어음"/>
      <sheetName val="자본금99(수)"/>
      <sheetName val="C20G"/>
      <sheetName val="TBclosing"/>
      <sheetName val="재공수합"/>
      <sheetName val="정보(MCC)"/>
      <sheetName val="정보(HEI)"/>
      <sheetName val="정산표"/>
      <sheetName val="년차계산분"/>
      <sheetName val="AP HK"/>
      <sheetName val="Table"/>
      <sheetName val="EEE 1916"/>
      <sheetName val="공통부대비"/>
      <sheetName val="환률"/>
      <sheetName val="부대"/>
      <sheetName val="HSA"/>
      <sheetName val="Input"/>
      <sheetName val="1.4 Capex&amp;OpCosts"/>
      <sheetName val="Killa"/>
      <sheetName val="kategoriler"/>
      <sheetName val="FF-21(a)"/>
    </sheetNames>
    <sheetDataSet>
      <sheetData sheetId="0" refreshError="1"/>
      <sheetData sheetId="1" refreshError="1"/>
      <sheetData sheetId="2" refreshError="1">
        <row r="23">
          <cell r="A23">
            <v>425389194</v>
          </cell>
          <cell r="B23">
            <v>8407381</v>
          </cell>
          <cell r="C23" t="str">
            <v>미착품</v>
          </cell>
          <cell r="E23">
            <v>416981813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ward delivery"/>
      <sheetName val="VSLS SUMMARY"/>
      <sheetName val="DEM-DES 정산"/>
      <sheetName val="미정산 accounts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거래처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부인쇄"/>
      <sheetName val="표지"/>
      <sheetName val="A"/>
      <sheetName val="B"/>
      <sheetName val="C"/>
      <sheetName val="1"/>
      <sheetName val="2"/>
      <sheetName val="2.1"/>
      <sheetName val="3"/>
      <sheetName val="4"/>
      <sheetName val="5"/>
      <sheetName val="6"/>
      <sheetName val="6.1"/>
      <sheetName val="7"/>
      <sheetName val="8"/>
      <sheetName val="9"/>
      <sheetName val="10"/>
      <sheetName val="11"/>
      <sheetName val="12"/>
      <sheetName val="유첨"/>
      <sheetName val="표지총괄"/>
      <sheetName val="Macro2"/>
      <sheetName val="Macro1"/>
      <sheetName val="New Valuation"/>
      <sheetName val="8월현금흐름표"/>
      <sheetName val="배분율"/>
      <sheetName val="구동"/>
      <sheetName val="선반OPT"/>
      <sheetName val="Assumption"/>
      <sheetName val="$amount"/>
      <sheetName val="인원계획-미화"/>
      <sheetName val="libor"/>
      <sheetName val="HYUNDAI"/>
      <sheetName val="LG-CTX"/>
      <sheetName val="전체현황"/>
      <sheetName val="가공비"/>
      <sheetName val="BAL.(TTL)"/>
      <sheetName val="생산의뢰서"/>
      <sheetName val="Links"/>
      <sheetName val="손익계산"/>
      <sheetName val="Sheet1"/>
      <sheetName val="공문"/>
      <sheetName val="LeadFrames"/>
      <sheetName val="Ship Advice"/>
      <sheetName val="DI1"/>
      <sheetName val="고정자산원본"/>
      <sheetName val="BackSource"/>
      <sheetName val="RATE"/>
      <sheetName val="LDPE"/>
      <sheetName val="Bank charge"/>
      <sheetName val="COVER"/>
      <sheetName val="Köpfe"/>
      <sheetName val="XLUTIL"/>
      <sheetName val="매출원가_회사제시"/>
      <sheetName val="FAB별"/>
      <sheetName val="---FAB#1업무일지---"/>
      <sheetName val="감가상각"/>
      <sheetName val="차수"/>
      <sheetName val="Statement of OPs"/>
      <sheetName val="매출"/>
      <sheetName val="한세A4PL"/>
      <sheetName val="INMD1198"/>
      <sheetName val="INFG1198"/>
      <sheetName val="LXLIST1"/>
      <sheetName val="가동비율"/>
      <sheetName val="1.MDF1공장"/>
      <sheetName val="원장미수금06-2"/>
      <sheetName val="MC&amp;다변화"/>
      <sheetName val="June"/>
      <sheetName val="2.손익계산"/>
      <sheetName val="infoSheet"/>
      <sheetName val="사업관리"/>
      <sheetName val="%관리보수계산내역"/>
      <sheetName val="전체유통비용"/>
      <sheetName val="Lead"/>
      <sheetName val="유통망계획"/>
    </sheetNames>
    <definedNames>
      <definedName name="M_F123.CashFlow_Button1_Click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일반관리비A"/>
      <sheetName val="영업외수익지출"/>
      <sheetName val="일반관리비"/>
      <sheetName val="시산표월계"/>
      <sheetName val="시산표4"/>
      <sheetName val="Key Issues"/>
      <sheetName val="Sales(F)"/>
      <sheetName val="생산.재고"/>
      <sheetName val="Recei &amp; Loan(F1)"/>
      <sheetName val="Journal (2)"/>
      <sheetName val="Macro1"/>
      <sheetName val="현금"/>
      <sheetName val="수정분개"/>
      <sheetName val="Macro2"/>
      <sheetName val="Sheet1"/>
      <sheetName val="3110-2"/>
      <sheetName val="Input"/>
      <sheetName val="시산표4b (1)"/>
      <sheetName val="고급필터"/>
    </sheetNames>
    <definedNames>
      <definedName name="Macro8" sheetId="1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영지표분석"/>
      <sheetName val="부가가치"/>
      <sheetName val="EPS"/>
      <sheetName val="Sheet1"/>
      <sheetName val="Tickmarks"/>
      <sheetName val="제조경비"/>
      <sheetName val="현금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간생산계획"/>
      <sheetName val="계획및실적"/>
      <sheetName val="등록정보"/>
      <sheetName val="Sheet1"/>
    </sheetNames>
    <sheetDataSet>
      <sheetData sheetId="0"/>
      <sheetData sheetId="1"/>
      <sheetData sheetId="2">
        <row r="1">
          <cell r="A1" t="str">
            <v>구분</v>
          </cell>
          <cell r="B1" t="str">
            <v>UWC</v>
          </cell>
          <cell r="C1" t="str">
            <v>UWR</v>
          </cell>
          <cell r="D1" t="str">
            <v>MB</v>
          </cell>
        </row>
        <row r="2">
          <cell r="A2" t="str">
            <v>UWC</v>
          </cell>
          <cell r="B2" t="str">
            <v>기준</v>
          </cell>
          <cell r="C2" t="str">
            <v>기준</v>
          </cell>
          <cell r="D2" t="str">
            <v>기준</v>
          </cell>
        </row>
        <row r="3">
          <cell r="A3" t="str">
            <v>UWR</v>
          </cell>
          <cell r="B3" t="str">
            <v>15S 1차</v>
          </cell>
          <cell r="C3" t="str">
            <v>FR-150</v>
          </cell>
          <cell r="D3" t="str">
            <v>636-PK12</v>
          </cell>
        </row>
        <row r="4">
          <cell r="A4" t="str">
            <v>MB</v>
          </cell>
          <cell r="B4" t="str">
            <v>15S 2차</v>
          </cell>
          <cell r="C4" t="str">
            <v>FR-165</v>
          </cell>
          <cell r="D4" t="str">
            <v>M30K20BL</v>
          </cell>
        </row>
        <row r="5">
          <cell r="A5" t="str">
            <v>UWAS</v>
          </cell>
          <cell r="B5" t="str">
            <v>7071AMB</v>
          </cell>
          <cell r="C5" t="str">
            <v>FR-300</v>
          </cell>
          <cell r="D5" t="str">
            <v>MB1002S</v>
          </cell>
        </row>
        <row r="6">
          <cell r="A6" t="str">
            <v>UWD</v>
          </cell>
          <cell r="B6" t="str">
            <v>ABS-CT</v>
          </cell>
          <cell r="C6" t="str">
            <v>MR-300</v>
          </cell>
          <cell r="D6" t="str">
            <v>MB1003-1</v>
          </cell>
        </row>
        <row r="7">
          <cell r="A7" t="str">
            <v>UWE</v>
          </cell>
          <cell r="B7" t="str">
            <v>PE/CT</v>
          </cell>
          <cell r="C7" t="str">
            <v>MR-150</v>
          </cell>
          <cell r="D7" t="str">
            <v>MB1017A</v>
          </cell>
        </row>
        <row r="8">
          <cell r="A8" t="str">
            <v>UFR</v>
          </cell>
          <cell r="B8" t="str">
            <v>PE/CT Re</v>
          </cell>
          <cell r="C8" t="str">
            <v>UR-300</v>
          </cell>
          <cell r="D8" t="str">
            <v>MB1017</v>
          </cell>
        </row>
        <row r="9">
          <cell r="B9" t="str">
            <v>PS-CT2</v>
          </cell>
          <cell r="C9" t="str">
            <v>UWR-07G25</v>
          </cell>
          <cell r="D9" t="str">
            <v>MB1006-1</v>
          </cell>
        </row>
        <row r="10">
          <cell r="B10" t="str">
            <v>UWC-01C20</v>
          </cell>
          <cell r="C10" t="str">
            <v>UWR-1020-7</v>
          </cell>
          <cell r="D10" t="str">
            <v>MB1009-1</v>
          </cell>
        </row>
        <row r="11">
          <cell r="B11" t="str">
            <v>UWC-02P16</v>
          </cell>
          <cell r="C11" t="str">
            <v>UWR-13M20</v>
          </cell>
          <cell r="D11" t="str">
            <v>MB1017B-1</v>
          </cell>
        </row>
        <row r="12">
          <cell r="B12" t="str">
            <v>UWC-07C03</v>
          </cell>
          <cell r="C12" t="str">
            <v>UWR-13D20A</v>
          </cell>
          <cell r="D12" t="str">
            <v>MB1017B</v>
          </cell>
        </row>
        <row r="13">
          <cell r="B13" t="str">
            <v>UWC-07H10</v>
          </cell>
          <cell r="C13" t="str">
            <v>UWR-13D20B</v>
          </cell>
          <cell r="D13" t="str">
            <v>MB102</v>
          </cell>
        </row>
        <row r="14">
          <cell r="B14" t="str">
            <v>UWC-1131SG</v>
          </cell>
          <cell r="C14" t="str">
            <v>UWR-14G30BK</v>
          </cell>
          <cell r="D14" t="str">
            <v>MB1020-1</v>
          </cell>
        </row>
        <row r="15">
          <cell r="B15" t="str">
            <v>UWC-1131SG</v>
          </cell>
          <cell r="C15" t="str">
            <v>UWR-14G30BL</v>
          </cell>
          <cell r="D15" t="str">
            <v>MB1022-1</v>
          </cell>
        </row>
        <row r="16">
          <cell r="B16" t="str">
            <v>UWC-13P20</v>
          </cell>
          <cell r="C16" t="str">
            <v>UWR-28G30</v>
          </cell>
          <cell r="D16" t="str">
            <v>MB1023-2</v>
          </cell>
        </row>
        <row r="17">
          <cell r="B17" t="str">
            <v>UWC-13GP20</v>
          </cell>
          <cell r="C17" t="str">
            <v>UWR-2805</v>
          </cell>
          <cell r="D17" t="str">
            <v>MB1024-5</v>
          </cell>
        </row>
        <row r="18">
          <cell r="B18" t="str">
            <v>UWC-21C30</v>
          </cell>
          <cell r="C18" t="str">
            <v>UWR-3040AY</v>
          </cell>
          <cell r="D18" t="str">
            <v>MB1028-1</v>
          </cell>
        </row>
        <row r="19">
          <cell r="B19" t="str">
            <v>UWC-26A10</v>
          </cell>
          <cell r="C19" t="str">
            <v>UWR-4005</v>
          </cell>
          <cell r="D19" t="str">
            <v>MB103</v>
          </cell>
        </row>
        <row r="20">
          <cell r="B20" t="str">
            <v>UWC-26C15</v>
          </cell>
          <cell r="C20" t="str">
            <v>UWR-6040</v>
          </cell>
          <cell r="D20" t="str">
            <v>MB1031</v>
          </cell>
        </row>
        <row r="21">
          <cell r="B21" t="str">
            <v>UWC-26P16</v>
          </cell>
          <cell r="C21" t="str">
            <v>UWR-7045S</v>
          </cell>
          <cell r="D21" t="str">
            <v>MB105</v>
          </cell>
        </row>
        <row r="22">
          <cell r="B22" t="str">
            <v>UWC-26P17</v>
          </cell>
          <cell r="C22" t="str">
            <v>UWR-8007-6</v>
          </cell>
          <cell r="D22" t="str">
            <v>MB105 Re</v>
          </cell>
        </row>
        <row r="23">
          <cell r="B23" t="str">
            <v>UWC-38A10</v>
          </cell>
          <cell r="C23" t="str">
            <v>UWR-9009</v>
          </cell>
          <cell r="D23" t="str">
            <v>MB105-1</v>
          </cell>
        </row>
        <row r="24">
          <cell r="B24" t="str">
            <v>UWC-5131SB</v>
          </cell>
          <cell r="C24" t="str">
            <v>UWR-9015S</v>
          </cell>
          <cell r="D24" t="str">
            <v>MB105변경</v>
          </cell>
        </row>
        <row r="25">
          <cell r="B25" t="str">
            <v>UWC-5181E</v>
          </cell>
          <cell r="C25" t="str">
            <v>UWR-9019V</v>
          </cell>
          <cell r="D25" t="str">
            <v>MB107</v>
          </cell>
        </row>
        <row r="26">
          <cell r="B26" t="str">
            <v>UWC-6050</v>
          </cell>
          <cell r="C26" t="str">
            <v>UWR-9035</v>
          </cell>
          <cell r="D26" t="str">
            <v>MB1078</v>
          </cell>
        </row>
        <row r="27">
          <cell r="B27" t="str">
            <v>UWC-6071A</v>
          </cell>
          <cell r="C27" t="str">
            <v>UWR-9045S</v>
          </cell>
          <cell r="D27" t="str">
            <v>MB1109</v>
          </cell>
        </row>
        <row r="28">
          <cell r="B28" t="str">
            <v>UWC-6071AB</v>
          </cell>
          <cell r="C28" t="str">
            <v>UWR-9328</v>
          </cell>
          <cell r="D28" t="str">
            <v>MB1114DM</v>
          </cell>
        </row>
        <row r="29">
          <cell r="B29" t="str">
            <v>UWC-6131S</v>
          </cell>
          <cell r="C29" t="str">
            <v>UWR-9340</v>
          </cell>
          <cell r="D29" t="str">
            <v>MB1160DH</v>
          </cell>
        </row>
        <row r="30">
          <cell r="B30" t="str">
            <v>UWC-6945S</v>
          </cell>
          <cell r="C30" t="str">
            <v>Grade미정</v>
          </cell>
          <cell r="D30" t="str">
            <v>MB1191</v>
          </cell>
        </row>
        <row r="31">
          <cell r="B31" t="str">
            <v>UWC-7020A</v>
          </cell>
          <cell r="C31" t="str">
            <v>LCP Re</v>
          </cell>
          <cell r="D31" t="str">
            <v>MB1235</v>
          </cell>
        </row>
        <row r="32">
          <cell r="B32" t="str">
            <v>UWC-7071A</v>
          </cell>
          <cell r="C32" t="str">
            <v>E130 i</v>
          </cell>
          <cell r="D32" t="str">
            <v>MB1333</v>
          </cell>
        </row>
        <row r="33">
          <cell r="B33" t="str">
            <v>UWC-7071A Re</v>
          </cell>
          <cell r="C33" t="str">
            <v>E6008</v>
          </cell>
          <cell r="D33" t="str">
            <v>MB1390</v>
          </cell>
        </row>
        <row r="34">
          <cell r="B34" t="str">
            <v>7071A MB</v>
          </cell>
          <cell r="D34" t="str">
            <v>MB1419</v>
          </cell>
        </row>
        <row r="35">
          <cell r="B35" t="str">
            <v>UWC-7105C</v>
          </cell>
          <cell r="D35" t="str">
            <v>MB1445</v>
          </cell>
        </row>
        <row r="36">
          <cell r="B36" t="str">
            <v>UWC-8009-2</v>
          </cell>
          <cell r="D36" t="str">
            <v>MB1504</v>
          </cell>
        </row>
        <row r="37">
          <cell r="B37" t="str">
            <v>UWC-8040A</v>
          </cell>
          <cell r="D37" t="str">
            <v>MB1519</v>
          </cell>
        </row>
        <row r="38">
          <cell r="B38" t="str">
            <v>UWC-8131S</v>
          </cell>
          <cell r="D38" t="str">
            <v>MB1525</v>
          </cell>
        </row>
        <row r="39">
          <cell r="B39" t="str">
            <v>UWC-8181E</v>
          </cell>
          <cell r="D39" t="str">
            <v>MB1544</v>
          </cell>
        </row>
        <row r="40">
          <cell r="B40" t="str">
            <v>UWC-9005-2</v>
          </cell>
          <cell r="D40" t="str">
            <v>MB15S</v>
          </cell>
        </row>
        <row r="41">
          <cell r="B41" t="str">
            <v>UWC-9005-2</v>
          </cell>
          <cell r="D41" t="str">
            <v>MB1603</v>
          </cell>
        </row>
        <row r="42">
          <cell r="B42" t="str">
            <v>UWC-9008</v>
          </cell>
          <cell r="D42" t="str">
            <v>MB1619</v>
          </cell>
        </row>
        <row r="43">
          <cell r="B43" t="str">
            <v>UWC-9013</v>
          </cell>
          <cell r="D43" t="str">
            <v>MB1633</v>
          </cell>
        </row>
        <row r="44">
          <cell r="B44" t="str">
            <v>UWC-9017A</v>
          </cell>
          <cell r="D44" t="str">
            <v>MB1650A</v>
          </cell>
        </row>
        <row r="45">
          <cell r="B45" t="str">
            <v>UWC-9014NI</v>
          </cell>
          <cell r="D45" t="str">
            <v>MB1679</v>
          </cell>
        </row>
        <row r="46">
          <cell r="B46" t="str">
            <v>UWC-9018P</v>
          </cell>
          <cell r="D46" t="str">
            <v>MB1680</v>
          </cell>
        </row>
        <row r="47">
          <cell r="B47" t="str">
            <v>UWC-9020</v>
          </cell>
          <cell r="D47" t="str">
            <v>MB1711</v>
          </cell>
        </row>
        <row r="48">
          <cell r="B48" t="str">
            <v>UWC-9061H</v>
          </cell>
          <cell r="D48" t="str">
            <v>MB1717</v>
          </cell>
        </row>
        <row r="49">
          <cell r="B49" t="str">
            <v>UWC-9062H</v>
          </cell>
          <cell r="D49" t="str">
            <v>MB1708</v>
          </cell>
        </row>
        <row r="50">
          <cell r="B50" t="str">
            <v>UWC-9130M</v>
          </cell>
          <cell r="D50" t="str">
            <v>MB1945</v>
          </cell>
        </row>
        <row r="51">
          <cell r="B51" t="str">
            <v>UWC-9131S</v>
          </cell>
          <cell r="D51" t="str">
            <v>MB2007-3</v>
          </cell>
        </row>
        <row r="52">
          <cell r="B52" t="str">
            <v>UWC-9131SR</v>
          </cell>
          <cell r="D52" t="str">
            <v>MB2007-4</v>
          </cell>
        </row>
        <row r="53">
          <cell r="B53" t="str">
            <v>UWC-9150M</v>
          </cell>
          <cell r="D53" t="str">
            <v>MB2208</v>
          </cell>
        </row>
        <row r="54">
          <cell r="B54" t="str">
            <v>UWC-9151U</v>
          </cell>
          <cell r="D54" t="str">
            <v>MB2002-5</v>
          </cell>
        </row>
        <row r="55">
          <cell r="B55" t="str">
            <v>UWC-9155F</v>
          </cell>
          <cell r="D55" t="str">
            <v>MB2004-5</v>
          </cell>
        </row>
        <row r="56">
          <cell r="B56" t="str">
            <v>UWC-9155FR</v>
          </cell>
          <cell r="D56" t="str">
            <v>MB201</v>
          </cell>
        </row>
        <row r="57">
          <cell r="B57" t="str">
            <v>UWC-9155FN</v>
          </cell>
          <cell r="D57" t="str">
            <v>MB201  1차</v>
          </cell>
        </row>
        <row r="58">
          <cell r="B58" t="str">
            <v>UWC-9155FG</v>
          </cell>
          <cell r="D58" t="str">
            <v>MB205-2</v>
          </cell>
        </row>
        <row r="59">
          <cell r="B59" t="str">
            <v>UWC-9165F</v>
          </cell>
          <cell r="D59" t="str">
            <v>MB205</v>
          </cell>
        </row>
        <row r="60">
          <cell r="B60" t="str">
            <v>UWC-9165FN</v>
          </cell>
          <cell r="D60" t="str">
            <v>MB206-1</v>
          </cell>
        </row>
        <row r="61">
          <cell r="B61" t="str">
            <v>UWC-9181E</v>
          </cell>
          <cell r="D61" t="str">
            <v>MB207</v>
          </cell>
        </row>
        <row r="62">
          <cell r="B62" t="str">
            <v>UWC-9181EA</v>
          </cell>
          <cell r="D62" t="str">
            <v>MB2007-4</v>
          </cell>
        </row>
        <row r="63">
          <cell r="B63" t="str">
            <v>UWC-9181EL</v>
          </cell>
          <cell r="D63" t="str">
            <v>MB2016</v>
          </cell>
        </row>
        <row r="64">
          <cell r="B64" t="str">
            <v>UWC-9181I</v>
          </cell>
          <cell r="D64" t="str">
            <v>MB2979</v>
          </cell>
        </row>
        <row r="65">
          <cell r="B65" t="str">
            <v>UWC-9182E</v>
          </cell>
          <cell r="D65" t="str">
            <v>MB306</v>
          </cell>
        </row>
        <row r="66">
          <cell r="B66" t="str">
            <v>UWC-9250I</v>
          </cell>
          <cell r="D66" t="str">
            <v>MB3006-1</v>
          </cell>
        </row>
        <row r="67">
          <cell r="B67" t="str">
            <v>9250I 1차</v>
          </cell>
          <cell r="D67" t="str">
            <v>MB3008-1</v>
          </cell>
        </row>
        <row r="68">
          <cell r="B68" t="str">
            <v>UWC-9250B</v>
          </cell>
          <cell r="D68" t="str">
            <v>MB3009-1</v>
          </cell>
        </row>
        <row r="69">
          <cell r="B69" t="str">
            <v>UWC-9422B</v>
          </cell>
          <cell r="D69" t="str">
            <v>MB3023</v>
          </cell>
        </row>
        <row r="70">
          <cell r="B70" t="str">
            <v>UWC-9430A</v>
          </cell>
          <cell r="D70" t="str">
            <v>MB301</v>
          </cell>
        </row>
        <row r="71">
          <cell r="B71" t="str">
            <v>UWC-9520</v>
          </cell>
          <cell r="D71" t="str">
            <v>MB304-3</v>
          </cell>
        </row>
        <row r="72">
          <cell r="B72" t="str">
            <v>UWC-9540</v>
          </cell>
          <cell r="D72" t="str">
            <v>FR321B</v>
          </cell>
        </row>
        <row r="73">
          <cell r="B73" t="str">
            <v>UWC-9550</v>
          </cell>
          <cell r="D73" t="str">
            <v>FR321B 1차</v>
          </cell>
        </row>
        <row r="74">
          <cell r="B74" t="str">
            <v>UWC-9560</v>
          </cell>
          <cell r="D74" t="str">
            <v>MB 418BLS</v>
          </cell>
        </row>
        <row r="75">
          <cell r="B75" t="str">
            <v>UWC-9930L</v>
          </cell>
          <cell r="D75" t="str">
            <v>MB5001-1</v>
          </cell>
        </row>
        <row r="76">
          <cell r="B76" t="str">
            <v>ER-300</v>
          </cell>
          <cell r="D76" t="str">
            <v>MB501</v>
          </cell>
        </row>
        <row r="77">
          <cell r="B77" t="str">
            <v>UR-300</v>
          </cell>
          <cell r="D77" t="str">
            <v>MB5011</v>
          </cell>
        </row>
        <row r="78">
          <cell r="B78" t="str">
            <v>SR-100</v>
          </cell>
          <cell r="D78" t="str">
            <v>MB502</v>
          </cell>
        </row>
        <row r="79">
          <cell r="B79" t="str">
            <v>FR-100</v>
          </cell>
          <cell r="D79" t="str">
            <v>MB5013-3</v>
          </cell>
        </row>
        <row r="80">
          <cell r="B80" t="str">
            <v>PC-300</v>
          </cell>
          <cell r="D80" t="str">
            <v>MB6011-1</v>
          </cell>
        </row>
        <row r="81">
          <cell r="B81" t="str">
            <v>UWC-04C01GR</v>
          </cell>
          <cell r="D81" t="str">
            <v>UWM-7010-1</v>
          </cell>
        </row>
        <row r="82">
          <cell r="D82" t="str">
            <v>MB7012-1</v>
          </cell>
        </row>
        <row r="83">
          <cell r="D83" t="str">
            <v>MB770</v>
          </cell>
        </row>
        <row r="84">
          <cell r="D84" t="str">
            <v>MB7009-1</v>
          </cell>
        </row>
        <row r="85">
          <cell r="D85" t="str">
            <v>MB801</v>
          </cell>
        </row>
        <row r="86">
          <cell r="D86" t="str">
            <v>MB802</v>
          </cell>
        </row>
        <row r="87">
          <cell r="D87" t="str">
            <v>MB8011-1</v>
          </cell>
        </row>
        <row r="88">
          <cell r="D88" t="str">
            <v>MB8012-1</v>
          </cell>
        </row>
        <row r="89">
          <cell r="D89" t="str">
            <v>MB 9006-1</v>
          </cell>
        </row>
        <row r="90">
          <cell r="D90" t="str">
            <v>UWM-9015-7</v>
          </cell>
        </row>
        <row r="91">
          <cell r="D91" t="str">
            <v>MB9016</v>
          </cell>
        </row>
        <row r="92">
          <cell r="D92" t="str">
            <v>MB9199</v>
          </cell>
        </row>
        <row r="93">
          <cell r="D93" t="str">
            <v>MB9022-1</v>
          </cell>
        </row>
        <row r="94">
          <cell r="D94" t="str">
            <v>907H우성</v>
          </cell>
        </row>
        <row r="95">
          <cell r="D95" t="str">
            <v>907H2차</v>
          </cell>
        </row>
        <row r="96">
          <cell r="D96" t="str">
            <v>907H1차</v>
          </cell>
        </row>
        <row r="97">
          <cell r="D97" t="str">
            <v>907H</v>
          </cell>
        </row>
        <row r="98">
          <cell r="D98" t="str">
            <v>909L1차</v>
          </cell>
        </row>
        <row r="99">
          <cell r="D99" t="str">
            <v>909L2차</v>
          </cell>
        </row>
        <row r="100">
          <cell r="D100" t="str">
            <v>NB1708</v>
          </cell>
        </row>
        <row r="101">
          <cell r="D101" t="str">
            <v>MBSW-18</v>
          </cell>
        </row>
        <row r="102">
          <cell r="D102" t="str">
            <v>NB-908</v>
          </cell>
        </row>
        <row r="103">
          <cell r="D103" t="str">
            <v>Black7 1차</v>
          </cell>
        </row>
        <row r="104">
          <cell r="D104" t="str">
            <v>Black7 2차</v>
          </cell>
        </row>
        <row r="105">
          <cell r="D105" t="str">
            <v>SS0693 TEST</v>
          </cell>
        </row>
        <row r="106">
          <cell r="D106" t="str">
            <v>SM400C</v>
          </cell>
        </row>
        <row r="107">
          <cell r="D107" t="str">
            <v>SM440C</v>
          </cell>
        </row>
        <row r="108">
          <cell r="D108" t="str">
            <v>SM500C</v>
          </cell>
        </row>
        <row r="109">
          <cell r="D109" t="str">
            <v>SS0693</v>
          </cell>
        </row>
        <row r="110">
          <cell r="D110" t="str">
            <v>UV/MB</v>
          </cell>
        </row>
        <row r="111">
          <cell r="D111" t="str">
            <v>AS/MB</v>
          </cell>
        </row>
        <row r="112">
          <cell r="D112" t="str">
            <v>MB921</v>
          </cell>
        </row>
        <row r="113">
          <cell r="D113" t="str">
            <v>907H-1</v>
          </cell>
        </row>
        <row r="114">
          <cell r="D114" t="str">
            <v>MB8010-1</v>
          </cell>
        </row>
        <row r="115">
          <cell r="D115" t="str">
            <v>무적제 S/P</v>
          </cell>
        </row>
        <row r="116">
          <cell r="D116" t="str">
            <v>UFR-1080</v>
          </cell>
        </row>
        <row r="117">
          <cell r="D117" t="str">
            <v>UFR-3280</v>
          </cell>
        </row>
        <row r="118">
          <cell r="D118" t="str">
            <v>MB9020-1</v>
          </cell>
        </row>
        <row r="119">
          <cell r="D119" t="str">
            <v>MB9021-1</v>
          </cell>
        </row>
        <row r="120">
          <cell r="D120" t="str">
            <v>MB9022-1</v>
          </cell>
        </row>
        <row r="121">
          <cell r="D121" t="str">
            <v>MB 208</v>
          </cell>
        </row>
        <row r="122">
          <cell r="D122" t="str">
            <v>MB 921</v>
          </cell>
        </row>
        <row r="123">
          <cell r="D123" t="str">
            <v>SLIP MB</v>
          </cell>
        </row>
        <row r="124">
          <cell r="D124" t="str">
            <v>UWM-9199</v>
          </cell>
        </row>
        <row r="125">
          <cell r="D125" t="str">
            <v>PET  MB</v>
          </cell>
        </row>
        <row r="126">
          <cell r="D126" t="str">
            <v>SN-3GR4</v>
          </cell>
        </row>
        <row r="127">
          <cell r="D127" t="str">
            <v>Basf BK MB</v>
          </cell>
        </row>
        <row r="128">
          <cell r="D128" t="str">
            <v>T-5</v>
          </cell>
        </row>
        <row r="129">
          <cell r="D129" t="str">
            <v>UWM-02N24</v>
          </cell>
        </row>
        <row r="130">
          <cell r="D130" t="str">
            <v>UWM-0003F</v>
          </cell>
        </row>
        <row r="131">
          <cell r="D131" t="str">
            <v>UWM-1016-5</v>
          </cell>
        </row>
        <row r="132">
          <cell r="D132" t="str">
            <v>UWM-1024-5S</v>
          </cell>
        </row>
        <row r="133">
          <cell r="D133" t="str">
            <v>UWM-1028-1</v>
          </cell>
        </row>
        <row r="134">
          <cell r="D134" t="str">
            <v>UWM-8013-6</v>
          </cell>
        </row>
        <row r="135">
          <cell r="D135" t="str">
            <v>UWM-08K01WH</v>
          </cell>
        </row>
        <row r="136">
          <cell r="D136" t="str">
            <v>UWM-08K02BK</v>
          </cell>
        </row>
        <row r="137">
          <cell r="D137" t="str">
            <v>UWM-9015-7</v>
          </cell>
        </row>
        <row r="138">
          <cell r="D138" t="str">
            <v>UWM-9017-7</v>
          </cell>
        </row>
        <row r="139">
          <cell r="D139" t="str">
            <v>HIPS Re</v>
          </cell>
        </row>
        <row r="140">
          <cell r="D140" t="str">
            <v>AS100LD</v>
          </cell>
        </row>
        <row r="141">
          <cell r="D141" t="str">
            <v>AS100LD-1</v>
          </cell>
        </row>
        <row r="142">
          <cell r="D142" t="str">
            <v>AS110LD</v>
          </cell>
        </row>
        <row r="143">
          <cell r="D143" t="str">
            <v>P110BL</v>
          </cell>
        </row>
        <row r="144">
          <cell r="D144" t="str">
            <v>9017A</v>
          </cell>
        </row>
      </sheetData>
      <sheetData sheetId="3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조건보고서"/>
      <sheetName val="Instrument"/>
      <sheetName val="Price Sum"/>
      <sheetName val="D-cost"/>
      <sheetName val="INDIRECT"/>
      <sheetName val="평균단가"/>
      <sheetName val="Men-Mob-(instrument)"/>
      <sheetName val="EQ-Cost-inst"/>
      <sheetName val="EQ-Mob-Instr"/>
      <sheetName val="TOOL -Inst"/>
      <sheetName val="INST.TEST"/>
      <sheetName val="Scope"/>
      <sheetName val="bm내역서(B공구)"/>
      <sheetName val="변경내역"/>
      <sheetName val="견적갑지"/>
      <sheetName val="을지"/>
      <sheetName val="견적갑&quot;A&quot;공구"/>
      <sheetName val="견적조건보고서&quot;A&quot;공구"/>
      <sheetName val="A비엠"/>
      <sheetName val="공율산출"/>
      <sheetName val="현금"/>
      <sheetName val="공급설비"/>
      <sheetName val="세무조정흐름도"/>
      <sheetName val="기본사항"/>
      <sheetName val="총괄표"/>
      <sheetName val="6"/>
      <sheetName val="6의2"/>
      <sheetName val="7"/>
      <sheetName val="8부표6"/>
      <sheetName val="9"/>
      <sheetName val="10(을)"/>
      <sheetName val="14(갑)"/>
      <sheetName val="14(을)"/>
      <sheetName val="16의2"/>
      <sheetName val="18"/>
      <sheetName val="20(1)"/>
      <sheetName val="20(2)"/>
      <sheetName val="20(3)"/>
      <sheetName val="23(병)"/>
      <sheetName val="24"/>
      <sheetName val="27"/>
      <sheetName val="28"/>
      <sheetName val="29"/>
      <sheetName val="30"/>
      <sheetName val="31(3)"/>
      <sheetName val="31(4)"/>
      <sheetName val="31(5)"/>
      <sheetName val="31(6)"/>
      <sheetName val="31(7)"/>
      <sheetName val="39"/>
      <sheetName val="40(갑)"/>
      <sheetName val="40(을)"/>
      <sheetName val="41"/>
      <sheetName val="42"/>
      <sheetName val="43"/>
      <sheetName val="43의2"/>
      <sheetName val="44"/>
      <sheetName val="45"/>
      <sheetName val="46"/>
      <sheetName val="49"/>
      <sheetName val="52"/>
      <sheetName val="54(갑)"/>
      <sheetName val="54(을)"/>
      <sheetName val="55"/>
      <sheetName val="58"/>
      <sheetName val="경비등의송금"/>
      <sheetName val="영수증수취명세"/>
      <sheetName val="BS(갑)"/>
      <sheetName val="BS(을)"/>
      <sheetName val="BS(병)"/>
      <sheetName val="PL(갑)"/>
      <sheetName val="PL(을)"/>
      <sheetName val="부속(갑)"/>
      <sheetName val="부속(을)"/>
      <sheetName val="부속(병)"/>
      <sheetName val="RE"/>
      <sheetName val="근로자현황파악"/>
      <sheetName val="근로자현황파악 (2)"/>
      <sheetName val="보건증"/>
      <sheetName val="명단"/>
      <sheetName val="협력업체"/>
      <sheetName val="건강진단통보"/>
      <sheetName val="건강진단통보 (2)"/>
      <sheetName val="작업변경신청서"/>
      <sheetName val="노동청"/>
      <sheetName val="노동청 (특검)"/>
      <sheetName val="노동청 (작업)"/>
      <sheetName val="암검사"/>
      <sheetName val="암검사 (2)"/>
      <sheetName val="이중자격완료통보"/>
      <sheetName val="보건교육요청"/>
      <sheetName val="보건교육시행통보"/>
      <sheetName val="일반건강진단통보"/>
      <sheetName val="의보 정정신고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인당매출(2003.11)-전체"/>
      <sheetName val="현장별 인건비(2003.12)"/>
      <sheetName val="인당매출그래프"/>
      <sheetName val="2003ACCM "/>
      <sheetName val="12월"/>
      <sheetName val="홍수-SAN"/>
      <sheetName val="Voice_Revenue"/>
      <sheetName val="당초"/>
      <sheetName val="광동전기(02.10.22"/>
      <sheetName val="엘지중전기(02.10.22 "/>
      <sheetName val="광동전기(02.10.26"/>
      <sheetName val="광동전기(02.10.30"/>
      <sheetName val="청송플라스틱(02.11.07"/>
      <sheetName val="광동전기(02.11.07"/>
      <sheetName val="청송플라스틱(02.11.23"/>
      <sheetName val="광동전기(02.11.27"/>
      <sheetName val="광동전기(02.11.27 (2)"/>
      <sheetName val="청송플라스틱(02.11.27"/>
      <sheetName val="한국세이프티(02.11.27"/>
      <sheetName val="광동전기(02.12.11"/>
      <sheetName val="우호이엔씨(02.12.11"/>
      <sheetName val="청송플라스틱(02.12.11"/>
      <sheetName val="한영산업(02.12.11"/>
      <sheetName val="광동전기(02.12.16"/>
      <sheetName val="청송플라스틱(02.12.16"/>
      <sheetName val="청송플라스틱(03.01.09"/>
      <sheetName val="광동전기(03.01.09"/>
      <sheetName val="청송플라스틱(03.01.16"/>
      <sheetName val="한영산업(03.01.16 "/>
      <sheetName val="광동전기(03.01.22"/>
      <sheetName val="대명전기(03.01.22"/>
      <sheetName val="덕창산업(03.01.22"/>
      <sheetName val="덕명기전(03.02.05"/>
      <sheetName val="청송플라스틱(03.02.05"/>
      <sheetName val="광동전기(03.02.05"/>
      <sheetName val="한국안전상사(03.02.13"/>
      <sheetName val="우호이엔씨(03.02.13"/>
      <sheetName val="광동전기(03.02.13"/>
      <sheetName val="동일통신(03.02.13"/>
      <sheetName val="청송플라스틱(03.02.13"/>
      <sheetName val="청송플라스틱(03.02.14"/>
      <sheetName val="광동전기(03.02.14"/>
      <sheetName val="광동전기(03.02.28"/>
      <sheetName val="한국안전상사(03.02.28"/>
      <sheetName val="대명전기(03.01.28"/>
      <sheetName val="덕창산업(03.01.22 (2)"/>
      <sheetName val="청송플라스틱(03.03.05"/>
      <sheetName val="대명전기(03.03.10"/>
      <sheetName val="광동전기(03.03.10"/>
      <sheetName val="청송플라스틱(03.03.10"/>
      <sheetName val="청송플라스틱(03.03.10 (2)"/>
      <sheetName val="한국안전상사(03.03.13)"/>
      <sheetName val="청송플라스틱(03.03.13"/>
      <sheetName val="광동전기(03.03.13"/>
      <sheetName val="진성테크(03.03.14"/>
      <sheetName val="진성테크(03.03.19"/>
      <sheetName val="대명전기(03.03.19"/>
      <sheetName val="청송플라스틱(03.03.25"/>
      <sheetName val="남양전자(03.03.25"/>
      <sheetName val="우호이엔씨(03.03.25"/>
      <sheetName val="광동전기(03.03.25"/>
      <sheetName val="광동전기(03.03.25 (2)"/>
      <sheetName val="광동전기(03.04.14"/>
      <sheetName val="우호이엔씨(03.04.14"/>
      <sheetName val="동일통신(03.04.14"/>
      <sheetName val="남양전자(03.04.14"/>
      <sheetName val="광동전기(03.04.17"/>
      <sheetName val="청송플라스틱(03.04.17"/>
      <sheetName val="덕명기전(03.04.30"/>
      <sheetName val="대명전기(03.04.30"/>
      <sheetName val="삼우전기(03.04.30"/>
      <sheetName val="우호이엔씨(03.04.30"/>
      <sheetName val="광동전기(03.04.30"/>
      <sheetName val="대명전기(03.05.02"/>
      <sheetName val="광동전기(03.05.02"/>
      <sheetName val="우호이엔씨(03.05.02"/>
      <sheetName val="대신종합방재(03.05.02"/>
      <sheetName val="조강엔지니어링(03.05.27"/>
      <sheetName val="조강엔지니어링(03.05.27 (2)"/>
      <sheetName val="조강엔지니어링(03.05.27 (3)"/>
      <sheetName val="조강엔지니어링(03.05.27 (4)"/>
      <sheetName val="조강엔지니어링(03.05.27 (5)"/>
      <sheetName val="광동전기(03.05.27"/>
      <sheetName val="한국세이프티(03.05.27"/>
      <sheetName val="남양전자(03.05.29"/>
      <sheetName val="한국세이프티(03.05.29"/>
      <sheetName val="조강엔지니어링(03.06.02"/>
      <sheetName val="라우전기(03.06.05"/>
      <sheetName val="덕명기전(03.06.05"/>
      <sheetName val="우호이엔씨(03.06.12"/>
      <sheetName val="남양전자(03.06.12"/>
      <sheetName val="청송플라스틱(03.06.12"/>
      <sheetName val="삼성방재(03.06.12"/>
      <sheetName val="라우전기(03.06.12"/>
      <sheetName val="세민E&amp;S(03.06.17"/>
      <sheetName val="대명전기(03.06.17"/>
      <sheetName val="라우전기(03.06.17"/>
      <sheetName val="동일통신(03.06.24"/>
      <sheetName val="대명전기(03.06.24"/>
      <sheetName val="광동전기(03.06.24"/>
      <sheetName val="두이이엔씨(03.06.24"/>
      <sheetName val="동국파이프(03.06.24"/>
      <sheetName val="동국파이프(03.06.24 (2)"/>
      <sheetName val="삼성방재(03.06.24"/>
      <sheetName val="한국세이프티(03.06.24"/>
      <sheetName val="우호이엔씨(03.06.28"/>
      <sheetName val="한국세이프티(03.06.28"/>
      <sheetName val="라우전기(03.06.28"/>
      <sheetName val="조강엔지니어링(03.06.28"/>
      <sheetName val="우호이엔씨(03.07.22"/>
      <sheetName val="세민E&amp;S(03.07.22"/>
      <sheetName val="조강엔지니어링(03.07.22"/>
      <sheetName val="조강엔지니어링(03.07.22 (2)"/>
      <sheetName val="조강엔지니어링(03.07.22 (3)"/>
      <sheetName val="조강엔지니어링(03.07.22 (4)"/>
      <sheetName val="광동전기(03.07.24"/>
      <sheetName val="라우전기(03.07.30"/>
      <sheetName val="동국파이프(03.08.12"/>
      <sheetName val="동일통신(03.08.12"/>
      <sheetName val="청송플라스틱(03.08.12"/>
      <sheetName val="우호이엔씨(03.08.14"/>
      <sheetName val="덕명기전(03.08.14"/>
      <sheetName val="동국파이프(03.08.18"/>
      <sheetName val="조강엔지니어링(03.08.18"/>
      <sheetName val="조강엔지니어링(03.08.26"/>
      <sheetName val="삼성방재(03.09.08"/>
      <sheetName val="동일통신(03.09.08"/>
      <sheetName val="라우전기(03.09.16"/>
      <sheetName val="대명전기(03.09.16"/>
      <sheetName val="조강엔지니어링(03.09.16"/>
      <sheetName val="조강엔지니어링(03.09.16 (2)"/>
      <sheetName val="신기케이블(03.09.16"/>
      <sheetName val="신기케이블(03.09.16 (2)"/>
      <sheetName val="덕명기전(03.09.16"/>
      <sheetName val="동국파이프(03.09.16"/>
      <sheetName val="청송플라스틱(03.09.20"/>
      <sheetName val="한국세이프티(03.09.20"/>
      <sheetName val="조강엔지니어링(03.10.02"/>
      <sheetName val="신기케이블(03.10.08"/>
      <sheetName val="광합산업(03.10.08"/>
      <sheetName val="라우전기(03.10.08"/>
      <sheetName val="신기케이블(03.10.09"/>
      <sheetName val="조강엔지니어링(03.10.09"/>
      <sheetName val="덕명기전(03.10.10"/>
      <sheetName val="신기케이블(03.10.10"/>
      <sheetName val="조강엔지니어링(03.10.15"/>
      <sheetName val="두이이엔씨(03.10.17"/>
      <sheetName val="조강엔지니어링(03.10.22"/>
      <sheetName val="동국파이프(03.10.22"/>
      <sheetName val="라우전기(03.10.27"/>
      <sheetName val="라우전기(03.10.27 (2)"/>
      <sheetName val="광동전기(03.10.27"/>
      <sheetName val="조강엔지니어링(03.10.27"/>
      <sheetName val="동일통신(03.10.27"/>
      <sheetName val="라우전기(03.10.27 (3)"/>
      <sheetName val="청송플라스틱(03.10.27"/>
      <sheetName val="한영산업(03.10.27"/>
      <sheetName val="신기케이블(03.10.31"/>
      <sheetName val="두이이엔씨(03.10.31"/>
      <sheetName val="라우전기(03.11.07"/>
      <sheetName val="라우전기(03.11.07 (2)"/>
      <sheetName val="삼성방재(03.11.14"/>
      <sheetName val="신기케이블(03.11.14"/>
      <sheetName val="라우전기(03.11.17"/>
      <sheetName val="CABLE(03.11.14"/>
      <sheetName val="라우전기(03.11.25"/>
      <sheetName val="한국세이프티(03.11.28"/>
      <sheetName val="덕명기전(03.11.28"/>
      <sheetName val="신기케이블(03.12.01"/>
      <sheetName val="집 계 표"/>
      <sheetName val="설계변경 갑지"/>
      <sheetName val="건축설계변경조정내역"/>
      <sheetName val="가설전기"/>
      <sheetName val="#REF"/>
      <sheetName val="Graph (LGEN)"/>
      <sheetName val="out_prog"/>
      <sheetName val="선적schedule (2)"/>
      <sheetName val="Cost bd-&quot;A&quot;"/>
      <sheetName val="PROJECT BRIEF(EX.NEW)"/>
      <sheetName val="할증 "/>
      <sheetName val="CT "/>
      <sheetName val="모듬"/>
      <sheetName val="제조경비"/>
      <sheetName val="전부인쇄"/>
      <sheetName val="지보1_98"/>
      <sheetName val="정보"/>
      <sheetName val="YUK4"/>
      <sheetName val="당월손익계산서★"/>
      <sheetName val="Sheet1"/>
      <sheetName val="Total"/>
      <sheetName val="1공구(을)"/>
      <sheetName val="INCOME"/>
      <sheetName val="기성집계"/>
      <sheetName val="터널조도"/>
      <sheetName val="Data"/>
      <sheetName val="DI1"/>
      <sheetName val="판관"/>
      <sheetName val="을"/>
      <sheetName val="관리대장(2001장비)"/>
      <sheetName val="재고"/>
      <sheetName val="COMPACT재료비"/>
      <sheetName val="1ST"/>
      <sheetName val="소상 &quot;1&quot;"/>
      <sheetName val="노임"/>
      <sheetName val="PIPE내역(FCN)"/>
      <sheetName val="개요"/>
      <sheetName val="금호"/>
      <sheetName val="6호기"/>
      <sheetName val="유통망계획"/>
      <sheetName val="Constant"/>
      <sheetName val="수처리사업"/>
      <sheetName val="급여"/>
      <sheetName val="12월보조2"/>
      <sheetName val="의왕"/>
      <sheetName val="Introduction"/>
      <sheetName val="근로자현황파악_(2)"/>
      <sheetName val="건강진단통보_(2)"/>
      <sheetName val="노동청_(특검)"/>
      <sheetName val="노동청_(작업)"/>
      <sheetName val="암검사_(2)"/>
      <sheetName val="의보_정정신고"/>
      <sheetName val="Price_Sum"/>
      <sheetName val="TOOL_-Inst"/>
      <sheetName val="INST_TEST"/>
      <sheetName val="인당매출(2003_11)-전체"/>
      <sheetName val="현장별_인건비(2003_12)"/>
      <sheetName val="2003ACCM_"/>
      <sheetName val="광동전기(02_10_22"/>
      <sheetName val="엘지중전기(02_10_22_"/>
      <sheetName val="광동전기(02_10_26"/>
      <sheetName val="광동전기(02_10_30"/>
      <sheetName val="청송플라스틱(02_11_07"/>
      <sheetName val="광동전기(02_11_07"/>
      <sheetName val="청송플라스틱(02_11_23"/>
      <sheetName val="광동전기(02_11_27"/>
      <sheetName val="광동전기(02_11_27_(2)"/>
      <sheetName val="청송플라스틱(02_11_27"/>
      <sheetName val="한국세이프티(02_11_27"/>
      <sheetName val="광동전기(02_12_11"/>
      <sheetName val="우호이엔씨(02_12_11"/>
      <sheetName val="청송플라스틱(02_12_11"/>
      <sheetName val="한영산업(02_12_11"/>
      <sheetName val="광동전기(02_12_16"/>
      <sheetName val="청송플라스틱(02_12_16"/>
      <sheetName val="청송플라스틱(03_01_09"/>
      <sheetName val="광동전기(03_01_09"/>
      <sheetName val="청송플라스틱(03_01_16"/>
      <sheetName val="한영산업(03_01_16_"/>
      <sheetName val="광동전기(03_01_22"/>
      <sheetName val="대명전기(03_01_22"/>
      <sheetName val="덕창산업(03_01_22"/>
      <sheetName val="덕명기전(03_02_05"/>
      <sheetName val="청송플라스틱(03_02_05"/>
      <sheetName val="광동전기(03_02_05"/>
      <sheetName val="한국안전상사(03_02_13"/>
      <sheetName val="우호이엔씨(03_02_13"/>
      <sheetName val="광동전기(03_02_13"/>
      <sheetName val="동일통신(03_02_13"/>
      <sheetName val="청송플라스틱(03_02_13"/>
      <sheetName val="청송플라스틱(03_02_14"/>
      <sheetName val="광동전기(03_02_14"/>
      <sheetName val="광동전기(03_02_28"/>
      <sheetName val="한국안전상사(03_02_28"/>
      <sheetName val="9612서울"/>
      <sheetName val="Æo°¡±aAØ"/>
      <sheetName val="매출계획"/>
      <sheetName val="선수(보조)"/>
      <sheetName val="해외생산"/>
      <sheetName val="F2 Return Map"/>
      <sheetName val="BAU-ITEMLIST"/>
      <sheetName val="93상각비"/>
      <sheetName val="10K4"/>
      <sheetName val="DB"/>
      <sheetName val="Macro2"/>
      <sheetName val="매입세"/>
      <sheetName val="조도계산(1)"/>
      <sheetName val="Links"/>
      <sheetName val="각종data"/>
      <sheetName val="Lead"/>
      <sheetName val="Macro1"/>
      <sheetName val="유화"/>
      <sheetName val="MEXICO-C"/>
      <sheetName val="직원명세"/>
      <sheetName val="INFG1198"/>
      <sheetName val="INMD1198"/>
      <sheetName val="BALANCE"/>
      <sheetName val="판매기초"/>
      <sheetName val="TB-SAP"/>
      <sheetName val="손익분석"/>
      <sheetName val="신계약(영관부)"/>
      <sheetName val="program"/>
      <sheetName val="3110-2"/>
      <sheetName val="LAST_DS"/>
      <sheetName val="basic_info"/>
      <sheetName val="BSLA"/>
      <sheetName val="Index"/>
      <sheetName val="KD율"/>
      <sheetName val="산출기준(파견전산실)"/>
      <sheetName val="Advertising21044"/>
      <sheetName val="손해감소유형"/>
      <sheetName val="수정분개"/>
      <sheetName val="교통비10"/>
      <sheetName val="Borrower"/>
      <sheetName val="Property"/>
      <sheetName val="고정자산-회사제시"/>
      <sheetName val="미수수익"/>
      <sheetName val="합계잔액시산표"/>
      <sheetName val="4b Consolidated PL"/>
      <sheetName val="COND"/>
      <sheetName val="GRACE"/>
      <sheetName val="tax1"/>
      <sheetName val="1995년 섹터별 매출"/>
      <sheetName val="DATASHT2"/>
      <sheetName val="반기_유가증권"/>
      <sheetName val="11월 가격"/>
      <sheetName val="제품별 MC"/>
      <sheetName val="ABUT수량-A1"/>
      <sheetName val="수리계산"/>
      <sheetName val="기계-설변"/>
      <sheetName val="MFAB"/>
      <sheetName val="MFRT"/>
      <sheetName val="MPKG"/>
      <sheetName val="MP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"/>
      <sheetName val="Planning meeting"/>
    </sheetNames>
    <sheetDataSet>
      <sheetData sheetId="0">
        <row r="113">
          <cell r="L113" t="b">
            <v>0</v>
          </cell>
        </row>
      </sheetData>
      <sheetData sheetId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"/>
      <sheetName val="Movement schedule"/>
      <sheetName val="지분 및 자본관리"/>
      <sheetName val="미실현거래"/>
      <sheetName val="연결정산표_종합"/>
      <sheetName val="회사제시 지분법---&gt;"/>
      <sheetName val="에듀피아"/>
      <sheetName val="대교문고"/>
      <sheetName val="에듀캠프"/>
      <sheetName val="CSA"/>
      <sheetName val="현대어드밴티지"/>
      <sheetName val="흥국알토란"/>
      <sheetName val="트러스톤사모4호"/>
      <sheetName val="리코-시너지콜라보3호"/>
      <sheetName val="IBK에이원컨버터블1호"/>
      <sheetName val="에이치알공모주2호"/>
      <sheetName val="그로잉스타1호"/>
      <sheetName val="신성장"/>
      <sheetName val="위더그린"/>
      <sheetName val="북경"/>
      <sheetName val="상해.증자"/>
      <sheetName val="인도네시아"/>
      <sheetName val="홍콩"/>
      <sheetName val="싱가폴.증자"/>
      <sheetName val="말레이시아"/>
      <sheetName val="베트남.증자"/>
      <sheetName val="아메리카"/>
      <sheetName val="ELH"/>
      <sheetName val="인도.증자"/>
      <sheetName val="영국"/>
      <sheetName val="장춘.출자"/>
      <sheetName val="지분법자회사--&gt;"/>
      <sheetName val="리코_BS"/>
      <sheetName val="리코_PL"/>
      <sheetName val="위더그린_BS"/>
      <sheetName val="위더그린_PL"/>
      <sheetName val="HR_BS"/>
      <sheetName val="HR_PL"/>
      <sheetName val="IBK_BS"/>
      <sheetName val="IBK_PL"/>
      <sheetName val="그로잉_BS"/>
      <sheetName val="그로잉_PL"/>
    </sheetNames>
    <sheetDataSet>
      <sheetData sheetId="0">
        <row r="8">
          <cell r="K8" t="b">
            <v>0</v>
          </cell>
        </row>
        <row r="9">
          <cell r="K9" t="b">
            <v>0</v>
          </cell>
        </row>
        <row r="13">
          <cell r="K13" t="b">
            <v>0</v>
          </cell>
        </row>
        <row r="18">
          <cell r="K18" t="b">
            <v>0</v>
          </cell>
        </row>
        <row r="19">
          <cell r="K19" t="b">
            <v>0</v>
          </cell>
        </row>
        <row r="20">
          <cell r="K20" t="b">
            <v>0</v>
          </cell>
        </row>
        <row r="21">
          <cell r="K21" t="b">
            <v>0</v>
          </cell>
        </row>
        <row r="31">
          <cell r="K31" t="b">
            <v>0</v>
          </cell>
        </row>
        <row r="32">
          <cell r="K32" t="b">
            <v>0</v>
          </cell>
        </row>
        <row r="33">
          <cell r="K33" t="b">
            <v>0</v>
          </cell>
        </row>
        <row r="34">
          <cell r="K34" t="b">
            <v>0</v>
          </cell>
        </row>
        <row r="42">
          <cell r="K42" t="b">
            <v>0</v>
          </cell>
        </row>
        <row r="43">
          <cell r="K43" t="b">
            <v>0</v>
          </cell>
        </row>
        <row r="54">
          <cell r="K54" t="b">
            <v>0</v>
          </cell>
        </row>
        <row r="55">
          <cell r="K55" t="b">
            <v>0</v>
          </cell>
        </row>
      </sheetData>
      <sheetData sheetId="1" refreshError="1"/>
      <sheetData sheetId="2">
        <row r="16">
          <cell r="M16">
            <v>0</v>
          </cell>
        </row>
      </sheetData>
      <sheetData sheetId="3"/>
      <sheetData sheetId="4">
        <row r="5">
          <cell r="F5">
            <v>1857706274</v>
          </cell>
        </row>
      </sheetData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D4">
            <v>0.2999700029997</v>
          </cell>
        </row>
      </sheetData>
      <sheetData sheetId="14">
        <row r="4">
          <cell r="D4">
            <v>0.28348289685288702</v>
          </cell>
        </row>
      </sheetData>
      <sheetData sheetId="15">
        <row r="7">
          <cell r="T7">
            <v>29853598</v>
          </cell>
        </row>
      </sheetData>
      <sheetData sheetId="16">
        <row r="34">
          <cell r="S34">
            <v>384174712</v>
          </cell>
        </row>
      </sheetData>
      <sheetData sheetId="17"/>
      <sheetData sheetId="18">
        <row r="19">
          <cell r="S19">
            <v>-1200712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>
        <row r="7">
          <cell r="J7">
            <v>1830526526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ilored Procedure"/>
      <sheetName val="Menu Master"/>
      <sheetName val="Targeted Testing Master"/>
      <sheetName val="Workdone summary"/>
      <sheetName val="函证(对账)"/>
      <sheetName val="Targeted Testing-1"/>
      <sheetName val="Non-Statistical Sampl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  <sheetName val="Æo°¡±aAØ"/>
      <sheetName val="TOTAL"/>
      <sheetName val="AR Confirmation"/>
      <sheetName val="AcctTable"/>
      <sheetName val="Sch Inde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>
        <row r="50">
          <cell r="C50" t="str">
            <v xml:space="preserve">   ?</v>
          </cell>
        </row>
        <row r="51">
          <cell r="C51" t="str">
            <v>Low 低</v>
          </cell>
        </row>
        <row r="52">
          <cell r="C52" t="str">
            <v>Moderate 中</v>
          </cell>
        </row>
        <row r="53">
          <cell r="C53" t="str">
            <v>High 高</v>
          </cell>
        </row>
        <row r="63">
          <cell r="C63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ocedures "/>
      <sheetName val="LS"/>
      <sheetName val="동남테크 지분법"/>
      <sheetName val="동남테크FS"/>
      <sheetName val="동남내부거래_2013_4Q"/>
      <sheetName val="금호NT 지분법"/>
      <sheetName val="금호엔티FS"/>
      <sheetName val="금호내부거래_2013_4Q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5">
          <cell r="T45">
            <v>0</v>
          </cell>
        </row>
        <row r="47">
          <cell r="E47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15"/>
      <sheetData sheetId="16"/>
      <sheetData sheetId="17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Tax"/>
      <sheetName val="현금및현금등가물"/>
      <sheetName val="013199"/>
      <sheetName val="PREPAID99"/>
      <sheetName val="인건비"/>
      <sheetName val="Æo°¡±aAØ"/>
      <sheetName val="8340"/>
      <sheetName val="prov locales"/>
      <sheetName val="경제성분석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U2"/>
      <sheetName val="월별운영원가"/>
      <sheetName val="유형자산취득"/>
      <sheetName val="Pur.test"/>
      <sheetName val="용역원가Test"/>
      <sheetName val="K"/>
      <sheetName val="미수수익"/>
      <sheetName val="Calcs for Sensitivy"/>
      <sheetName val="DCF Inputs"/>
      <sheetName val="P.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최종bs"/>
      <sheetName val="최종pl"/>
      <sheetName val="경영지표"/>
      <sheetName val="신문공고00"/>
      <sheetName val="BS Down"/>
      <sheetName val="K-PL"/>
      <sheetName val="PL Down"/>
      <sheetName val="PL정리"/>
      <sheetName val="PL정리 (2)"/>
      <sheetName val="PJT MASTER"/>
      <sheetName val="현금"/>
      <sheetName val="Calcs for Sensitivy"/>
      <sheetName val="DCF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표"/>
      <sheetName val="PJT별 매출(피봇)"/>
      <sheetName val="05'~07' 매출현황"/>
      <sheetName val="재공품 현황"/>
      <sheetName val="PJT MASTER(자체작성)"/>
      <sheetName val="Sheet2"/>
      <sheetName val="Sheet4"/>
      <sheetName val="Sheet3"/>
      <sheetName val="PL Dow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>
        <row r="2">
          <cell r="A2" t="str">
            <v>06MT074M</v>
          </cell>
        </row>
      </sheetData>
      <sheetData sheetId="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풍.96"/>
      <sheetName val="대주주.96"/>
      <sheetName val="계열지가.96"/>
      <sheetName val="남화"/>
      <sheetName val="95년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건"/>
      <sheetName val="견적의뢰(타팀)"/>
      <sheetName val="공비"/>
      <sheetName val="원가"/>
      <sheetName val="정공공사"/>
      <sheetName val="공사별5"/>
      <sheetName val="대환취급"/>
      <sheetName val="T6-6(2)"/>
      <sheetName val="민감도"/>
      <sheetName val="PopCache"/>
      <sheetName val="견적공통"/>
      <sheetName val="16-1"/>
      <sheetName val="소비자가"/>
      <sheetName val="목록"/>
      <sheetName val="Sheet1"/>
      <sheetName val="내역서"/>
      <sheetName val="PIPE(UG)내역"/>
      <sheetName val="표지"/>
      <sheetName val="출금실적"/>
      <sheetName val="5.경상직원"/>
      <sheetName val="일위대가"/>
      <sheetName val="공사개요"/>
      <sheetName val="현장청취복명서"/>
      <sheetName val="터파기및재료"/>
      <sheetName val="Piping Design Data"/>
      <sheetName val="내역"/>
      <sheetName val="4차원가계산서"/>
      <sheetName val="산출내역서집계표"/>
      <sheetName val="노임단가"/>
      <sheetName val="물가시세"/>
      <sheetName val="단가"/>
      <sheetName val="A 견적"/>
      <sheetName val="대차대조표"/>
      <sheetName val="유림총괄"/>
      <sheetName val="삼희오텔"/>
      <sheetName val="H-PILE수량집계"/>
      <sheetName val="평형공사비"/>
      <sheetName val="01AC"/>
      <sheetName val="보고서원고"/>
      <sheetName val="hvac(제어동)"/>
      <sheetName val="중기"/>
      <sheetName val="산출내역서"/>
      <sheetName val="경상직원"/>
      <sheetName val="4.내역"/>
      <sheetName val="부대대비"/>
      <sheetName val="냉연집계"/>
      <sheetName val="빗물받이(910-510-410)"/>
      <sheetName val="첨4"/>
      <sheetName val="공량산출서"/>
      <sheetName val="노임"/>
      <sheetName val="과천MAIN"/>
      <sheetName val="소상 &quot;1&quot;"/>
      <sheetName val="기초자료입력"/>
      <sheetName val="현관비DATA"/>
      <sheetName val="물가대비표"/>
      <sheetName val="JUCK"/>
      <sheetName val="실행대비"/>
      <sheetName val="일반부표"/>
      <sheetName val="단가 및 재료비"/>
      <sheetName val="중기사용료산출근거"/>
      <sheetName val="실행철강하도"/>
      <sheetName val="날개수량1.5"/>
      <sheetName val="도급기성"/>
      <sheetName val="영업.일1"/>
      <sheetName val="총괄표"/>
      <sheetName val="간접비"/>
      <sheetName val="간접"/>
      <sheetName val="문학간접"/>
      <sheetName val="시중노임"/>
      <sheetName val="현장관리비"/>
      <sheetName val="공통비(전체)"/>
      <sheetName val="FAB별"/>
      <sheetName val="분전함신설"/>
      <sheetName val="접지1종"/>
      <sheetName val="동원(3)"/>
      <sheetName val="예정(3)"/>
      <sheetName val="Total"/>
      <sheetName val="공용시설내역"/>
      <sheetName val="Sheet2"/>
      <sheetName val="집계표"/>
      <sheetName val="터널조도"/>
      <sheetName val="사업예산내역"/>
      <sheetName val="사업예산품의서"/>
      <sheetName val="실행"/>
      <sheetName val="2.대외공문"/>
      <sheetName val="플랜트 설치"/>
      <sheetName val="TEL"/>
      <sheetName val="anaysis_sheet"/>
      <sheetName val="첨"/>
      <sheetName val="산출근거"/>
      <sheetName val="이름표지정"/>
      <sheetName val="2002하반기노임기준"/>
      <sheetName val="조건 (A)"/>
      <sheetName val="인건-측정"/>
      <sheetName val="암센터"/>
      <sheetName val="03"/>
      <sheetName val="01"/>
      <sheetName val="02"/>
      <sheetName val="PROJECT BRIEF(EX.NEW)"/>
      <sheetName val="배수장토목공사비"/>
      <sheetName val="48신설단가"/>
      <sheetName val="부산제일극장"/>
      <sheetName val="Sheet5"/>
      <sheetName val="한화금융비"/>
      <sheetName val="업체별기성내역"/>
      <sheetName val="견"/>
      <sheetName val="3.바닥판설계"/>
      <sheetName val="Sheet3"/>
      <sheetName val="A-4"/>
      <sheetName val="단가파일"/>
      <sheetName val="CON'C"/>
      <sheetName val="일위대가목차"/>
      <sheetName val="토목을"/>
      <sheetName val="판매시설"/>
      <sheetName val="아파트_9"/>
      <sheetName val="주민복지관"/>
      <sheetName val="지하주차장"/>
      <sheetName val="테이블"/>
      <sheetName val="미드수량"/>
      <sheetName val="우수"/>
      <sheetName val="CAL."/>
      <sheetName val="10월"/>
      <sheetName val="예산총괄"/>
      <sheetName val="상하차비용(기계상차)"/>
      <sheetName val="수간보호"/>
      <sheetName val="운반비"/>
      <sheetName val="충주"/>
      <sheetName val="수량-가로등"/>
      <sheetName val="#REF"/>
      <sheetName val="40집계"/>
      <sheetName val="유림골조"/>
      <sheetName val="TC표지"/>
      <sheetName val="조정금액결과표 (차수별)"/>
      <sheetName val="평가데이터"/>
      <sheetName val="노임단가표"/>
      <sheetName val="내역(영일)"/>
      <sheetName val="개요"/>
      <sheetName val="기초단가"/>
      <sheetName val="노무산출서"/>
      <sheetName val="물가자료"/>
      <sheetName val="36신설수량"/>
      <sheetName val="기성내역"/>
      <sheetName val="설계"/>
      <sheetName val="유리"/>
      <sheetName val="지장물조서"/>
      <sheetName val="토지조서"/>
      <sheetName val="원가계산서"/>
      <sheetName val="와동25-3(변경)"/>
      <sheetName val="공통가설공사"/>
      <sheetName val="월별수입"/>
      <sheetName val="월별손익"/>
      <sheetName val="연금기초"/>
      <sheetName val="0000"/>
      <sheetName val="토목"/>
      <sheetName val="영업소실적"/>
      <sheetName val="정화조동내역"/>
      <sheetName val="5_경상직원"/>
      <sheetName val="A_견적"/>
      <sheetName val="관람석제출"/>
      <sheetName val="공예을"/>
      <sheetName val="6호기"/>
      <sheetName val="01하반기노임"/>
      <sheetName val="연습장소"/>
      <sheetName val="월간인력"/>
      <sheetName val="인력소요계획"/>
      <sheetName val="반포2차"/>
      <sheetName val="대여현황"/>
      <sheetName val="내역서 제출"/>
      <sheetName val="정리"/>
      <sheetName val="단독"/>
      <sheetName val="Y-WORK"/>
      <sheetName val="일위대가 "/>
      <sheetName val="단가비교표"/>
      <sheetName val="철거산출근거"/>
      <sheetName val="2003상반기노임기준"/>
      <sheetName val="청천내"/>
      <sheetName val="기계경비(시간당)"/>
      <sheetName val="램머"/>
      <sheetName val="TYPE-B 평균H"/>
      <sheetName val="CALCULATION"/>
      <sheetName val="1SPAN"/>
      <sheetName val="TOT"/>
      <sheetName val="유기공정"/>
      <sheetName val="공사진행"/>
      <sheetName val="STORAGE"/>
      <sheetName val="설계조건"/>
      <sheetName val="총 원가계산"/>
      <sheetName val="OPT"/>
      <sheetName val="SV"/>
      <sheetName val="기둥(원형)"/>
      <sheetName val="48일위"/>
      <sheetName val="소개"/>
      <sheetName val="설계명세서"/>
      <sheetName val="전체내역 (2)"/>
      <sheetName val="공정표"/>
      <sheetName val="PROJECT BRIEF"/>
      <sheetName val="조명율표"/>
      <sheetName val="DATA"/>
      <sheetName val="대공종"/>
      <sheetName val="PAINT"/>
      <sheetName val="품셈"/>
      <sheetName val="견적서"/>
      <sheetName val="BSD (2)"/>
      <sheetName val="산출기준(파견전산실)"/>
      <sheetName val="원가계산하도"/>
      <sheetName val="1공구(을)"/>
      <sheetName val="일위대가표"/>
      <sheetName val="차액보증"/>
      <sheetName val="특판"/>
      <sheetName val="510동"/>
      <sheetName val="511동"/>
      <sheetName val="512동"/>
      <sheetName val="502동"/>
      <sheetName val="503동"/>
      <sheetName val="504동"/>
      <sheetName val="505동"/>
      <sheetName val="506동"/>
      <sheetName val="507동"/>
      <sheetName val="508동"/>
      <sheetName val="509동"/>
      <sheetName val="5.개인보호구지급"/>
      <sheetName val="기준요인별"/>
      <sheetName val="편성절차"/>
      <sheetName val="건축원가"/>
      <sheetName val="데이타"/>
      <sheetName val="식재인부"/>
      <sheetName val="DATE"/>
      <sheetName val="견적서(대외) (2)"/>
      <sheetName val="Upgrades pricing"/>
      <sheetName val="POOM_MOTO"/>
      <sheetName val="POOM_MOTO2"/>
      <sheetName val="일반공사"/>
      <sheetName val="인건비"/>
      <sheetName val="변품8-37"/>
      <sheetName val="BID"/>
      <sheetName val="도급당초내역"/>
      <sheetName val="단위중량"/>
      <sheetName val="간접비계산"/>
      <sheetName val="목차"/>
      <sheetName val="수리결과"/>
      <sheetName val="내역을"/>
      <sheetName val="Sheet6"/>
      <sheetName val="공비대비"/>
      <sheetName val="설정"/>
      <sheetName val="자재단가비교표"/>
      <sheetName val="우수받이"/>
      <sheetName val="프랜트면허"/>
      <sheetName val="FOB발"/>
      <sheetName val="합천내역"/>
      <sheetName val="요율"/>
      <sheetName val="적격심사표"/>
      <sheetName val="세부추진"/>
      <sheetName val="상용보강"/>
      <sheetName val="P.M 별"/>
      <sheetName val="현금예금"/>
      <sheetName val="9-1차이내역"/>
      <sheetName val="차수"/>
      <sheetName val="Price List"/>
      <sheetName val="POlist"/>
      <sheetName val="XL4Poppy"/>
      <sheetName val="뒤차축소"/>
      <sheetName val="자본"/>
      <sheetName val="정부노임단가"/>
      <sheetName val="새공통(96임금인상기준)"/>
      <sheetName val="계정"/>
      <sheetName val="건축집계표"/>
      <sheetName val="자판실행"/>
      <sheetName val="인제내역"/>
      <sheetName val="D"/>
      <sheetName val="설계예시"/>
      <sheetName val="참고"/>
      <sheetName val="공구원가계산"/>
      <sheetName val="부안일위"/>
      <sheetName val="경상비"/>
      <sheetName val="도로구조공사비"/>
      <sheetName val="등록자료"/>
      <sheetName val="단가조사서"/>
      <sheetName val="NOMUBI"/>
      <sheetName val="sw1"/>
      <sheetName val="단가산출서"/>
      <sheetName val="t형"/>
      <sheetName val="단위수량"/>
      <sheetName val="노임단가(2000하반기)"/>
      <sheetName val="원내역서 그대로"/>
      <sheetName val="변경내역"/>
      <sheetName val="기본일위"/>
      <sheetName val="산정표"/>
      <sheetName val="입력"/>
      <sheetName val="협조전"/>
      <sheetName val="정보(MCC)"/>
      <sheetName val="정보(HEI)"/>
      <sheetName val="Macro(차단기)"/>
      <sheetName val="공사비총괄표"/>
      <sheetName val="갑지(추정)"/>
      <sheetName val="국영"/>
      <sheetName val="98지급계획"/>
      <sheetName val="조직"/>
      <sheetName val="연결임시"/>
      <sheetName val="MOTOR"/>
      <sheetName val="산출-설비"/>
      <sheetName val="설비"/>
      <sheetName val="관접합및부설"/>
      <sheetName val="ABUT수량-A1"/>
      <sheetName val="일위산출근거"/>
      <sheetName val="원가계산 (2)"/>
      <sheetName val="단위단가"/>
      <sheetName val="조건표"/>
      <sheetName val="2.2.2입적표"/>
      <sheetName val="1"/>
      <sheetName val="__MAIN"/>
      <sheetName val="工완성공사율"/>
      <sheetName val="방학"/>
      <sheetName val="인수현황표020930"/>
      <sheetName val="건축-물가변동"/>
      <sheetName val="일위산출"/>
      <sheetName val="북제주원가"/>
      <sheetName val="자재단가"/>
      <sheetName val="현재"/>
      <sheetName val="1.4.설계기준"/>
      <sheetName val="wall"/>
      <sheetName val="001"/>
      <sheetName val="차도조도계산"/>
      <sheetName val="시험장S자로가로등공사"/>
      <sheetName val="서울보증기초코드"/>
      <sheetName val="코드"/>
      <sheetName val="조작대(1연)"/>
      <sheetName val="1차 내역서"/>
      <sheetName val="토목공사"/>
      <sheetName val="세금자료"/>
      <sheetName val="재료비"/>
      <sheetName val="257A1"/>
      <sheetName val="단가결정"/>
      <sheetName val="마산월령동골조물량변경"/>
      <sheetName val="재무가정"/>
      <sheetName val="안산기계장치"/>
      <sheetName val="시장성초안camera"/>
      <sheetName val="단가대비표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토공집계표"/>
      <sheetName val="현금"/>
      <sheetName val="손익"/>
      <sheetName val="6PILE  (돌출)"/>
      <sheetName val="실행(ALT1)"/>
      <sheetName val="중기일위대가"/>
      <sheetName val="5"/>
      <sheetName val="입찰안"/>
      <sheetName val="설계서"/>
      <sheetName val="Personnaliser..."/>
      <sheetName val="Takt Time"/>
      <sheetName val="기구"/>
      <sheetName val="PLT8500"/>
      <sheetName val="도근좌표"/>
      <sheetName val="기본단가"/>
      <sheetName val="교각1"/>
      <sheetName val="BOJUNGG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계재작성"/>
      <sheetName val="기계"/>
      <sheetName val="리스"/>
      <sheetName val="매각"/>
      <sheetName val="Sheet3"/>
    </sheetNames>
    <sheetDataSet>
      <sheetData sheetId="0" refreshError="1"/>
      <sheetData sheetId="1" refreshError="1">
        <row r="6">
          <cell r="G6" t="str">
            <v>고압보일러(로통연관식)</v>
          </cell>
          <cell r="H6" t="str">
            <v>1.5TON/HR수관식 821201</v>
          </cell>
          <cell r="I6" t="str">
            <v>대장성(940428교체)</v>
          </cell>
          <cell r="J6">
            <v>1</v>
          </cell>
          <cell r="K6" t="str">
            <v>대</v>
          </cell>
          <cell r="L6">
            <v>880101</v>
          </cell>
          <cell r="M6">
            <v>6</v>
          </cell>
          <cell r="N6">
            <v>10</v>
          </cell>
          <cell r="O6">
            <v>7120000</v>
          </cell>
          <cell r="P6">
            <v>-7120000</v>
          </cell>
          <cell r="Q6">
            <v>1063728</v>
          </cell>
          <cell r="S6">
            <v>0.16600000000000001</v>
          </cell>
          <cell r="T6">
            <v>0.1</v>
          </cell>
        </row>
        <row r="7">
          <cell r="G7" t="str">
            <v>케리퍼스</v>
          </cell>
          <cell r="H7" t="str">
            <v>1/100mm</v>
          </cell>
          <cell r="I7" t="str">
            <v>JAPAN</v>
          </cell>
          <cell r="J7">
            <v>4</v>
          </cell>
          <cell r="K7" t="str">
            <v>대</v>
          </cell>
          <cell r="L7">
            <v>800601</v>
          </cell>
          <cell r="M7">
            <v>2</v>
          </cell>
          <cell r="N7">
            <v>10</v>
          </cell>
          <cell r="O7">
            <v>108000</v>
          </cell>
          <cell r="P7">
            <v>-108000</v>
          </cell>
          <cell r="Q7">
            <v>48600</v>
          </cell>
          <cell r="S7">
            <v>0.5</v>
          </cell>
          <cell r="T7">
            <v>0.1</v>
          </cell>
        </row>
        <row r="8">
          <cell r="G8" t="str">
            <v>휘스톤브릿지</v>
          </cell>
          <cell r="H8" t="str">
            <v>E-3108 1-10000Ω</v>
          </cell>
          <cell r="I8" t="str">
            <v>JAPAN</v>
          </cell>
          <cell r="J8">
            <v>1</v>
          </cell>
          <cell r="K8" t="str">
            <v>대</v>
          </cell>
          <cell r="L8">
            <v>800601</v>
          </cell>
          <cell r="M8">
            <v>2</v>
          </cell>
          <cell r="N8">
            <v>10</v>
          </cell>
          <cell r="O8">
            <v>82000</v>
          </cell>
          <cell r="P8">
            <v>-82000</v>
          </cell>
          <cell r="Q8">
            <v>36900</v>
          </cell>
          <cell r="S8">
            <v>0.5</v>
          </cell>
          <cell r="T8">
            <v>0.1</v>
          </cell>
        </row>
        <row r="9">
          <cell r="G9" t="str">
            <v>저염소시험기</v>
          </cell>
          <cell r="H9" t="str">
            <v>MAX 1200 0C</v>
          </cell>
          <cell r="I9" t="str">
            <v>명지산업</v>
          </cell>
          <cell r="J9">
            <v>1</v>
          </cell>
          <cell r="K9" t="str">
            <v>대</v>
          </cell>
          <cell r="L9">
            <v>850101</v>
          </cell>
          <cell r="M9">
            <v>2</v>
          </cell>
          <cell r="N9">
            <v>10</v>
          </cell>
          <cell r="O9">
            <v>427000</v>
          </cell>
          <cell r="P9">
            <v>-427000</v>
          </cell>
          <cell r="Q9">
            <v>192150</v>
          </cell>
          <cell r="S9">
            <v>0.5</v>
          </cell>
          <cell r="T9">
            <v>0.1</v>
          </cell>
        </row>
        <row r="10">
          <cell r="G10" t="str">
            <v>인장시험기</v>
          </cell>
          <cell r="H10" t="str">
            <v>기어식</v>
          </cell>
          <cell r="I10" t="str">
            <v>동광정밀</v>
          </cell>
          <cell r="J10">
            <v>1</v>
          </cell>
          <cell r="K10" t="str">
            <v>대</v>
          </cell>
          <cell r="L10">
            <v>730101</v>
          </cell>
          <cell r="M10">
            <v>2</v>
          </cell>
          <cell r="N10">
            <v>10</v>
          </cell>
          <cell r="O10">
            <v>224000</v>
          </cell>
          <cell r="P10">
            <v>-224000</v>
          </cell>
          <cell r="Q10">
            <v>100800</v>
          </cell>
          <cell r="S10">
            <v>0.5</v>
          </cell>
          <cell r="T10">
            <v>0.1</v>
          </cell>
        </row>
        <row r="11">
          <cell r="G11" t="str">
            <v>절연저항측정기</v>
          </cell>
          <cell r="H11" t="str">
            <v>SM-7 0-100mΩ</v>
          </cell>
          <cell r="I11" t="str">
            <v>대붕전기</v>
          </cell>
          <cell r="J11">
            <v>1</v>
          </cell>
          <cell r="K11" t="str">
            <v>대</v>
          </cell>
          <cell r="L11">
            <v>760101</v>
          </cell>
          <cell r="M11">
            <v>2</v>
          </cell>
          <cell r="N11">
            <v>10</v>
          </cell>
          <cell r="O11">
            <v>47000</v>
          </cell>
          <cell r="P11">
            <v>-47000</v>
          </cell>
          <cell r="Q11">
            <v>21150</v>
          </cell>
          <cell r="S11">
            <v>0.5</v>
          </cell>
          <cell r="T11">
            <v>0.1</v>
          </cell>
        </row>
        <row r="12">
          <cell r="G12" t="str">
            <v>고속선반</v>
          </cell>
          <cell r="H12" t="str">
            <v>WL435*1000</v>
          </cell>
          <cell r="I12" t="str">
            <v>화천기공(잔존가액)</v>
          </cell>
          <cell r="J12">
            <v>1</v>
          </cell>
          <cell r="K12" t="str">
            <v>대</v>
          </cell>
          <cell r="L12">
            <v>810201</v>
          </cell>
          <cell r="M12">
            <v>2</v>
          </cell>
          <cell r="N12">
            <v>10</v>
          </cell>
          <cell r="O12">
            <v>1523000</v>
          </cell>
          <cell r="P12">
            <v>-1523000</v>
          </cell>
          <cell r="Q12">
            <v>685350</v>
          </cell>
          <cell r="S12">
            <v>0.5</v>
          </cell>
          <cell r="T12">
            <v>0.1</v>
          </cell>
        </row>
        <row r="13">
          <cell r="G13" t="str">
            <v>도체인장시험기</v>
          </cell>
          <cell r="H13" t="str">
            <v>SCN300 300kg/cm2 TUR1-06</v>
          </cell>
          <cell r="I13" t="str">
            <v>동광정밀</v>
          </cell>
          <cell r="J13">
            <v>1</v>
          </cell>
          <cell r="K13" t="str">
            <v>대</v>
          </cell>
          <cell r="L13">
            <v>870801</v>
          </cell>
          <cell r="M13">
            <v>2</v>
          </cell>
          <cell r="N13">
            <v>10</v>
          </cell>
          <cell r="O13">
            <v>113000</v>
          </cell>
          <cell r="P13">
            <v>-113000</v>
          </cell>
          <cell r="Q13">
            <v>50850</v>
          </cell>
          <cell r="S13">
            <v>0.5</v>
          </cell>
          <cell r="T13">
            <v>0.1</v>
          </cell>
        </row>
        <row r="14">
          <cell r="G14" t="str">
            <v>핀놀카운타</v>
          </cell>
          <cell r="H14" t="str">
            <v>0-1000V</v>
          </cell>
          <cell r="I14" t="str">
            <v>대붕전기</v>
          </cell>
          <cell r="J14">
            <v>1</v>
          </cell>
          <cell r="K14" t="str">
            <v>대</v>
          </cell>
          <cell r="L14">
            <v>870801</v>
          </cell>
          <cell r="M14">
            <v>2</v>
          </cell>
          <cell r="N14">
            <v>10</v>
          </cell>
          <cell r="O14">
            <v>93000</v>
          </cell>
          <cell r="P14">
            <v>-93000</v>
          </cell>
          <cell r="Q14">
            <v>41850</v>
          </cell>
          <cell r="S14">
            <v>0.5</v>
          </cell>
          <cell r="T14">
            <v>0.1</v>
          </cell>
        </row>
        <row r="15">
          <cell r="G15" t="str">
            <v>쇼파인장시험기(SCT-100)</v>
          </cell>
          <cell r="H15" t="str">
            <v>TST14-52 100kg/cm2</v>
          </cell>
          <cell r="I15" t="str">
            <v>동광정밀</v>
          </cell>
          <cell r="J15">
            <v>1</v>
          </cell>
          <cell r="K15" t="str">
            <v>대</v>
          </cell>
          <cell r="L15">
            <v>870801</v>
          </cell>
          <cell r="M15">
            <v>2</v>
          </cell>
          <cell r="N15">
            <v>10</v>
          </cell>
          <cell r="O15">
            <v>280000</v>
          </cell>
          <cell r="P15">
            <v>-280000</v>
          </cell>
          <cell r="Q15">
            <v>126000</v>
          </cell>
          <cell r="S15">
            <v>0.5</v>
          </cell>
          <cell r="T15">
            <v>0.1</v>
          </cell>
        </row>
        <row r="16">
          <cell r="G16" t="str">
            <v>MEGA OHOM METER</v>
          </cell>
          <cell r="H16" t="str">
            <v>SM-21E</v>
          </cell>
          <cell r="I16" t="str">
            <v>JAPAN</v>
          </cell>
          <cell r="J16">
            <v>1</v>
          </cell>
          <cell r="K16" t="str">
            <v>대</v>
          </cell>
          <cell r="L16">
            <v>890101</v>
          </cell>
          <cell r="M16">
            <v>2</v>
          </cell>
          <cell r="N16">
            <v>10</v>
          </cell>
          <cell r="O16">
            <v>251000</v>
          </cell>
          <cell r="P16">
            <v>-251000</v>
          </cell>
          <cell r="Q16">
            <v>112950</v>
          </cell>
          <cell r="S16">
            <v>0.5</v>
          </cell>
          <cell r="T16">
            <v>0.1</v>
          </cell>
        </row>
        <row r="17">
          <cell r="G17" t="str">
            <v>코드선뿌라그사출기 CRIMPING PRESSOR M/C</v>
          </cell>
          <cell r="H17" t="str">
            <v>KM-20</v>
          </cell>
          <cell r="I17" t="str">
            <v>한국몰렉스</v>
          </cell>
          <cell r="J17">
            <v>3</v>
          </cell>
          <cell r="K17" t="str">
            <v>대</v>
          </cell>
          <cell r="L17">
            <v>890401</v>
          </cell>
          <cell r="M17">
            <v>2</v>
          </cell>
          <cell r="N17">
            <v>10</v>
          </cell>
          <cell r="O17">
            <v>202870</v>
          </cell>
          <cell r="P17">
            <v>-202870</v>
          </cell>
          <cell r="Q17">
            <v>91292</v>
          </cell>
          <cell r="S17">
            <v>0.5</v>
          </cell>
          <cell r="T17">
            <v>0.1</v>
          </cell>
        </row>
        <row r="18">
          <cell r="G18" t="str">
            <v>절연파괴시험기</v>
          </cell>
          <cell r="H18" t="str">
            <v>0-12KV NO.6096</v>
          </cell>
          <cell r="I18" t="str">
            <v>대붕전기</v>
          </cell>
          <cell r="J18">
            <v>1</v>
          </cell>
          <cell r="K18" t="str">
            <v>대</v>
          </cell>
          <cell r="L18">
            <v>890601</v>
          </cell>
          <cell r="M18">
            <v>2</v>
          </cell>
          <cell r="N18">
            <v>10</v>
          </cell>
          <cell r="O18">
            <v>214000</v>
          </cell>
          <cell r="P18">
            <v>-214000</v>
          </cell>
          <cell r="Q18">
            <v>96300</v>
          </cell>
          <cell r="S18">
            <v>0.5</v>
          </cell>
          <cell r="T18">
            <v>0.1</v>
          </cell>
        </row>
        <row r="19">
          <cell r="G19" t="str">
            <v>MINI TABLE LIFTER</v>
          </cell>
          <cell r="H19" t="str">
            <v>300KG</v>
          </cell>
          <cell r="I19" t="str">
            <v>대주기전</v>
          </cell>
          <cell r="J19">
            <v>1</v>
          </cell>
          <cell r="K19" t="str">
            <v>대</v>
          </cell>
          <cell r="L19">
            <v>900401</v>
          </cell>
          <cell r="M19">
            <v>2</v>
          </cell>
          <cell r="N19">
            <v>10</v>
          </cell>
          <cell r="O19">
            <v>60000</v>
          </cell>
          <cell r="P19">
            <v>-60000</v>
          </cell>
          <cell r="Q19">
            <v>27000</v>
          </cell>
          <cell r="S19">
            <v>0.5</v>
          </cell>
          <cell r="T19">
            <v>0.1</v>
          </cell>
        </row>
        <row r="20">
          <cell r="G20" t="str">
            <v>절연도료용극판시험기</v>
          </cell>
          <cell r="H20" t="str">
            <v xml:space="preserve"> </v>
          </cell>
          <cell r="I20" t="str">
            <v>자체제작</v>
          </cell>
          <cell r="J20">
            <v>1</v>
          </cell>
          <cell r="K20" t="str">
            <v>대</v>
          </cell>
          <cell r="L20">
            <v>970602</v>
          </cell>
          <cell r="M20">
            <v>8</v>
          </cell>
          <cell r="N20">
            <v>10</v>
          </cell>
          <cell r="O20">
            <v>304305</v>
          </cell>
          <cell r="P20">
            <v>-304305</v>
          </cell>
          <cell r="Q20">
            <v>38038</v>
          </cell>
          <cell r="S20">
            <v>0.125</v>
          </cell>
          <cell r="T20">
            <v>0.1</v>
          </cell>
        </row>
        <row r="21">
          <cell r="G21" t="str">
            <v>저온권부시험기</v>
          </cell>
          <cell r="H21" t="str">
            <v>0-55 0C</v>
          </cell>
          <cell r="I21" t="str">
            <v>세원</v>
          </cell>
          <cell r="J21">
            <v>1</v>
          </cell>
          <cell r="K21" t="str">
            <v>대</v>
          </cell>
          <cell r="L21">
            <v>870801</v>
          </cell>
          <cell r="M21">
            <v>-1</v>
          </cell>
          <cell r="N21">
            <v>10</v>
          </cell>
          <cell r="O21">
            <v>37168</v>
          </cell>
          <cell r="P21">
            <v>-37168</v>
          </cell>
          <cell r="Q21">
            <v>9292</v>
          </cell>
          <cell r="S21" t="str">
            <v>1/4회</v>
          </cell>
          <cell r="T21">
            <v>0.1</v>
          </cell>
        </row>
        <row r="22">
          <cell r="G22" t="str">
            <v>HOIST(시험실크레인)</v>
          </cell>
          <cell r="H22" t="str">
            <v>2.8TON MONORAIL</v>
          </cell>
          <cell r="I22" t="str">
            <v>거봉산업(반도기계)</v>
          </cell>
          <cell r="J22">
            <v>1</v>
          </cell>
          <cell r="K22" t="str">
            <v>대</v>
          </cell>
          <cell r="L22">
            <v>930115</v>
          </cell>
          <cell r="M22">
            <v>6</v>
          </cell>
          <cell r="N22">
            <v>10</v>
          </cell>
          <cell r="O22">
            <v>557000</v>
          </cell>
          <cell r="P22">
            <v>-557000</v>
          </cell>
          <cell r="Q22">
            <v>83216</v>
          </cell>
          <cell r="S22">
            <v>0.16600000000000001</v>
          </cell>
          <cell r="T22">
            <v>0.1</v>
          </cell>
        </row>
        <row r="23">
          <cell r="G23" t="str">
            <v>MOONEY VISCO METER</v>
          </cell>
          <cell r="H23" t="str">
            <v>AIR TYPE 150X150mm</v>
          </cell>
          <cell r="I23" t="str">
            <v>MONSANTO(USA)</v>
          </cell>
          <cell r="J23">
            <v>1</v>
          </cell>
          <cell r="K23" t="str">
            <v>대</v>
          </cell>
          <cell r="L23">
            <v>890101</v>
          </cell>
          <cell r="M23">
            <v>2.6</v>
          </cell>
          <cell r="N23">
            <v>10</v>
          </cell>
          <cell r="O23">
            <v>1632000</v>
          </cell>
          <cell r="P23">
            <v>-1632000</v>
          </cell>
          <cell r="Q23">
            <v>489110</v>
          </cell>
          <cell r="S23">
            <v>0.33300000000000002</v>
          </cell>
          <cell r="T23">
            <v>0.1</v>
          </cell>
        </row>
        <row r="24">
          <cell r="G24" t="str">
            <v>재료혼합기</v>
          </cell>
          <cell r="H24" t="str">
            <v>50KG</v>
          </cell>
          <cell r="J24">
            <v>1</v>
          </cell>
          <cell r="K24" t="str">
            <v>대</v>
          </cell>
          <cell r="L24">
            <v>890131</v>
          </cell>
          <cell r="M24">
            <v>2.6</v>
          </cell>
          <cell r="N24">
            <v>10</v>
          </cell>
          <cell r="O24">
            <v>3765000</v>
          </cell>
          <cell r="P24">
            <v>-3765000</v>
          </cell>
          <cell r="Q24">
            <v>1128371</v>
          </cell>
          <cell r="S24">
            <v>0.33300000000000002</v>
          </cell>
          <cell r="T24">
            <v>0.1</v>
          </cell>
        </row>
        <row r="25">
          <cell r="G25" t="str">
            <v>일방향마모시험기</v>
          </cell>
          <cell r="H25" t="str">
            <v>TS-207 NO.511</v>
          </cell>
          <cell r="I25" t="str">
            <v>태신정밀</v>
          </cell>
          <cell r="J25">
            <v>1</v>
          </cell>
          <cell r="K25" t="str">
            <v>대</v>
          </cell>
          <cell r="L25">
            <v>890601</v>
          </cell>
          <cell r="M25">
            <v>2.6</v>
          </cell>
          <cell r="N25">
            <v>10</v>
          </cell>
          <cell r="O25">
            <v>1054000</v>
          </cell>
          <cell r="P25">
            <v>-1054000</v>
          </cell>
          <cell r="Q25">
            <v>315884</v>
          </cell>
          <cell r="S25">
            <v>0.33300000000000002</v>
          </cell>
          <cell r="T25">
            <v>0.1</v>
          </cell>
        </row>
        <row r="26">
          <cell r="G26" t="str">
            <v>DOUBLE BRIDGE</v>
          </cell>
          <cell r="H26" t="str">
            <v>2752 0.001-10000Ω</v>
          </cell>
          <cell r="I26" t="str">
            <v>JAPAN</v>
          </cell>
          <cell r="J26">
            <v>1</v>
          </cell>
          <cell r="K26" t="str">
            <v>대</v>
          </cell>
          <cell r="L26">
            <v>760101</v>
          </cell>
          <cell r="M26">
            <v>2</v>
          </cell>
          <cell r="N26">
            <v>10</v>
          </cell>
          <cell r="O26">
            <v>70000</v>
          </cell>
          <cell r="P26">
            <v>-70000</v>
          </cell>
          <cell r="Q26">
            <v>31500</v>
          </cell>
          <cell r="S26">
            <v>0.5</v>
          </cell>
          <cell r="T26">
            <v>0.1</v>
          </cell>
        </row>
        <row r="27">
          <cell r="G27" t="str">
            <v>전자천평계측기</v>
          </cell>
          <cell r="H27" t="str">
            <v>SD-200 1/10000g</v>
          </cell>
          <cell r="I27" t="str">
            <v>JAPAN</v>
          </cell>
          <cell r="J27">
            <v>1</v>
          </cell>
          <cell r="K27" t="str">
            <v>대</v>
          </cell>
          <cell r="L27">
            <v>810901</v>
          </cell>
          <cell r="M27">
            <v>2</v>
          </cell>
          <cell r="N27">
            <v>10</v>
          </cell>
          <cell r="O27">
            <v>41000</v>
          </cell>
          <cell r="P27">
            <v>-41000</v>
          </cell>
          <cell r="Q27">
            <v>18450</v>
          </cell>
          <cell r="S27">
            <v>0.5</v>
          </cell>
          <cell r="T27">
            <v>0.1</v>
          </cell>
        </row>
        <row r="28">
          <cell r="G28" t="str">
            <v>HOIST(CV 검사용)</v>
          </cell>
          <cell r="H28" t="str">
            <v>2TON RAIL:9M</v>
          </cell>
          <cell r="I28" t="str">
            <v>반도기계</v>
          </cell>
          <cell r="J28">
            <v>1</v>
          </cell>
          <cell r="K28" t="str">
            <v>대</v>
          </cell>
          <cell r="L28">
            <v>840201</v>
          </cell>
          <cell r="M28">
            <v>2</v>
          </cell>
          <cell r="N28">
            <v>10</v>
          </cell>
          <cell r="O28">
            <v>980000</v>
          </cell>
          <cell r="P28">
            <v>-980000</v>
          </cell>
          <cell r="Q28">
            <v>441000</v>
          </cell>
          <cell r="S28">
            <v>0.5</v>
          </cell>
          <cell r="T28">
            <v>0.1</v>
          </cell>
        </row>
        <row r="29">
          <cell r="G29" t="str">
            <v>오존시험기</v>
          </cell>
          <cell r="H29" t="str">
            <v>습식25-250pphm</v>
          </cell>
          <cell r="I29" t="str">
            <v>OYO SKIN(JAPAN)</v>
          </cell>
          <cell r="J29">
            <v>1</v>
          </cell>
          <cell r="K29" t="str">
            <v>대</v>
          </cell>
          <cell r="L29">
            <v>851101</v>
          </cell>
          <cell r="M29">
            <v>2</v>
          </cell>
          <cell r="N29">
            <v>10</v>
          </cell>
          <cell r="O29">
            <v>2844000</v>
          </cell>
          <cell r="P29">
            <v>-2844000</v>
          </cell>
          <cell r="Q29">
            <v>1279800</v>
          </cell>
          <cell r="S29">
            <v>0.5</v>
          </cell>
          <cell r="T29">
            <v>0.1</v>
          </cell>
        </row>
        <row r="30">
          <cell r="G30" t="str">
            <v>선반</v>
          </cell>
          <cell r="H30" t="str">
            <v>5자</v>
          </cell>
          <cell r="I30" t="str">
            <v>남선선반</v>
          </cell>
          <cell r="J30">
            <v>1</v>
          </cell>
          <cell r="K30" t="str">
            <v>대</v>
          </cell>
          <cell r="L30">
            <v>820101</v>
          </cell>
          <cell r="M30">
            <v>2</v>
          </cell>
          <cell r="N30">
            <v>10</v>
          </cell>
          <cell r="O30">
            <v>1264000</v>
          </cell>
          <cell r="P30">
            <v>-1264000</v>
          </cell>
          <cell r="Q30">
            <v>568800</v>
          </cell>
          <cell r="S30">
            <v>0.5</v>
          </cell>
          <cell r="T30">
            <v>0.1</v>
          </cell>
        </row>
        <row r="31">
          <cell r="G31" t="str">
            <v>MEGA OHOM METER</v>
          </cell>
          <cell r="H31" t="str">
            <v>TYPE 1864 SN-5E</v>
          </cell>
          <cell r="I31" t="str">
            <v>JAPAN</v>
          </cell>
          <cell r="J31">
            <v>1</v>
          </cell>
          <cell r="K31" t="str">
            <v>대</v>
          </cell>
          <cell r="L31">
            <v>890101</v>
          </cell>
          <cell r="M31">
            <v>2</v>
          </cell>
          <cell r="N31">
            <v>10</v>
          </cell>
          <cell r="O31">
            <v>1406000</v>
          </cell>
          <cell r="P31">
            <v>-1406000</v>
          </cell>
          <cell r="Q31">
            <v>632700</v>
          </cell>
          <cell r="S31">
            <v>0.5</v>
          </cell>
          <cell r="T31">
            <v>0.1</v>
          </cell>
        </row>
        <row r="32">
          <cell r="G32" t="str">
            <v>급격신장기</v>
          </cell>
          <cell r="H32" t="str">
            <v>TS-208 NO.512</v>
          </cell>
          <cell r="I32" t="str">
            <v>태신정밀</v>
          </cell>
          <cell r="J32">
            <v>1</v>
          </cell>
          <cell r="K32" t="str">
            <v>대</v>
          </cell>
          <cell r="L32">
            <v>890601</v>
          </cell>
          <cell r="M32">
            <v>2</v>
          </cell>
          <cell r="N32">
            <v>10</v>
          </cell>
          <cell r="O32">
            <v>639000</v>
          </cell>
          <cell r="P32">
            <v>-639000</v>
          </cell>
          <cell r="Q32">
            <v>287550</v>
          </cell>
          <cell r="S32">
            <v>0.5</v>
          </cell>
          <cell r="T32">
            <v>0.1</v>
          </cell>
        </row>
        <row r="33">
          <cell r="G33" t="str">
            <v>내연화시험기</v>
          </cell>
          <cell r="H33" t="str">
            <v>5mA 0-300도 AC100V</v>
          </cell>
          <cell r="I33" t="str">
            <v>대붕전기</v>
          </cell>
          <cell r="J33">
            <v>1</v>
          </cell>
          <cell r="K33" t="str">
            <v>대</v>
          </cell>
          <cell r="L33">
            <v>890601</v>
          </cell>
          <cell r="M33">
            <v>2</v>
          </cell>
          <cell r="N33">
            <v>10</v>
          </cell>
          <cell r="O33">
            <v>1054800</v>
          </cell>
          <cell r="P33">
            <v>-1054800</v>
          </cell>
          <cell r="Q33">
            <v>474660</v>
          </cell>
          <cell r="S33">
            <v>0.5</v>
          </cell>
          <cell r="T33">
            <v>0.1</v>
          </cell>
        </row>
        <row r="34">
          <cell r="G34" t="str">
            <v>AIR COMPRESSOR</v>
          </cell>
          <cell r="H34" t="str">
            <v xml:space="preserve"> 20HP(KG/CM3)</v>
          </cell>
          <cell r="I34" t="str">
            <v>한신공압기계</v>
          </cell>
          <cell r="J34">
            <v>1</v>
          </cell>
          <cell r="K34" t="str">
            <v>대</v>
          </cell>
          <cell r="L34">
            <v>970315</v>
          </cell>
          <cell r="M34">
            <v>9</v>
          </cell>
          <cell r="N34">
            <v>10</v>
          </cell>
          <cell r="O34">
            <v>3119000</v>
          </cell>
          <cell r="P34">
            <v>-3119000</v>
          </cell>
          <cell r="Q34">
            <v>346209</v>
          </cell>
          <cell r="S34">
            <v>0.111</v>
          </cell>
          <cell r="T34">
            <v>0.1</v>
          </cell>
        </row>
        <row r="35">
          <cell r="G35" t="str">
            <v>콜램프메가측정기</v>
          </cell>
          <cell r="H35" t="str">
            <v>0-6 HC-6000</v>
          </cell>
          <cell r="J35">
            <v>1</v>
          </cell>
          <cell r="K35" t="str">
            <v>대</v>
          </cell>
          <cell r="L35">
            <v>970125</v>
          </cell>
          <cell r="M35">
            <v>8</v>
          </cell>
          <cell r="N35">
            <v>10</v>
          </cell>
          <cell r="O35">
            <v>146000</v>
          </cell>
          <cell r="P35">
            <v>-146000</v>
          </cell>
          <cell r="Q35">
            <v>18250</v>
          </cell>
          <cell r="S35">
            <v>0.125</v>
          </cell>
          <cell r="T35">
            <v>0.1</v>
          </cell>
        </row>
        <row r="36">
          <cell r="G36" t="str">
            <v>믹싱로라(고무)</v>
          </cell>
          <cell r="H36" t="str">
            <v>시험용</v>
          </cell>
          <cell r="I36" t="str">
            <v>익산</v>
          </cell>
          <cell r="J36">
            <v>1</v>
          </cell>
          <cell r="K36" t="str">
            <v>대</v>
          </cell>
          <cell r="L36">
            <v>870301</v>
          </cell>
          <cell r="M36">
            <v>-4</v>
          </cell>
          <cell r="N36">
            <v>10</v>
          </cell>
          <cell r="O36">
            <v>42900</v>
          </cell>
          <cell r="P36">
            <v>-42900</v>
          </cell>
          <cell r="Q36">
            <v>41900</v>
          </cell>
          <cell r="S36" t="str">
            <v>4/4회</v>
          </cell>
          <cell r="T36">
            <v>0.1</v>
          </cell>
        </row>
        <row r="37">
          <cell r="G37" t="str">
            <v>신선기</v>
          </cell>
          <cell r="H37" t="str">
            <v>17다이스</v>
          </cell>
          <cell r="J37">
            <v>1</v>
          </cell>
          <cell r="K37" t="str">
            <v>대</v>
          </cell>
          <cell r="L37">
            <v>860601</v>
          </cell>
          <cell r="M37">
            <v>-4</v>
          </cell>
          <cell r="N37">
            <v>10</v>
          </cell>
          <cell r="O37">
            <v>947300</v>
          </cell>
          <cell r="P37">
            <v>-947300</v>
          </cell>
          <cell r="Q37">
            <v>946300</v>
          </cell>
          <cell r="S37" t="str">
            <v>4/4회</v>
          </cell>
          <cell r="T37">
            <v>0.1</v>
          </cell>
        </row>
        <row r="38">
          <cell r="G38" t="str">
            <v>보빈금형</v>
          </cell>
          <cell r="H38" t="str">
            <v>300"</v>
          </cell>
          <cell r="J38">
            <v>1</v>
          </cell>
          <cell r="K38" t="str">
            <v>SET</v>
          </cell>
          <cell r="L38">
            <v>851101</v>
          </cell>
          <cell r="M38">
            <v>-4</v>
          </cell>
          <cell r="N38">
            <v>10</v>
          </cell>
          <cell r="O38">
            <v>50000</v>
          </cell>
          <cell r="P38">
            <v>-50000</v>
          </cell>
          <cell r="Q38">
            <v>49000</v>
          </cell>
          <cell r="S38" t="str">
            <v>4/4회</v>
          </cell>
          <cell r="T38">
            <v>0.1</v>
          </cell>
        </row>
        <row r="39">
          <cell r="G39" t="str">
            <v>AIR COMPRESSOR</v>
          </cell>
          <cell r="H39" t="str">
            <v>7.5 HP</v>
          </cell>
          <cell r="I39" t="str">
            <v>경원공업기계</v>
          </cell>
          <cell r="J39">
            <v>1</v>
          </cell>
          <cell r="K39" t="str">
            <v>대</v>
          </cell>
          <cell r="L39">
            <v>940125</v>
          </cell>
          <cell r="M39">
            <v>2</v>
          </cell>
          <cell r="N39">
            <v>10</v>
          </cell>
          <cell r="O39">
            <v>757000</v>
          </cell>
          <cell r="P39">
            <v>-757000</v>
          </cell>
          <cell r="Q39">
            <v>340650</v>
          </cell>
          <cell r="S39">
            <v>0.5</v>
          </cell>
          <cell r="T39">
            <v>0.1</v>
          </cell>
        </row>
        <row r="41">
          <cell r="G41" t="str">
            <v>본사기계설비합계</v>
          </cell>
          <cell r="O41">
            <v>31455343</v>
          </cell>
          <cell r="P41">
            <v>-31455343</v>
          </cell>
          <cell r="R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AB41">
            <v>0</v>
          </cell>
          <cell r="AC41">
            <v>0</v>
          </cell>
        </row>
        <row r="42">
          <cell r="G42" t="str">
            <v>에나멜코팅기 1,2호기(1호변속기)</v>
          </cell>
          <cell r="H42" t="str">
            <v>25H MEM-6034E-6DSD-24M</v>
          </cell>
          <cell r="I42" t="str">
            <v>한반도</v>
          </cell>
          <cell r="J42">
            <v>2</v>
          </cell>
          <cell r="K42" t="str">
            <v>SET</v>
          </cell>
          <cell r="L42">
            <v>920831</v>
          </cell>
          <cell r="M42">
            <v>6</v>
          </cell>
          <cell r="N42">
            <v>10</v>
          </cell>
          <cell r="O42">
            <v>111440000</v>
          </cell>
          <cell r="Q42">
            <v>16649136</v>
          </cell>
          <cell r="R42">
            <v>94790864</v>
          </cell>
          <cell r="S42">
            <v>0.16600000000000001</v>
          </cell>
          <cell r="T42">
            <v>0.1</v>
          </cell>
          <cell r="U42">
            <v>16649136</v>
          </cell>
          <cell r="V42">
            <v>33298272</v>
          </cell>
          <cell r="W42">
            <v>78141728</v>
          </cell>
          <cell r="X42" t="str">
            <v>a</v>
          </cell>
          <cell r="Y42">
            <v>5572000</v>
          </cell>
          <cell r="Z42">
            <v>18499040</v>
          </cell>
          <cell r="AA42">
            <v>76291824</v>
          </cell>
          <cell r="AB42">
            <v>22221136</v>
          </cell>
          <cell r="AC42">
            <v>89218864</v>
          </cell>
        </row>
        <row r="43">
          <cell r="G43" t="str">
            <v>연선기(몰드콘)</v>
          </cell>
          <cell r="H43" t="str">
            <v>230MM*159B             (건설자금이자)</v>
          </cell>
          <cell r="I43" t="str">
            <v>광동기계</v>
          </cell>
          <cell r="J43">
            <v>1</v>
          </cell>
          <cell r="K43" t="str">
            <v>SET</v>
          </cell>
          <cell r="L43">
            <v>930831</v>
          </cell>
          <cell r="M43">
            <v>6</v>
          </cell>
          <cell r="N43">
            <v>10</v>
          </cell>
          <cell r="O43">
            <v>84300000</v>
          </cell>
          <cell r="Q43">
            <v>12594420</v>
          </cell>
          <cell r="R43">
            <v>71705580</v>
          </cell>
          <cell r="S43">
            <v>0.16600000000000001</v>
          </cell>
          <cell r="T43">
            <v>0.1</v>
          </cell>
          <cell r="U43">
            <v>12594420</v>
          </cell>
          <cell r="V43">
            <v>25188840</v>
          </cell>
          <cell r="W43">
            <v>59111160</v>
          </cell>
          <cell r="X43" t="str">
            <v>a</v>
          </cell>
          <cell r="Y43">
            <v>4215000</v>
          </cell>
          <cell r="Z43">
            <v>13993800</v>
          </cell>
          <cell r="AA43">
            <v>57711780</v>
          </cell>
          <cell r="AB43">
            <v>16809420</v>
          </cell>
          <cell r="AC43">
            <v>67490580</v>
          </cell>
        </row>
        <row r="44">
          <cell r="G44" t="str">
            <v>에나멜코팅기 8호기</v>
          </cell>
          <cell r="H44" t="str">
            <v>HE3400MN/25H(95년추가수리          건설자금이자)</v>
          </cell>
          <cell r="I44" t="str">
            <v>협진종합기계</v>
          </cell>
          <cell r="J44">
            <v>1</v>
          </cell>
          <cell r="K44" t="str">
            <v>SET</v>
          </cell>
          <cell r="L44">
            <v>930831</v>
          </cell>
          <cell r="M44">
            <v>6</v>
          </cell>
          <cell r="N44">
            <v>10</v>
          </cell>
          <cell r="O44">
            <v>46400000</v>
          </cell>
          <cell r="Q44">
            <v>6932160</v>
          </cell>
          <cell r="R44">
            <v>39467840</v>
          </cell>
          <cell r="S44">
            <v>0.16600000000000001</v>
          </cell>
          <cell r="T44">
            <v>0.1</v>
          </cell>
          <cell r="U44">
            <v>6932160</v>
          </cell>
          <cell r="V44">
            <v>13864320</v>
          </cell>
          <cell r="W44">
            <v>32535680</v>
          </cell>
          <cell r="X44" t="str">
            <v>a</v>
          </cell>
          <cell r="Y44">
            <v>2320000</v>
          </cell>
          <cell r="Z44">
            <v>7702400</v>
          </cell>
          <cell r="AA44">
            <v>31765440</v>
          </cell>
          <cell r="AB44">
            <v>9252160</v>
          </cell>
          <cell r="AC44">
            <v>37147840</v>
          </cell>
        </row>
        <row r="45">
          <cell r="G45" t="str">
            <v>에나멜코팅기 7호기</v>
          </cell>
          <cell r="H45" t="str">
            <v>HE2800MN/15H(95년추가수리         건설자금이자)</v>
          </cell>
          <cell r="I45" t="str">
            <v>협진종합기계</v>
          </cell>
          <cell r="J45">
            <v>1</v>
          </cell>
          <cell r="K45" t="str">
            <v>SET</v>
          </cell>
          <cell r="L45">
            <v>930831</v>
          </cell>
          <cell r="M45">
            <v>6</v>
          </cell>
          <cell r="N45">
            <v>10</v>
          </cell>
          <cell r="O45">
            <v>41760000</v>
          </cell>
          <cell r="Q45">
            <v>6238944</v>
          </cell>
          <cell r="R45">
            <v>35521056</v>
          </cell>
          <cell r="S45">
            <v>0.16600000000000001</v>
          </cell>
          <cell r="T45">
            <v>0.1</v>
          </cell>
          <cell r="U45">
            <v>6238944</v>
          </cell>
          <cell r="V45">
            <v>12477888</v>
          </cell>
          <cell r="W45">
            <v>29282112</v>
          </cell>
          <cell r="X45" t="str">
            <v>a</v>
          </cell>
          <cell r="Y45">
            <v>2088000</v>
          </cell>
          <cell r="Z45">
            <v>6932160</v>
          </cell>
          <cell r="AA45">
            <v>28588896</v>
          </cell>
          <cell r="AB45">
            <v>8326944</v>
          </cell>
          <cell r="AC45">
            <v>33433056</v>
          </cell>
        </row>
        <row r="46">
          <cell r="G46" t="str">
            <v>신선기LINE 6호기</v>
          </cell>
          <cell r="H46" t="str">
            <v>SA-17다이스 95년추가수리</v>
          </cell>
          <cell r="I46" t="str">
            <v>신아기계</v>
          </cell>
          <cell r="J46">
            <v>1</v>
          </cell>
          <cell r="K46" t="str">
            <v>대</v>
          </cell>
          <cell r="L46">
            <v>930831</v>
          </cell>
          <cell r="M46">
            <v>6</v>
          </cell>
          <cell r="N46">
            <v>10</v>
          </cell>
          <cell r="O46">
            <v>53390000</v>
          </cell>
          <cell r="Q46">
            <v>7976466</v>
          </cell>
          <cell r="R46">
            <v>45413534</v>
          </cell>
          <cell r="S46">
            <v>0.16600000000000001</v>
          </cell>
          <cell r="T46">
            <v>0.1</v>
          </cell>
          <cell r="U46">
            <v>7976466</v>
          </cell>
          <cell r="V46">
            <v>15952932</v>
          </cell>
          <cell r="W46">
            <v>37437068</v>
          </cell>
          <cell r="X46" t="str">
            <v>a</v>
          </cell>
          <cell r="Y46">
            <v>2669500</v>
          </cell>
          <cell r="Z46">
            <v>8862740</v>
          </cell>
          <cell r="AA46">
            <v>36550794</v>
          </cell>
          <cell r="AB46">
            <v>10645966</v>
          </cell>
          <cell r="AC46">
            <v>42744034</v>
          </cell>
        </row>
        <row r="47">
          <cell r="G47" t="str">
            <v>편조기(강선)36수</v>
          </cell>
          <cell r="H47" t="str">
            <v>8m/min 3.75kw</v>
          </cell>
          <cell r="I47" t="str">
            <v xml:space="preserve"> </v>
          </cell>
          <cell r="J47">
            <v>1</v>
          </cell>
          <cell r="K47" t="str">
            <v>대</v>
          </cell>
          <cell r="L47">
            <v>830101</v>
          </cell>
          <cell r="M47">
            <v>2</v>
          </cell>
          <cell r="N47">
            <v>10</v>
          </cell>
          <cell r="O47">
            <v>2040000</v>
          </cell>
          <cell r="Q47">
            <v>918000</v>
          </cell>
          <cell r="R47">
            <v>1122000</v>
          </cell>
          <cell r="S47">
            <v>0.5</v>
          </cell>
          <cell r="T47">
            <v>0.1</v>
          </cell>
          <cell r="U47">
            <v>918000</v>
          </cell>
          <cell r="V47">
            <v>1836000</v>
          </cell>
          <cell r="W47">
            <v>204000</v>
          </cell>
          <cell r="X47" t="str">
            <v>a</v>
          </cell>
          <cell r="Y47">
            <v>102000</v>
          </cell>
          <cell r="Z47">
            <v>1122000</v>
          </cell>
          <cell r="AA47">
            <v>0</v>
          </cell>
          <cell r="AB47">
            <v>1020000</v>
          </cell>
          <cell r="AC47">
            <v>1020000</v>
          </cell>
        </row>
        <row r="48">
          <cell r="G48" t="str">
            <v>편조기(강선)24수</v>
          </cell>
          <cell r="H48" t="str">
            <v>7m/min 2.2kw</v>
          </cell>
          <cell r="J48">
            <v>1</v>
          </cell>
          <cell r="K48" t="str">
            <v>대</v>
          </cell>
          <cell r="L48">
            <v>830101</v>
          </cell>
          <cell r="M48">
            <v>2</v>
          </cell>
          <cell r="N48">
            <v>10</v>
          </cell>
          <cell r="O48">
            <v>1632000</v>
          </cell>
          <cell r="Q48">
            <v>734400</v>
          </cell>
          <cell r="R48">
            <v>897600</v>
          </cell>
          <cell r="S48">
            <v>0.5</v>
          </cell>
          <cell r="T48">
            <v>0.1</v>
          </cell>
          <cell r="U48">
            <v>734400</v>
          </cell>
          <cell r="V48">
            <v>1468800</v>
          </cell>
          <cell r="W48">
            <v>163200</v>
          </cell>
          <cell r="X48" t="str">
            <v>a</v>
          </cell>
          <cell r="Y48">
            <v>81600</v>
          </cell>
          <cell r="Z48">
            <v>897600</v>
          </cell>
          <cell r="AA48">
            <v>0</v>
          </cell>
          <cell r="AB48">
            <v>816000</v>
          </cell>
          <cell r="AC48">
            <v>816000</v>
          </cell>
        </row>
        <row r="49">
          <cell r="G49" t="str">
            <v>신선세선기 (12-14호기)</v>
          </cell>
          <cell r="H49" t="str">
            <v>22DIES(3대)20다이스</v>
          </cell>
          <cell r="I49" t="str">
            <v>신아전기</v>
          </cell>
          <cell r="J49">
            <v>1</v>
          </cell>
          <cell r="K49" t="str">
            <v>대</v>
          </cell>
          <cell r="L49">
            <v>851101</v>
          </cell>
          <cell r="M49">
            <v>2</v>
          </cell>
          <cell r="N49">
            <v>10</v>
          </cell>
          <cell r="O49">
            <v>15060000</v>
          </cell>
          <cell r="P49">
            <v>-10040000</v>
          </cell>
          <cell r="Q49">
            <v>2259000</v>
          </cell>
          <cell r="R49">
            <v>2761000</v>
          </cell>
          <cell r="S49">
            <v>0.5</v>
          </cell>
          <cell r="T49">
            <v>0.1</v>
          </cell>
          <cell r="U49">
            <v>2259000</v>
          </cell>
          <cell r="V49">
            <v>4518000</v>
          </cell>
          <cell r="W49">
            <v>502000</v>
          </cell>
          <cell r="X49" t="str">
            <v>a</v>
          </cell>
          <cell r="Y49">
            <v>251000</v>
          </cell>
          <cell r="Z49">
            <v>2761000</v>
          </cell>
          <cell r="AA49">
            <v>0</v>
          </cell>
          <cell r="AB49">
            <v>2510000</v>
          </cell>
          <cell r="AC49">
            <v>2510000</v>
          </cell>
        </row>
        <row r="50">
          <cell r="G50" t="str">
            <v>세선기 (4-9호기)</v>
          </cell>
          <cell r="H50" t="str">
            <v>22다이스 0.08-0.32mm</v>
          </cell>
          <cell r="I50" t="str">
            <v>신아전기</v>
          </cell>
          <cell r="J50">
            <v>6</v>
          </cell>
          <cell r="K50" t="str">
            <v>대</v>
          </cell>
          <cell r="L50">
            <v>860601</v>
          </cell>
          <cell r="M50">
            <v>2</v>
          </cell>
          <cell r="N50">
            <v>10</v>
          </cell>
          <cell r="O50">
            <v>30120000</v>
          </cell>
          <cell r="Q50">
            <v>13554000</v>
          </cell>
          <cell r="R50">
            <v>16566000</v>
          </cell>
          <cell r="S50">
            <v>0.5</v>
          </cell>
          <cell r="T50">
            <v>0.1</v>
          </cell>
          <cell r="U50">
            <v>13554000</v>
          </cell>
          <cell r="V50">
            <v>27108000</v>
          </cell>
          <cell r="W50">
            <v>3012000</v>
          </cell>
          <cell r="X50" t="str">
            <v>a</v>
          </cell>
          <cell r="Y50">
            <v>1506000</v>
          </cell>
          <cell r="Z50">
            <v>16566000</v>
          </cell>
          <cell r="AA50">
            <v>0</v>
          </cell>
          <cell r="AB50">
            <v>15060000</v>
          </cell>
          <cell r="AC50">
            <v>15060000</v>
          </cell>
        </row>
        <row r="51">
          <cell r="G51" t="str">
            <v>에나멜도장기 4호기</v>
          </cell>
          <cell r="H51" t="str">
            <v>S25HH   4호기</v>
          </cell>
          <cell r="I51" t="str">
            <v>신아전기</v>
          </cell>
          <cell r="J51">
            <v>1</v>
          </cell>
          <cell r="K51" t="str">
            <v>식</v>
          </cell>
          <cell r="L51">
            <v>870401</v>
          </cell>
          <cell r="M51">
            <v>2</v>
          </cell>
          <cell r="N51">
            <v>10</v>
          </cell>
          <cell r="O51">
            <v>25900000</v>
          </cell>
          <cell r="Q51">
            <v>11655000</v>
          </cell>
          <cell r="R51">
            <v>14245000</v>
          </cell>
          <cell r="S51">
            <v>0.5</v>
          </cell>
          <cell r="T51">
            <v>0.1</v>
          </cell>
          <cell r="U51">
            <v>11655000</v>
          </cell>
          <cell r="V51">
            <v>23310000</v>
          </cell>
          <cell r="W51">
            <v>2590000</v>
          </cell>
          <cell r="X51" t="str">
            <v>a</v>
          </cell>
          <cell r="Y51">
            <v>1295000</v>
          </cell>
          <cell r="Z51">
            <v>14245000</v>
          </cell>
          <cell r="AA51">
            <v>0</v>
          </cell>
          <cell r="AB51">
            <v>12950000</v>
          </cell>
          <cell r="AC51">
            <v>12950000</v>
          </cell>
        </row>
        <row r="52">
          <cell r="G52" t="str">
            <v>에나멜도장기 3호기</v>
          </cell>
          <cell r="H52" t="str">
            <v>TA15HH  3호기</v>
          </cell>
          <cell r="I52" t="str">
            <v>신아전기</v>
          </cell>
          <cell r="J52">
            <v>1</v>
          </cell>
          <cell r="K52" t="str">
            <v>식</v>
          </cell>
          <cell r="L52">
            <v>870401</v>
          </cell>
          <cell r="M52">
            <v>2</v>
          </cell>
          <cell r="N52">
            <v>10</v>
          </cell>
          <cell r="O52">
            <v>20350000</v>
          </cell>
          <cell r="Q52">
            <v>9157500</v>
          </cell>
          <cell r="R52">
            <v>11192500</v>
          </cell>
          <cell r="S52">
            <v>0.5</v>
          </cell>
          <cell r="T52">
            <v>0.1</v>
          </cell>
          <cell r="U52">
            <v>9157500</v>
          </cell>
          <cell r="V52">
            <v>18315000</v>
          </cell>
          <cell r="W52">
            <v>2035000</v>
          </cell>
          <cell r="X52" t="str">
            <v>a</v>
          </cell>
          <cell r="Y52">
            <v>1017500</v>
          </cell>
          <cell r="Z52">
            <v>11192500</v>
          </cell>
          <cell r="AA52">
            <v>0</v>
          </cell>
          <cell r="AB52">
            <v>10175000</v>
          </cell>
          <cell r="AC52">
            <v>10175000</v>
          </cell>
        </row>
        <row r="53">
          <cell r="G53" t="str">
            <v>극세선기 1-3호기</v>
          </cell>
          <cell r="H53" t="str">
            <v>20DIES 1800m/min         22다이스6대 95년추가수리</v>
          </cell>
          <cell r="I53" t="str">
            <v>신아전기</v>
          </cell>
          <cell r="J53">
            <v>3</v>
          </cell>
          <cell r="K53" t="str">
            <v>대</v>
          </cell>
          <cell r="L53">
            <v>880801</v>
          </cell>
          <cell r="M53">
            <v>2</v>
          </cell>
          <cell r="N53">
            <v>10</v>
          </cell>
          <cell r="O53">
            <v>21300000</v>
          </cell>
          <cell r="Q53">
            <v>9585000</v>
          </cell>
          <cell r="R53">
            <v>11715000</v>
          </cell>
          <cell r="S53">
            <v>0.5</v>
          </cell>
          <cell r="T53">
            <v>0.1</v>
          </cell>
          <cell r="U53">
            <v>9585000</v>
          </cell>
          <cell r="V53">
            <v>19170000</v>
          </cell>
          <cell r="W53">
            <v>2130000</v>
          </cell>
          <cell r="X53" t="str">
            <v>a</v>
          </cell>
          <cell r="Y53">
            <v>1065000</v>
          </cell>
          <cell r="Z53">
            <v>11715000</v>
          </cell>
          <cell r="AA53">
            <v>0</v>
          </cell>
          <cell r="AB53">
            <v>10650000</v>
          </cell>
          <cell r="AC53">
            <v>10650000</v>
          </cell>
        </row>
        <row r="54">
          <cell r="G54" t="str">
            <v>에나멜코팅기 5호기(960311무단변속기)</v>
          </cell>
          <cell r="H54" t="str">
            <v>SW-TA5HH 960311무단변속기</v>
          </cell>
          <cell r="I54" t="str">
            <v>신아전기</v>
          </cell>
          <cell r="J54">
            <v>1</v>
          </cell>
          <cell r="K54" t="str">
            <v>식</v>
          </cell>
          <cell r="L54">
            <v>880801</v>
          </cell>
          <cell r="M54">
            <v>2</v>
          </cell>
          <cell r="N54">
            <v>10</v>
          </cell>
          <cell r="O54">
            <v>23650000</v>
          </cell>
          <cell r="Q54">
            <v>10642500</v>
          </cell>
          <cell r="R54">
            <v>13007500</v>
          </cell>
          <cell r="S54">
            <v>0.5</v>
          </cell>
          <cell r="T54">
            <v>0.1</v>
          </cell>
          <cell r="U54">
            <v>10642500</v>
          </cell>
          <cell r="V54">
            <v>21285000</v>
          </cell>
          <cell r="W54">
            <v>2365000</v>
          </cell>
          <cell r="X54" t="str">
            <v>a</v>
          </cell>
          <cell r="Y54">
            <v>1182500</v>
          </cell>
          <cell r="Z54">
            <v>13007500</v>
          </cell>
          <cell r="AA54">
            <v>0</v>
          </cell>
          <cell r="AB54">
            <v>11825000</v>
          </cell>
          <cell r="AC54">
            <v>11825000</v>
          </cell>
        </row>
        <row r="55">
          <cell r="G55" t="str">
            <v>코드선사출기 VH DPC-50</v>
          </cell>
          <cell r="H55" t="str">
            <v>40,5 OZ</v>
          </cell>
          <cell r="I55" t="str">
            <v>대승유압         (장성)</v>
          </cell>
          <cell r="J55">
            <v>3</v>
          </cell>
          <cell r="K55" t="str">
            <v>대</v>
          </cell>
          <cell r="L55">
            <v>891218</v>
          </cell>
          <cell r="M55">
            <v>2</v>
          </cell>
          <cell r="N55">
            <v>10</v>
          </cell>
          <cell r="O55">
            <v>9848183</v>
          </cell>
          <cell r="Q55">
            <v>4431682</v>
          </cell>
          <cell r="R55">
            <v>5416501</v>
          </cell>
          <cell r="S55">
            <v>0.5</v>
          </cell>
          <cell r="T55">
            <v>0.1</v>
          </cell>
          <cell r="U55">
            <v>4431682</v>
          </cell>
          <cell r="V55">
            <v>8863364</v>
          </cell>
          <cell r="W55">
            <v>984819</v>
          </cell>
          <cell r="X55" t="str">
            <v>a</v>
          </cell>
          <cell r="Y55">
            <v>492409</v>
          </cell>
          <cell r="Z55">
            <v>5416501</v>
          </cell>
          <cell r="AA55">
            <v>0</v>
          </cell>
          <cell r="AB55">
            <v>4924091</v>
          </cell>
          <cell r="AC55">
            <v>4924092</v>
          </cell>
        </row>
        <row r="56">
          <cell r="G56" t="str">
            <v>에나멜코팅기 6호기</v>
          </cell>
          <cell r="H56" t="str">
            <v>SW2450W 60H 06-1.2 95년추가수리    (881001)</v>
          </cell>
          <cell r="I56" t="str">
            <v>신아전기</v>
          </cell>
          <cell r="J56">
            <v>1</v>
          </cell>
          <cell r="K56" t="str">
            <v>대</v>
          </cell>
          <cell r="L56">
            <v>891231</v>
          </cell>
          <cell r="M56">
            <v>2</v>
          </cell>
          <cell r="N56">
            <v>10</v>
          </cell>
          <cell r="O56">
            <v>21500000</v>
          </cell>
          <cell r="Q56">
            <v>9675000</v>
          </cell>
          <cell r="R56">
            <v>11825000</v>
          </cell>
          <cell r="S56">
            <v>0.5</v>
          </cell>
          <cell r="T56">
            <v>0.1</v>
          </cell>
          <cell r="U56">
            <v>9675000</v>
          </cell>
          <cell r="V56">
            <v>19350000</v>
          </cell>
          <cell r="W56">
            <v>2150000</v>
          </cell>
          <cell r="X56" t="str">
            <v>a</v>
          </cell>
          <cell r="Y56">
            <v>1075000</v>
          </cell>
          <cell r="Z56">
            <v>11825000</v>
          </cell>
          <cell r="AA56">
            <v>0</v>
          </cell>
          <cell r="AB56">
            <v>10750000</v>
          </cell>
          <cell r="AC56">
            <v>10750000</v>
          </cell>
        </row>
        <row r="57">
          <cell r="G57" t="str">
            <v>AIR COMPRESSOR</v>
          </cell>
          <cell r="H57" t="str">
            <v>7.5HP 95년추가수리        50HP</v>
          </cell>
          <cell r="I57" t="str">
            <v>세원콤프레샤 (세계유체)</v>
          </cell>
          <cell r="J57">
            <v>1</v>
          </cell>
          <cell r="K57" t="str">
            <v>대</v>
          </cell>
          <cell r="L57">
            <v>920511</v>
          </cell>
          <cell r="M57">
            <v>2</v>
          </cell>
          <cell r="N57">
            <v>10</v>
          </cell>
          <cell r="O57">
            <v>7515000</v>
          </cell>
          <cell r="Q57">
            <v>3381750</v>
          </cell>
          <cell r="R57">
            <v>4133250</v>
          </cell>
          <cell r="S57">
            <v>0.5</v>
          </cell>
          <cell r="T57">
            <v>0.1</v>
          </cell>
          <cell r="U57">
            <v>3381750</v>
          </cell>
          <cell r="V57">
            <v>6763500</v>
          </cell>
          <cell r="W57">
            <v>751500</v>
          </cell>
          <cell r="X57" t="str">
            <v>a</v>
          </cell>
          <cell r="Y57">
            <v>375750</v>
          </cell>
          <cell r="Z57">
            <v>4133250</v>
          </cell>
          <cell r="AA57">
            <v>0</v>
          </cell>
          <cell r="AB57">
            <v>3757500</v>
          </cell>
          <cell r="AC57">
            <v>3757500</v>
          </cell>
        </row>
        <row r="58">
          <cell r="G58" t="str">
            <v xml:space="preserve">아닐라본체 </v>
          </cell>
          <cell r="H58" t="str">
            <v>17다이스</v>
          </cell>
          <cell r="I58" t="str">
            <v>상훈기계</v>
          </cell>
          <cell r="J58">
            <v>1</v>
          </cell>
          <cell r="K58" t="str">
            <v>대</v>
          </cell>
          <cell r="L58">
            <v>961018</v>
          </cell>
          <cell r="M58">
            <v>9</v>
          </cell>
          <cell r="N58">
            <v>10</v>
          </cell>
          <cell r="O58">
            <v>11910000</v>
          </cell>
          <cell r="Q58">
            <v>1322010</v>
          </cell>
          <cell r="R58">
            <v>10587990</v>
          </cell>
          <cell r="S58">
            <v>0.111</v>
          </cell>
          <cell r="T58">
            <v>0.1</v>
          </cell>
          <cell r="U58">
            <v>1322010</v>
          </cell>
          <cell r="V58">
            <v>2644020</v>
          </cell>
          <cell r="W58">
            <v>9265980</v>
          </cell>
          <cell r="X58" t="str">
            <v>a</v>
          </cell>
          <cell r="Y58">
            <v>595500</v>
          </cell>
          <cell r="Z58">
            <v>1322010</v>
          </cell>
          <cell r="AA58">
            <v>9265980</v>
          </cell>
          <cell r="AB58">
            <v>1917510</v>
          </cell>
          <cell r="AC58">
            <v>9992490</v>
          </cell>
        </row>
        <row r="59">
          <cell r="G59" t="str">
            <v>에나멜 자동포장기</v>
          </cell>
          <cell r="H59" t="str">
            <v>100KG</v>
          </cell>
          <cell r="I59" t="str">
            <v>한양대학교</v>
          </cell>
          <cell r="J59">
            <v>1</v>
          </cell>
          <cell r="K59" t="str">
            <v>SET</v>
          </cell>
          <cell r="L59">
            <v>971120</v>
          </cell>
          <cell r="M59">
            <v>9</v>
          </cell>
          <cell r="N59">
            <v>10</v>
          </cell>
          <cell r="O59">
            <v>30000000</v>
          </cell>
          <cell r="Q59">
            <v>3330000</v>
          </cell>
          <cell r="R59">
            <v>26670000</v>
          </cell>
          <cell r="S59">
            <v>0.111</v>
          </cell>
          <cell r="T59">
            <v>0.1</v>
          </cell>
          <cell r="U59">
            <v>3330000</v>
          </cell>
          <cell r="V59">
            <v>6660000</v>
          </cell>
          <cell r="W59">
            <v>23340000</v>
          </cell>
          <cell r="X59" t="str">
            <v>a</v>
          </cell>
          <cell r="Y59">
            <v>1500000</v>
          </cell>
          <cell r="Z59">
            <v>3330000</v>
          </cell>
          <cell r="AA59">
            <v>23340000</v>
          </cell>
          <cell r="AB59">
            <v>4830000</v>
          </cell>
          <cell r="AC59">
            <v>25170000</v>
          </cell>
        </row>
        <row r="60">
          <cell r="G60" t="str">
            <v>스파이랄 성형기</v>
          </cell>
          <cell r="H60" t="str">
            <v xml:space="preserve"> #1 D10-D50</v>
          </cell>
          <cell r="I60" t="str">
            <v>상은(진흥후렉시블)</v>
          </cell>
          <cell r="J60">
            <v>3</v>
          </cell>
          <cell r="K60" t="str">
            <v>SET</v>
          </cell>
          <cell r="L60">
            <v>980325</v>
          </cell>
          <cell r="M60">
            <v>9</v>
          </cell>
          <cell r="N60">
            <v>10</v>
          </cell>
          <cell r="O60">
            <v>208230000</v>
          </cell>
          <cell r="P60">
            <v>14932126</v>
          </cell>
          <cell r="Q60">
            <v>23113530</v>
          </cell>
          <cell r="R60">
            <v>200048596</v>
          </cell>
          <cell r="S60">
            <v>0.111</v>
          </cell>
          <cell r="T60">
            <v>0.1</v>
          </cell>
          <cell r="U60">
            <v>24770996</v>
          </cell>
          <cell r="V60">
            <v>47884526</v>
          </cell>
          <cell r="W60">
            <v>175277600</v>
          </cell>
          <cell r="X60" t="str">
            <v>a</v>
          </cell>
          <cell r="Y60">
            <v>11158106</v>
          </cell>
          <cell r="Z60">
            <v>24770996</v>
          </cell>
          <cell r="AA60">
            <v>175277600</v>
          </cell>
          <cell r="AB60">
            <v>34271636</v>
          </cell>
          <cell r="AC60">
            <v>188890490</v>
          </cell>
        </row>
        <row r="61">
          <cell r="G61" t="str">
            <v>자동성형기</v>
          </cell>
          <cell r="H61" t="str">
            <v xml:space="preserve"> D20-D100</v>
          </cell>
          <cell r="I61" t="str">
            <v>상은(진흥후렉시블)</v>
          </cell>
          <cell r="J61">
            <v>1</v>
          </cell>
          <cell r="K61" t="str">
            <v>SET</v>
          </cell>
          <cell r="L61">
            <v>980325</v>
          </cell>
          <cell r="M61">
            <v>9</v>
          </cell>
          <cell r="N61">
            <v>10</v>
          </cell>
          <cell r="O61">
            <v>107270000</v>
          </cell>
          <cell r="P61">
            <v>7692308</v>
          </cell>
          <cell r="Q61">
            <v>11906970</v>
          </cell>
          <cell r="R61">
            <v>103055338</v>
          </cell>
          <cell r="S61">
            <v>0.111</v>
          </cell>
          <cell r="T61">
            <v>0.1</v>
          </cell>
          <cell r="U61">
            <v>12760816</v>
          </cell>
          <cell r="V61">
            <v>24667786</v>
          </cell>
          <cell r="W61">
            <v>90294522</v>
          </cell>
          <cell r="X61" t="str">
            <v>a</v>
          </cell>
          <cell r="Y61">
            <v>5748115</v>
          </cell>
          <cell r="Z61">
            <v>12760816</v>
          </cell>
          <cell r="AA61">
            <v>90294522</v>
          </cell>
          <cell r="AB61">
            <v>17655085</v>
          </cell>
          <cell r="AC61">
            <v>97307223</v>
          </cell>
        </row>
        <row r="62">
          <cell r="G62" t="str">
            <v>우레탄성형기</v>
          </cell>
          <cell r="H62" t="str">
            <v xml:space="preserve"> D65-D150</v>
          </cell>
          <cell r="I62" t="str">
            <v>상은(진흥후렉시블)</v>
          </cell>
          <cell r="J62">
            <v>2</v>
          </cell>
          <cell r="K62" t="str">
            <v>SET</v>
          </cell>
          <cell r="L62">
            <v>980325</v>
          </cell>
          <cell r="M62">
            <v>9</v>
          </cell>
          <cell r="N62">
            <v>10</v>
          </cell>
          <cell r="O62">
            <v>94650000</v>
          </cell>
          <cell r="P62">
            <v>6787330</v>
          </cell>
          <cell r="Q62">
            <v>10506150</v>
          </cell>
          <cell r="R62">
            <v>90931180</v>
          </cell>
          <cell r="S62">
            <v>0.111</v>
          </cell>
          <cell r="T62">
            <v>0.1</v>
          </cell>
          <cell r="U62">
            <v>11259544</v>
          </cell>
          <cell r="V62">
            <v>21765694</v>
          </cell>
          <cell r="W62">
            <v>79671636</v>
          </cell>
          <cell r="X62" t="str">
            <v>a</v>
          </cell>
          <cell r="Y62">
            <v>5071867</v>
          </cell>
          <cell r="Z62">
            <v>11259544</v>
          </cell>
          <cell r="AA62">
            <v>79671636</v>
          </cell>
          <cell r="AB62">
            <v>15578017</v>
          </cell>
          <cell r="AC62">
            <v>85859313</v>
          </cell>
        </row>
        <row r="63">
          <cell r="G63" t="str">
            <v>우레탄조관기</v>
          </cell>
          <cell r="H63" t="str">
            <v xml:space="preserve"> D65-150</v>
          </cell>
          <cell r="I63" t="str">
            <v>상은(진흥후렉시블)</v>
          </cell>
          <cell r="J63">
            <v>1</v>
          </cell>
          <cell r="K63" t="str">
            <v>SET</v>
          </cell>
          <cell r="L63">
            <v>980325</v>
          </cell>
          <cell r="M63">
            <v>9</v>
          </cell>
          <cell r="N63">
            <v>10</v>
          </cell>
          <cell r="O63">
            <v>82030000</v>
          </cell>
          <cell r="P63">
            <v>5882353</v>
          </cell>
          <cell r="Q63">
            <v>9105330</v>
          </cell>
          <cell r="R63">
            <v>78807023</v>
          </cell>
          <cell r="S63">
            <v>0.111</v>
          </cell>
          <cell r="T63">
            <v>0.1</v>
          </cell>
          <cell r="U63">
            <v>9758271</v>
          </cell>
          <cell r="V63">
            <v>18863601</v>
          </cell>
          <cell r="W63">
            <v>69048752</v>
          </cell>
          <cell r="X63" t="str">
            <v>a</v>
          </cell>
          <cell r="Y63">
            <v>4395618</v>
          </cell>
          <cell r="Z63">
            <v>9758271</v>
          </cell>
          <cell r="AA63">
            <v>69048752</v>
          </cell>
          <cell r="AB63">
            <v>13500948</v>
          </cell>
          <cell r="AC63">
            <v>74411405</v>
          </cell>
        </row>
        <row r="64">
          <cell r="G64" t="str">
            <v>자동용접기</v>
          </cell>
          <cell r="H64" t="str">
            <v xml:space="preserve"> 220V Corona-3000</v>
          </cell>
          <cell r="I64" t="str">
            <v>상은(KAU WHA Welding진흥후렉시블)</v>
          </cell>
          <cell r="J64">
            <v>1</v>
          </cell>
          <cell r="K64" t="str">
            <v>SET</v>
          </cell>
          <cell r="L64">
            <v>980325</v>
          </cell>
          <cell r="M64">
            <v>9</v>
          </cell>
          <cell r="N64">
            <v>10</v>
          </cell>
          <cell r="O64">
            <v>50480000</v>
          </cell>
          <cell r="P64">
            <v>3619910</v>
          </cell>
          <cell r="Q64">
            <v>5603280</v>
          </cell>
          <cell r="R64">
            <v>48496630</v>
          </cell>
          <cell r="S64">
            <v>0.111</v>
          </cell>
          <cell r="T64">
            <v>0.1</v>
          </cell>
          <cell r="U64">
            <v>6005090</v>
          </cell>
          <cell r="V64">
            <v>11608370</v>
          </cell>
          <cell r="W64">
            <v>42491540</v>
          </cell>
          <cell r="X64" t="str">
            <v>a</v>
          </cell>
          <cell r="Y64">
            <v>2704996</v>
          </cell>
          <cell r="Z64">
            <v>6005090</v>
          </cell>
          <cell r="AA64">
            <v>42491540</v>
          </cell>
          <cell r="AB64">
            <v>8308276</v>
          </cell>
          <cell r="AC64">
            <v>45791634</v>
          </cell>
        </row>
        <row r="65">
          <cell r="G65" t="str">
            <v>편조기 SW36</v>
          </cell>
          <cell r="H65" t="str">
            <v xml:space="preserve"> D10-D100</v>
          </cell>
          <cell r="I65" t="str">
            <v>상은(진흥후렉시블)</v>
          </cell>
          <cell r="J65">
            <v>1</v>
          </cell>
          <cell r="K65" t="str">
            <v>SET</v>
          </cell>
          <cell r="L65">
            <v>980325</v>
          </cell>
          <cell r="M65">
            <v>9</v>
          </cell>
          <cell r="N65">
            <v>10</v>
          </cell>
          <cell r="O65">
            <v>15144000</v>
          </cell>
          <cell r="P65">
            <v>1085973</v>
          </cell>
          <cell r="Q65">
            <v>1680984</v>
          </cell>
          <cell r="R65">
            <v>14548989</v>
          </cell>
          <cell r="S65">
            <v>0.111</v>
          </cell>
          <cell r="T65">
            <v>0.1</v>
          </cell>
          <cell r="U65">
            <v>1801527</v>
          </cell>
          <cell r="V65">
            <v>3482511</v>
          </cell>
          <cell r="W65">
            <v>12747462</v>
          </cell>
          <cell r="X65" t="str">
            <v>a</v>
          </cell>
          <cell r="Y65">
            <v>811499</v>
          </cell>
          <cell r="Z65">
            <v>1801527</v>
          </cell>
          <cell r="AA65">
            <v>12747462</v>
          </cell>
          <cell r="AB65">
            <v>2492483</v>
          </cell>
          <cell r="AC65">
            <v>13737490</v>
          </cell>
        </row>
        <row r="66">
          <cell r="G66" t="str">
            <v>마대포장미싱(공업용)</v>
          </cell>
          <cell r="H66" t="str">
            <v>NEWLONG 2mX0.5m 1/2HP</v>
          </cell>
          <cell r="I66" t="str">
            <v>진로특수미싱</v>
          </cell>
          <cell r="J66">
            <v>1</v>
          </cell>
          <cell r="K66" t="str">
            <v>대</v>
          </cell>
          <cell r="L66">
            <v>960625</v>
          </cell>
          <cell r="M66">
            <v>8</v>
          </cell>
          <cell r="N66">
            <v>10</v>
          </cell>
          <cell r="O66">
            <v>3091000</v>
          </cell>
          <cell r="Q66">
            <v>386375</v>
          </cell>
          <cell r="R66">
            <v>2704625</v>
          </cell>
          <cell r="S66">
            <v>0.125</v>
          </cell>
          <cell r="T66">
            <v>0.1</v>
          </cell>
          <cell r="U66">
            <v>386375</v>
          </cell>
          <cell r="V66">
            <v>772750</v>
          </cell>
          <cell r="W66">
            <v>2318250</v>
          </cell>
          <cell r="X66" t="str">
            <v>a</v>
          </cell>
          <cell r="Y66">
            <v>154550</v>
          </cell>
          <cell r="Z66">
            <v>386375</v>
          </cell>
          <cell r="AA66">
            <v>2318250</v>
          </cell>
          <cell r="AB66">
            <v>540925</v>
          </cell>
          <cell r="AC66">
            <v>2550075</v>
          </cell>
        </row>
        <row r="67">
          <cell r="G67" t="str">
            <v>DRY BOX (AL BOX)</v>
          </cell>
          <cell r="H67" t="str">
            <v>Ar10,000L 1.2mmHg 25kg/cm2</v>
          </cell>
          <cell r="I67" t="str">
            <v>금오정공</v>
          </cell>
          <cell r="J67">
            <v>4</v>
          </cell>
          <cell r="K67" t="str">
            <v>대</v>
          </cell>
          <cell r="L67">
            <v>970820</v>
          </cell>
          <cell r="M67">
            <v>8</v>
          </cell>
          <cell r="N67">
            <v>10</v>
          </cell>
          <cell r="O67">
            <v>107673000</v>
          </cell>
          <cell r="Q67">
            <v>13459125</v>
          </cell>
          <cell r="R67">
            <v>94213875</v>
          </cell>
          <cell r="S67">
            <v>0.125</v>
          </cell>
          <cell r="T67">
            <v>0.1</v>
          </cell>
          <cell r="U67">
            <v>13459125</v>
          </cell>
          <cell r="V67">
            <v>26918250</v>
          </cell>
          <cell r="W67">
            <v>80754750</v>
          </cell>
          <cell r="X67" t="str">
            <v>a</v>
          </cell>
          <cell r="Y67">
            <v>5383650</v>
          </cell>
          <cell r="Z67">
            <v>13459125</v>
          </cell>
          <cell r="AA67">
            <v>80754750</v>
          </cell>
          <cell r="AB67">
            <v>18842775</v>
          </cell>
          <cell r="AC67">
            <v>88830225</v>
          </cell>
        </row>
        <row r="68">
          <cell r="G68" t="str">
            <v>편조기</v>
          </cell>
          <cell r="H68" t="str">
            <v>SH16타 7m/min</v>
          </cell>
          <cell r="I68" t="str">
            <v>성일산업</v>
          </cell>
          <cell r="J68">
            <v>1</v>
          </cell>
          <cell r="K68" t="str">
            <v>대</v>
          </cell>
          <cell r="L68">
            <v>880801</v>
          </cell>
          <cell r="M68">
            <v>-1</v>
          </cell>
          <cell r="N68">
            <v>10</v>
          </cell>
          <cell r="O68">
            <v>2346667</v>
          </cell>
          <cell r="Q68">
            <v>586667</v>
          </cell>
          <cell r="R68">
            <v>1760000</v>
          </cell>
          <cell r="S68" t="str">
            <v>2/4회</v>
          </cell>
          <cell r="T68">
            <v>0.1</v>
          </cell>
          <cell r="U68">
            <v>586667</v>
          </cell>
          <cell r="V68">
            <v>1173334</v>
          </cell>
          <cell r="W68">
            <v>1173333</v>
          </cell>
          <cell r="X68" t="str">
            <v>a</v>
          </cell>
          <cell r="Y68">
            <v>117333</v>
          </cell>
          <cell r="Z68">
            <v>1760000</v>
          </cell>
          <cell r="AA68">
            <v>0</v>
          </cell>
          <cell r="AB68">
            <v>704000</v>
          </cell>
          <cell r="AC68">
            <v>1642667</v>
          </cell>
        </row>
        <row r="69">
          <cell r="G69" t="str">
            <v>코르마트기</v>
          </cell>
          <cell r="H69" t="str">
            <v>65MM EXT</v>
          </cell>
          <cell r="I69" t="str">
            <v>아성전기</v>
          </cell>
          <cell r="J69">
            <v>1</v>
          </cell>
          <cell r="K69" t="str">
            <v>대</v>
          </cell>
          <cell r="L69">
            <v>930109</v>
          </cell>
          <cell r="M69">
            <v>6.6</v>
          </cell>
          <cell r="N69">
            <v>10</v>
          </cell>
          <cell r="O69">
            <v>5568000</v>
          </cell>
          <cell r="Q69">
            <v>711590</v>
          </cell>
          <cell r="R69">
            <v>4856410</v>
          </cell>
          <cell r="S69">
            <v>0.14199999999999999</v>
          </cell>
          <cell r="T69">
            <v>0.1</v>
          </cell>
          <cell r="U69">
            <v>711590</v>
          </cell>
          <cell r="V69">
            <v>1423180</v>
          </cell>
          <cell r="W69">
            <v>4144820</v>
          </cell>
          <cell r="X69">
            <v>211825379</v>
          </cell>
          <cell r="Y69">
            <v>278400</v>
          </cell>
          <cell r="Z69">
            <v>790656</v>
          </cell>
          <cell r="AA69">
            <v>4065754</v>
          </cell>
          <cell r="AB69">
            <v>989990</v>
          </cell>
          <cell r="AC69">
            <v>4578010</v>
          </cell>
        </row>
        <row r="70">
          <cell r="G70" t="str">
            <v>연선기(Rigid)</v>
          </cell>
          <cell r="H70" t="str">
            <v>610MM*18B 1800mm</v>
          </cell>
          <cell r="I70" t="str">
            <v>신아기계</v>
          </cell>
          <cell r="J70">
            <v>1</v>
          </cell>
          <cell r="K70" t="str">
            <v>대</v>
          </cell>
          <cell r="L70">
            <v>930831</v>
          </cell>
          <cell r="M70">
            <v>6.6</v>
          </cell>
          <cell r="N70">
            <v>10</v>
          </cell>
          <cell r="O70">
            <v>106780000</v>
          </cell>
          <cell r="P70">
            <v>18000000</v>
          </cell>
          <cell r="Q70">
            <v>13646484</v>
          </cell>
          <cell r="R70">
            <v>111133516</v>
          </cell>
          <cell r="S70">
            <v>0.14199999999999999</v>
          </cell>
          <cell r="T70">
            <v>0.1</v>
          </cell>
          <cell r="U70">
            <v>15946884</v>
          </cell>
          <cell r="V70">
            <v>29593368</v>
          </cell>
          <cell r="W70">
            <v>95186632</v>
          </cell>
          <cell r="X70">
            <v>125898985</v>
          </cell>
          <cell r="Y70">
            <v>6239000</v>
          </cell>
          <cell r="Z70">
            <v>17718760</v>
          </cell>
          <cell r="AA70">
            <v>93414756</v>
          </cell>
          <cell r="AB70">
            <v>19885484</v>
          </cell>
          <cell r="AC70">
            <v>104894516</v>
          </cell>
        </row>
        <row r="71">
          <cell r="G71" t="str">
            <v>CLEAN ROOM</v>
          </cell>
          <cell r="H71" t="str">
            <v>항온항습UNIT 30m3</v>
          </cell>
          <cell r="I71" t="str">
            <v>(주)송화</v>
          </cell>
          <cell r="J71">
            <v>1</v>
          </cell>
          <cell r="K71" t="str">
            <v>SET</v>
          </cell>
          <cell r="L71">
            <v>931103</v>
          </cell>
          <cell r="M71">
            <v>6.6</v>
          </cell>
          <cell r="N71">
            <v>10</v>
          </cell>
          <cell r="O71">
            <v>17853000</v>
          </cell>
          <cell r="Q71">
            <v>2281613</v>
          </cell>
          <cell r="R71">
            <v>15571387</v>
          </cell>
          <cell r="S71">
            <v>0.14199999999999999</v>
          </cell>
          <cell r="T71">
            <v>0.1</v>
          </cell>
          <cell r="U71">
            <v>2281613</v>
          </cell>
          <cell r="V71">
            <v>4563226</v>
          </cell>
          <cell r="W71">
            <v>13289774</v>
          </cell>
          <cell r="Y71">
            <v>892650</v>
          </cell>
          <cell r="Z71">
            <v>2535126</v>
          </cell>
          <cell r="AA71">
            <v>13036261</v>
          </cell>
          <cell r="AB71">
            <v>3174263</v>
          </cell>
          <cell r="AC71">
            <v>14678737</v>
          </cell>
        </row>
        <row r="72">
          <cell r="G72" t="str">
            <v>연소가스부식성      시험기</v>
          </cell>
          <cell r="H72" t="str">
            <v>1,000 OC (129)(940519)</v>
          </cell>
          <cell r="I72" t="str">
            <v>대부과학</v>
          </cell>
          <cell r="J72">
            <v>1</v>
          </cell>
          <cell r="K72" t="str">
            <v>대</v>
          </cell>
          <cell r="L72">
            <v>940519</v>
          </cell>
          <cell r="M72">
            <v>6.6</v>
          </cell>
          <cell r="N72">
            <v>10</v>
          </cell>
          <cell r="O72">
            <v>1731000</v>
          </cell>
          <cell r="Q72">
            <v>221222</v>
          </cell>
          <cell r="R72">
            <v>1509778</v>
          </cell>
          <cell r="S72">
            <v>0.14199999999999999</v>
          </cell>
          <cell r="T72">
            <v>0.1</v>
          </cell>
          <cell r="U72">
            <v>221222</v>
          </cell>
          <cell r="V72">
            <v>442444</v>
          </cell>
          <cell r="W72">
            <v>1288556</v>
          </cell>
          <cell r="Y72">
            <v>86550</v>
          </cell>
          <cell r="Z72">
            <v>245802</v>
          </cell>
          <cell r="AA72">
            <v>1263976</v>
          </cell>
          <cell r="AB72">
            <v>307772</v>
          </cell>
          <cell r="AC72">
            <v>1423228</v>
          </cell>
        </row>
        <row r="73">
          <cell r="G73" t="str">
            <v>롯드신선기(AL태선  )</v>
          </cell>
          <cell r="H73" t="str">
            <v>9다이스(AL) 850401</v>
          </cell>
          <cell r="I73" t="str">
            <v>광동기계(동서기계)</v>
          </cell>
          <cell r="J73">
            <v>1</v>
          </cell>
          <cell r="K73" t="str">
            <v>SET</v>
          </cell>
          <cell r="L73">
            <v>930831</v>
          </cell>
          <cell r="M73">
            <v>6</v>
          </cell>
          <cell r="N73">
            <v>10</v>
          </cell>
          <cell r="O73">
            <v>63100000</v>
          </cell>
          <cell r="P73" t="str">
            <v xml:space="preserve"> </v>
          </cell>
          <cell r="Q73">
            <v>9427140</v>
          </cell>
          <cell r="R73">
            <v>53672860</v>
          </cell>
          <cell r="S73">
            <v>0.16600000000000001</v>
          </cell>
          <cell r="T73">
            <v>0.1</v>
          </cell>
          <cell r="U73">
            <v>9427140</v>
          </cell>
          <cell r="V73">
            <v>18854280</v>
          </cell>
          <cell r="W73">
            <v>44245720</v>
          </cell>
          <cell r="Y73">
            <v>3155000</v>
          </cell>
          <cell r="Z73">
            <v>10474600</v>
          </cell>
          <cell r="AA73">
            <v>43198260</v>
          </cell>
          <cell r="AB73">
            <v>12582140</v>
          </cell>
          <cell r="AC73">
            <v>50517860</v>
          </cell>
        </row>
        <row r="74">
          <cell r="G74" t="str">
            <v>F/S LINE(KOSCOAT-25FS)</v>
          </cell>
          <cell r="H74" t="str">
            <v xml:space="preserve">2400M/MIN $960,000 1호기 </v>
          </cell>
          <cell r="I74" t="str">
            <v>KOBE STEEL(JAPAN)</v>
          </cell>
          <cell r="J74">
            <v>1</v>
          </cell>
          <cell r="K74" t="str">
            <v>대</v>
          </cell>
          <cell r="L74">
            <v>940630</v>
          </cell>
          <cell r="M74">
            <v>6.6</v>
          </cell>
          <cell r="N74">
            <v>10</v>
          </cell>
          <cell r="O74">
            <v>923431958.1417619</v>
          </cell>
          <cell r="Q74">
            <v>118014604</v>
          </cell>
          <cell r="R74">
            <v>805417354.1417619</v>
          </cell>
          <cell r="S74">
            <v>0.14199999999999999</v>
          </cell>
          <cell r="T74">
            <v>0.1</v>
          </cell>
          <cell r="U74">
            <v>118014604</v>
          </cell>
          <cell r="V74">
            <v>236029208</v>
          </cell>
          <cell r="W74">
            <v>687402750.1417619</v>
          </cell>
          <cell r="Y74">
            <v>26171598</v>
          </cell>
          <cell r="Z74">
            <v>131127338</v>
          </cell>
          <cell r="AA74">
            <v>674290016.1417619</v>
          </cell>
          <cell r="AB74">
            <v>144186202</v>
          </cell>
          <cell r="AC74">
            <v>779245756.1417619</v>
          </cell>
        </row>
        <row r="75">
          <cell r="G75" t="str">
            <v>직류내전압시험기    A.C PUNCTUERTESTER</v>
          </cell>
          <cell r="H75" t="str">
            <v>DC0-120KV 9510</v>
          </cell>
          <cell r="I75" t="str">
            <v>신전사</v>
          </cell>
          <cell r="J75">
            <v>1</v>
          </cell>
          <cell r="K75" t="str">
            <v>대</v>
          </cell>
          <cell r="L75">
            <v>940701</v>
          </cell>
          <cell r="M75">
            <v>6.6</v>
          </cell>
          <cell r="N75">
            <v>10</v>
          </cell>
          <cell r="O75">
            <v>2272000</v>
          </cell>
          <cell r="Q75">
            <v>290362</v>
          </cell>
          <cell r="R75">
            <v>1981638</v>
          </cell>
          <cell r="S75">
            <v>0.14199999999999999</v>
          </cell>
          <cell r="T75">
            <v>0.1</v>
          </cell>
          <cell r="U75">
            <v>290362</v>
          </cell>
          <cell r="V75">
            <v>580724</v>
          </cell>
          <cell r="W75">
            <v>1691276</v>
          </cell>
          <cell r="Y75">
            <v>113600</v>
          </cell>
          <cell r="Z75">
            <v>322624</v>
          </cell>
          <cell r="AA75">
            <v>1659014</v>
          </cell>
          <cell r="AB75">
            <v>403962</v>
          </cell>
          <cell r="AC75">
            <v>1868038</v>
          </cell>
        </row>
        <row r="76">
          <cell r="G76" t="str">
            <v>유전체손(절연도)    측정기(DIELECTRIC LOSS MEASURING)$34,015</v>
          </cell>
          <cell r="H76" t="str">
            <v>1-200㎊ TR-10T</v>
          </cell>
          <cell r="I76" t="str">
            <v>ANDO ELECTRIC</v>
          </cell>
          <cell r="J76">
            <v>1</v>
          </cell>
          <cell r="K76" t="str">
            <v>대</v>
          </cell>
          <cell r="L76">
            <v>940824</v>
          </cell>
          <cell r="M76">
            <v>6.6</v>
          </cell>
          <cell r="N76">
            <v>10</v>
          </cell>
          <cell r="O76">
            <v>21640000</v>
          </cell>
          <cell r="Q76">
            <v>2765592</v>
          </cell>
          <cell r="R76">
            <v>18874408</v>
          </cell>
          <cell r="S76">
            <v>0.14199999999999999</v>
          </cell>
          <cell r="T76">
            <v>0.1</v>
          </cell>
          <cell r="U76">
            <v>2765592</v>
          </cell>
          <cell r="V76">
            <v>5531184</v>
          </cell>
          <cell r="W76">
            <v>16108816</v>
          </cell>
          <cell r="Y76">
            <v>1082000</v>
          </cell>
          <cell r="Z76">
            <v>3072880</v>
          </cell>
          <cell r="AA76">
            <v>15801528</v>
          </cell>
          <cell r="AB76">
            <v>3847592</v>
          </cell>
          <cell r="AC76">
            <v>17792408</v>
          </cell>
        </row>
        <row r="77">
          <cell r="G77" t="str">
            <v>난연(수직)불꽃시험기(RIBBON BURNER 10")</v>
          </cell>
          <cell r="H77" t="str">
            <v>10L 11-55($1,475)</v>
          </cell>
          <cell r="I77" t="str">
            <v>MAXIM INDUSTRIES(USA)</v>
          </cell>
          <cell r="J77">
            <v>1</v>
          </cell>
          <cell r="K77" t="str">
            <v>대</v>
          </cell>
          <cell r="L77">
            <v>940930</v>
          </cell>
          <cell r="M77">
            <v>6.6</v>
          </cell>
          <cell r="N77">
            <v>10</v>
          </cell>
          <cell r="O77">
            <v>1623000</v>
          </cell>
          <cell r="Q77">
            <v>207419</v>
          </cell>
          <cell r="R77">
            <v>1415581</v>
          </cell>
          <cell r="S77">
            <v>0.14199999999999999</v>
          </cell>
          <cell r="T77">
            <v>0.1</v>
          </cell>
          <cell r="U77">
            <v>207419</v>
          </cell>
          <cell r="V77">
            <v>414838</v>
          </cell>
          <cell r="W77">
            <v>1208162</v>
          </cell>
          <cell r="Y77">
            <v>81150</v>
          </cell>
          <cell r="Z77">
            <v>230466</v>
          </cell>
          <cell r="AA77">
            <v>1185115</v>
          </cell>
          <cell r="AB77">
            <v>288569</v>
          </cell>
          <cell r="AC77">
            <v>1334431</v>
          </cell>
        </row>
        <row r="78">
          <cell r="G78" t="str">
            <v>54B연선기(BOBBIN RIGID)</v>
          </cell>
          <cell r="H78" t="str">
            <v>610*54 18M/MIN</v>
          </cell>
          <cell r="I78" t="str">
            <v>산업리스(신일기계,유신기계)</v>
          </cell>
          <cell r="J78">
            <v>1</v>
          </cell>
          <cell r="K78" t="str">
            <v>대</v>
          </cell>
          <cell r="L78">
            <v>941108</v>
          </cell>
          <cell r="M78">
            <v>7</v>
          </cell>
          <cell r="N78">
            <v>10</v>
          </cell>
          <cell r="O78">
            <v>373376742</v>
          </cell>
          <cell r="P78">
            <v>25590000</v>
          </cell>
          <cell r="Q78">
            <v>47717548</v>
          </cell>
          <cell r="R78">
            <v>351249194</v>
          </cell>
          <cell r="S78">
            <v>0.14199999999999999</v>
          </cell>
          <cell r="T78">
            <v>0.1</v>
          </cell>
          <cell r="U78">
            <v>50987950</v>
          </cell>
          <cell r="V78">
            <v>98705498</v>
          </cell>
          <cell r="W78">
            <v>300261244</v>
          </cell>
          <cell r="X78">
            <v>50619499</v>
          </cell>
          <cell r="Y78">
            <v>19948337</v>
          </cell>
          <cell r="Z78">
            <v>56653277</v>
          </cell>
          <cell r="AA78">
            <v>294595917</v>
          </cell>
          <cell r="AB78">
            <v>67665885</v>
          </cell>
          <cell r="AC78">
            <v>331300857</v>
          </cell>
        </row>
        <row r="79">
          <cell r="G79" t="str">
            <v>CCV LINE 3TANDER</v>
          </cell>
          <cell r="H79" t="str">
            <v>65*115*65(2호기)</v>
          </cell>
          <cell r="I79" t="str">
            <v>산업리스(신일기계)</v>
          </cell>
          <cell r="J79">
            <v>1</v>
          </cell>
          <cell r="K79" t="str">
            <v>SET</v>
          </cell>
          <cell r="L79">
            <v>941108</v>
          </cell>
          <cell r="M79">
            <v>6.6</v>
          </cell>
          <cell r="N79">
            <v>10</v>
          </cell>
          <cell r="O79">
            <v>826610000</v>
          </cell>
          <cell r="P79">
            <v>2840000</v>
          </cell>
          <cell r="Q79">
            <v>105640758</v>
          </cell>
          <cell r="R79">
            <v>723809242</v>
          </cell>
          <cell r="S79">
            <v>0.14199999999999999</v>
          </cell>
          <cell r="T79">
            <v>0.1</v>
          </cell>
          <cell r="U79">
            <v>106003710</v>
          </cell>
          <cell r="V79">
            <v>211644468</v>
          </cell>
          <cell r="W79">
            <v>617805532</v>
          </cell>
          <cell r="Y79">
            <v>21472500</v>
          </cell>
          <cell r="Z79">
            <v>117781900</v>
          </cell>
          <cell r="AA79">
            <v>606027342</v>
          </cell>
          <cell r="AB79">
            <v>127113258</v>
          </cell>
          <cell r="AC79">
            <v>702336742</v>
          </cell>
        </row>
        <row r="80">
          <cell r="G80" t="str">
            <v>복합케이블연선기</v>
          </cell>
          <cell r="H80" t="str">
            <v>S400-4P+5C 1800RPM</v>
          </cell>
          <cell r="I80" t="str">
            <v>신일기계</v>
          </cell>
          <cell r="J80">
            <v>1</v>
          </cell>
          <cell r="K80" t="str">
            <v>대</v>
          </cell>
          <cell r="L80">
            <v>920831</v>
          </cell>
          <cell r="M80">
            <v>5.6</v>
          </cell>
          <cell r="N80">
            <v>10</v>
          </cell>
          <cell r="O80">
            <v>55110000</v>
          </cell>
          <cell r="Q80">
            <v>8233434</v>
          </cell>
          <cell r="R80">
            <v>46876566</v>
          </cell>
          <cell r="S80">
            <v>0.16600000000000001</v>
          </cell>
          <cell r="T80">
            <v>0.1</v>
          </cell>
          <cell r="U80">
            <v>8233434</v>
          </cell>
          <cell r="V80">
            <v>16466868</v>
          </cell>
          <cell r="W80">
            <v>38643132</v>
          </cell>
          <cell r="Y80">
            <v>2755500</v>
          </cell>
          <cell r="Z80">
            <v>9148260</v>
          </cell>
          <cell r="AA80">
            <v>37728306</v>
          </cell>
          <cell r="AB80">
            <v>10988934</v>
          </cell>
          <cell r="AC80">
            <v>44121066</v>
          </cell>
        </row>
        <row r="81">
          <cell r="G81" t="str">
            <v>선반 IM635-1</v>
          </cell>
          <cell r="H81" t="str">
            <v>500*2000 1250RPM</v>
          </cell>
          <cell r="I81" t="str">
            <v>대리기계(소련)</v>
          </cell>
          <cell r="J81">
            <v>1</v>
          </cell>
          <cell r="K81" t="str">
            <v>대</v>
          </cell>
          <cell r="L81">
            <v>940713</v>
          </cell>
          <cell r="M81">
            <v>5.6</v>
          </cell>
          <cell r="N81">
            <v>10</v>
          </cell>
          <cell r="O81">
            <v>10096000</v>
          </cell>
          <cell r="Q81">
            <v>1508342</v>
          </cell>
          <cell r="R81">
            <v>8587658</v>
          </cell>
          <cell r="S81">
            <v>0.16600000000000001</v>
          </cell>
          <cell r="T81">
            <v>0.1</v>
          </cell>
          <cell r="U81">
            <v>1508342</v>
          </cell>
          <cell r="V81">
            <v>3016684</v>
          </cell>
          <cell r="W81">
            <v>7079316</v>
          </cell>
          <cell r="Y81">
            <v>504800</v>
          </cell>
          <cell r="Z81">
            <v>1675936</v>
          </cell>
          <cell r="AA81">
            <v>6911722</v>
          </cell>
          <cell r="AB81">
            <v>2013142</v>
          </cell>
          <cell r="AC81">
            <v>8082858</v>
          </cell>
        </row>
        <row r="82">
          <cell r="G82" t="str">
            <v>신선기 17다이스15호기</v>
          </cell>
          <cell r="H82" t="str">
            <v>2.6MM-0.5MM</v>
          </cell>
          <cell r="I82" t="str">
            <v>진흥공단</v>
          </cell>
          <cell r="J82">
            <v>1</v>
          </cell>
          <cell r="K82" t="str">
            <v>대</v>
          </cell>
          <cell r="L82">
            <v>900501</v>
          </cell>
          <cell r="M82">
            <v>2.6</v>
          </cell>
          <cell r="N82">
            <v>10</v>
          </cell>
          <cell r="O82">
            <v>6720000</v>
          </cell>
          <cell r="P82">
            <v>-6720000</v>
          </cell>
          <cell r="Q82" t="str">
            <v xml:space="preserve">                           2013984</v>
          </cell>
          <cell r="R82" t="str">
            <v xml:space="preserve"> </v>
          </cell>
          <cell r="S82">
            <v>0.33300000000000002</v>
          </cell>
          <cell r="T82">
            <v>0.1</v>
          </cell>
          <cell r="U82">
            <v>0</v>
          </cell>
          <cell r="W82">
            <v>0</v>
          </cell>
          <cell r="Y82">
            <v>0</v>
          </cell>
          <cell r="Z82">
            <v>0</v>
          </cell>
          <cell r="AA82">
            <v>0</v>
          </cell>
          <cell r="AC82">
            <v>0</v>
          </cell>
        </row>
        <row r="83">
          <cell r="G83" t="str">
            <v>고무가류라인90MM    EXT</v>
          </cell>
          <cell r="H83" t="str">
            <v>90MM 100m/min90kg/h</v>
          </cell>
          <cell r="I83" t="str">
            <v>개발리스(성암엔지)</v>
          </cell>
          <cell r="J83">
            <v>1</v>
          </cell>
          <cell r="K83" t="str">
            <v>SET</v>
          </cell>
          <cell r="L83">
            <v>951220</v>
          </cell>
          <cell r="M83">
            <v>6</v>
          </cell>
          <cell r="N83">
            <v>10</v>
          </cell>
          <cell r="O83">
            <v>313684502</v>
          </cell>
          <cell r="Q83">
            <v>46864465</v>
          </cell>
          <cell r="R83">
            <v>266820037</v>
          </cell>
          <cell r="S83">
            <v>0.16600000000000001</v>
          </cell>
          <cell r="T83">
            <v>0.1</v>
          </cell>
          <cell r="U83">
            <v>52071627</v>
          </cell>
          <cell r="V83">
            <v>98936092</v>
          </cell>
          <cell r="W83">
            <v>214748410</v>
          </cell>
          <cell r="Y83">
            <v>15684225</v>
          </cell>
          <cell r="Z83">
            <v>52071627</v>
          </cell>
          <cell r="AA83">
            <v>214748410</v>
          </cell>
          <cell r="AB83">
            <v>62548690</v>
          </cell>
          <cell r="AC83">
            <v>251135812</v>
          </cell>
        </row>
        <row r="84">
          <cell r="G84" t="str">
            <v>고무가류라인120mm   EXT</v>
          </cell>
          <cell r="H84" t="str">
            <v>60-120MM 70m/min100kg/h</v>
          </cell>
          <cell r="I84" t="str">
            <v>개발리스(신아전기)</v>
          </cell>
          <cell r="J84">
            <v>1</v>
          </cell>
          <cell r="K84" t="str">
            <v>SET</v>
          </cell>
          <cell r="L84">
            <v>951220</v>
          </cell>
          <cell r="M84">
            <v>6</v>
          </cell>
          <cell r="N84">
            <v>10</v>
          </cell>
          <cell r="O84">
            <v>415792668</v>
          </cell>
          <cell r="Q84">
            <v>62119425</v>
          </cell>
          <cell r="R84">
            <v>353673243</v>
          </cell>
          <cell r="S84">
            <v>0.16600000000000001</v>
          </cell>
          <cell r="T84">
            <v>0.1</v>
          </cell>
          <cell r="U84">
            <v>69021583</v>
          </cell>
          <cell r="V84">
            <v>131141008</v>
          </cell>
          <cell r="W84">
            <v>284651660</v>
          </cell>
          <cell r="Y84">
            <v>12398618</v>
          </cell>
          <cell r="Z84">
            <v>69021583</v>
          </cell>
          <cell r="AA84">
            <v>284651660</v>
          </cell>
          <cell r="AB84">
            <v>74518043</v>
          </cell>
          <cell r="AC84">
            <v>341274625</v>
          </cell>
        </row>
        <row r="85">
          <cell r="G85" t="str">
            <v>CCV LINE 3TANDEM    GAS CURE SYS</v>
          </cell>
          <cell r="H85" t="str">
            <v>64*150*90 1호기</v>
          </cell>
          <cell r="I85" t="str">
            <v>개발리스(신일기계)</v>
          </cell>
          <cell r="J85">
            <v>1</v>
          </cell>
          <cell r="K85" t="str">
            <v>SET</v>
          </cell>
          <cell r="L85">
            <v>951220</v>
          </cell>
          <cell r="M85">
            <v>6</v>
          </cell>
          <cell r="N85">
            <v>10</v>
          </cell>
          <cell r="O85">
            <v>884855338</v>
          </cell>
          <cell r="P85">
            <v>3487400</v>
          </cell>
          <cell r="Q85">
            <v>132197387</v>
          </cell>
          <cell r="R85">
            <v>756145351</v>
          </cell>
          <cell r="S85">
            <v>0.16600000000000001</v>
          </cell>
          <cell r="T85">
            <v>0.1</v>
          </cell>
          <cell r="U85">
            <v>147464895</v>
          </cell>
          <cell r="V85">
            <v>279662282</v>
          </cell>
          <cell r="W85">
            <v>608680456</v>
          </cell>
          <cell r="Y85">
            <v>24417137</v>
          </cell>
          <cell r="Z85">
            <v>147464895</v>
          </cell>
          <cell r="AA85">
            <v>608680456</v>
          </cell>
          <cell r="AB85">
            <v>156614524</v>
          </cell>
          <cell r="AC85">
            <v>731728214</v>
          </cell>
        </row>
        <row r="86">
          <cell r="G86" t="str">
            <v>Wheatstone Bridge     휘스톤 브릿지</v>
          </cell>
          <cell r="H86" t="str">
            <v>1-10KΩ 2755 59EV0527</v>
          </cell>
          <cell r="I86" t="str">
            <v>YOKOGAWA JAPAN</v>
          </cell>
          <cell r="J86">
            <v>1</v>
          </cell>
          <cell r="K86" t="str">
            <v>대</v>
          </cell>
          <cell r="L86">
            <v>910306</v>
          </cell>
          <cell r="M86">
            <v>4.5999999999999996</v>
          </cell>
          <cell r="N86">
            <v>10</v>
          </cell>
          <cell r="O86">
            <v>375000</v>
          </cell>
          <cell r="Q86">
            <v>67500</v>
          </cell>
          <cell r="R86">
            <v>307500</v>
          </cell>
          <cell r="S86">
            <v>0.2</v>
          </cell>
          <cell r="T86">
            <v>0.1</v>
          </cell>
          <cell r="U86">
            <v>67500</v>
          </cell>
          <cell r="V86">
            <v>135000</v>
          </cell>
          <cell r="W86">
            <v>240000</v>
          </cell>
          <cell r="Y86">
            <v>18750</v>
          </cell>
          <cell r="Z86">
            <v>75000</v>
          </cell>
          <cell r="AA86">
            <v>232500</v>
          </cell>
          <cell r="AB86">
            <v>86250</v>
          </cell>
          <cell r="AC86">
            <v>288750</v>
          </cell>
        </row>
        <row r="87">
          <cell r="G87" t="str">
            <v>DIGITAL BALANCE</v>
          </cell>
          <cell r="H87" t="str">
            <v>ER-180 180G</v>
          </cell>
          <cell r="I87" t="str">
            <v>A&amp;D JAPAN</v>
          </cell>
          <cell r="J87">
            <v>1</v>
          </cell>
          <cell r="K87" t="str">
            <v>대</v>
          </cell>
          <cell r="L87">
            <v>910312</v>
          </cell>
          <cell r="M87">
            <v>4.5999999999999996</v>
          </cell>
          <cell r="N87">
            <v>10</v>
          </cell>
          <cell r="O87">
            <v>360000</v>
          </cell>
          <cell r="Q87">
            <v>64800</v>
          </cell>
          <cell r="R87">
            <v>295200</v>
          </cell>
          <cell r="S87">
            <v>0.2</v>
          </cell>
          <cell r="T87">
            <v>0.1</v>
          </cell>
          <cell r="U87">
            <v>64800</v>
          </cell>
          <cell r="V87">
            <v>129600</v>
          </cell>
          <cell r="W87">
            <v>230400</v>
          </cell>
          <cell r="Y87">
            <v>18000</v>
          </cell>
          <cell r="Z87">
            <v>72000</v>
          </cell>
          <cell r="AA87">
            <v>223200</v>
          </cell>
          <cell r="AB87">
            <v>82800</v>
          </cell>
          <cell r="AC87">
            <v>277200</v>
          </cell>
        </row>
        <row r="88">
          <cell r="G88" t="str">
            <v>절연저항기(SUPER    MEGOHM)</v>
          </cell>
          <cell r="H88" t="str">
            <v>SM-8205,10MΩ</v>
          </cell>
          <cell r="I88" t="str">
            <v>TOV JAPAN</v>
          </cell>
          <cell r="J88">
            <v>1</v>
          </cell>
          <cell r="K88" t="str">
            <v>대</v>
          </cell>
          <cell r="L88">
            <v>910312</v>
          </cell>
          <cell r="M88">
            <v>4.5999999999999996</v>
          </cell>
          <cell r="N88">
            <v>10</v>
          </cell>
          <cell r="O88">
            <v>1023000</v>
          </cell>
          <cell r="Q88">
            <v>184140</v>
          </cell>
          <cell r="R88">
            <v>838860</v>
          </cell>
          <cell r="S88">
            <v>0.2</v>
          </cell>
          <cell r="T88">
            <v>0.1</v>
          </cell>
          <cell r="U88">
            <v>184140</v>
          </cell>
          <cell r="V88">
            <v>368280</v>
          </cell>
          <cell r="W88">
            <v>654720</v>
          </cell>
          <cell r="Y88">
            <v>51150</v>
          </cell>
          <cell r="Z88">
            <v>204600</v>
          </cell>
          <cell r="AA88">
            <v>634260</v>
          </cell>
          <cell r="AB88">
            <v>235290</v>
          </cell>
          <cell r="AC88">
            <v>787710</v>
          </cell>
        </row>
        <row r="89">
          <cell r="G89" t="str">
            <v>L.C.R METER</v>
          </cell>
          <cell r="H89" t="str">
            <v>AG-4303 1㎐-120㎐</v>
          </cell>
          <cell r="I89" t="str">
            <v>ANDO,JAPAN</v>
          </cell>
          <cell r="J89">
            <v>1</v>
          </cell>
          <cell r="K89" t="str">
            <v>대</v>
          </cell>
          <cell r="L89">
            <v>910312</v>
          </cell>
          <cell r="M89">
            <v>4.5999999999999996</v>
          </cell>
          <cell r="N89">
            <v>10</v>
          </cell>
          <cell r="O89">
            <v>1023000</v>
          </cell>
          <cell r="Q89">
            <v>184140</v>
          </cell>
          <cell r="R89">
            <v>838860</v>
          </cell>
          <cell r="S89">
            <v>0.2</v>
          </cell>
          <cell r="T89">
            <v>0.1</v>
          </cell>
          <cell r="U89">
            <v>184140</v>
          </cell>
          <cell r="V89">
            <v>368280</v>
          </cell>
          <cell r="W89">
            <v>654720</v>
          </cell>
          <cell r="Y89">
            <v>51150</v>
          </cell>
          <cell r="Z89">
            <v>204600</v>
          </cell>
          <cell r="AA89">
            <v>634260</v>
          </cell>
          <cell r="AB89">
            <v>235290</v>
          </cell>
          <cell r="AC89">
            <v>787710</v>
          </cell>
        </row>
        <row r="90">
          <cell r="G90" t="str">
            <v>ELECTRONIC DENSIMETER(비중계)</v>
          </cell>
          <cell r="H90" t="str">
            <v>0.5g-120g ED-120T</v>
          </cell>
          <cell r="I90" t="str">
            <v>A&amp;D JAPAN</v>
          </cell>
          <cell r="J90">
            <v>1</v>
          </cell>
          <cell r="K90" t="str">
            <v>대</v>
          </cell>
          <cell r="L90">
            <v>910312</v>
          </cell>
          <cell r="M90">
            <v>4.5999999999999996</v>
          </cell>
          <cell r="N90">
            <v>10</v>
          </cell>
          <cell r="O90">
            <v>784000</v>
          </cell>
          <cell r="Q90">
            <v>141120</v>
          </cell>
          <cell r="R90">
            <v>642880</v>
          </cell>
          <cell r="S90">
            <v>0.2</v>
          </cell>
          <cell r="T90">
            <v>0.1</v>
          </cell>
          <cell r="U90">
            <v>141120</v>
          </cell>
          <cell r="V90">
            <v>282240</v>
          </cell>
          <cell r="W90">
            <v>501760</v>
          </cell>
          <cell r="Y90">
            <v>39200</v>
          </cell>
          <cell r="Z90">
            <v>156800</v>
          </cell>
          <cell r="AA90">
            <v>486080</v>
          </cell>
          <cell r="AB90">
            <v>180320</v>
          </cell>
          <cell r="AC90">
            <v>603680</v>
          </cell>
        </row>
        <row r="91">
          <cell r="G91" t="str">
            <v>압출기 65MM (940530)</v>
          </cell>
          <cell r="H91" t="str">
            <v>YE-65 650MM 15KG/H</v>
          </cell>
          <cell r="I91" t="str">
            <v>유신기계</v>
          </cell>
          <cell r="J91">
            <v>1</v>
          </cell>
          <cell r="K91" t="str">
            <v>대</v>
          </cell>
          <cell r="L91">
            <v>910312</v>
          </cell>
          <cell r="M91">
            <v>4.5999999999999996</v>
          </cell>
          <cell r="N91">
            <v>10</v>
          </cell>
          <cell r="O91">
            <v>37510000</v>
          </cell>
          <cell r="Q91">
            <v>6751800</v>
          </cell>
          <cell r="R91">
            <v>30758200</v>
          </cell>
          <cell r="S91">
            <v>0.2</v>
          </cell>
          <cell r="T91">
            <v>0.1</v>
          </cell>
          <cell r="U91">
            <v>6751800</v>
          </cell>
          <cell r="V91">
            <v>13503600</v>
          </cell>
          <cell r="W91">
            <v>24006400</v>
          </cell>
          <cell r="Y91">
            <v>1875500</v>
          </cell>
          <cell r="Z91">
            <v>7502000</v>
          </cell>
          <cell r="AA91">
            <v>23256200</v>
          </cell>
          <cell r="AB91">
            <v>8627300</v>
          </cell>
          <cell r="AC91">
            <v>28882700</v>
          </cell>
        </row>
        <row r="92">
          <cell r="G92" t="str">
            <v>신선기 아니링17DI   ES</v>
          </cell>
          <cell r="H92" t="str">
            <v>2.6-0.4mm 1500M/MIN</v>
          </cell>
          <cell r="I92" t="str">
            <v>선진기계</v>
          </cell>
          <cell r="J92">
            <v>1</v>
          </cell>
          <cell r="K92" t="str">
            <v>대</v>
          </cell>
          <cell r="L92">
            <v>910331</v>
          </cell>
          <cell r="M92">
            <v>4.5999999999999996</v>
          </cell>
          <cell r="N92">
            <v>10</v>
          </cell>
          <cell r="O92">
            <v>44700000</v>
          </cell>
          <cell r="P92">
            <v>1200000</v>
          </cell>
          <cell r="Q92">
            <v>8046000</v>
          </cell>
          <cell r="R92">
            <v>37854000</v>
          </cell>
          <cell r="S92">
            <v>0.2</v>
          </cell>
          <cell r="T92">
            <v>0.1</v>
          </cell>
          <cell r="U92">
            <v>8262000</v>
          </cell>
          <cell r="V92">
            <v>16308000</v>
          </cell>
          <cell r="W92">
            <v>29592000</v>
          </cell>
          <cell r="Y92">
            <v>2295000</v>
          </cell>
          <cell r="Z92">
            <v>9180000</v>
          </cell>
          <cell r="AA92">
            <v>28674000</v>
          </cell>
          <cell r="AB92">
            <v>10341000</v>
          </cell>
          <cell r="AC92">
            <v>35559000</v>
          </cell>
        </row>
        <row r="93">
          <cell r="G93" t="str">
            <v>신선세선기 (10-11호기)</v>
          </cell>
          <cell r="H93" t="str">
            <v>22DIES(2대) 0.32-0.1mm</v>
          </cell>
          <cell r="I93" t="str">
            <v>신아전기</v>
          </cell>
          <cell r="J93">
            <v>2</v>
          </cell>
          <cell r="K93" t="str">
            <v>대</v>
          </cell>
          <cell r="L93">
            <v>851101</v>
          </cell>
          <cell r="M93">
            <v>2</v>
          </cell>
          <cell r="N93">
            <v>10</v>
          </cell>
          <cell r="O93">
            <v>9538000</v>
          </cell>
          <cell r="P93">
            <v>-9538000</v>
          </cell>
          <cell r="Q93" t="str">
            <v xml:space="preserve">                                4292100</v>
          </cell>
          <cell r="R93" t="str">
            <v xml:space="preserve"> </v>
          </cell>
          <cell r="S93">
            <v>0.5</v>
          </cell>
          <cell r="T93">
            <v>0.1</v>
          </cell>
          <cell r="U93">
            <v>0</v>
          </cell>
          <cell r="W93">
            <v>0</v>
          </cell>
          <cell r="Y93">
            <v>0</v>
          </cell>
          <cell r="Z93">
            <v>0</v>
          </cell>
          <cell r="AA93">
            <v>0</v>
          </cell>
          <cell r="AC93">
            <v>0</v>
          </cell>
        </row>
        <row r="94">
          <cell r="G94" t="str">
            <v>JELLY충진기</v>
          </cell>
          <cell r="H94" t="str">
            <v>120 L/MIN,20KG/CM3</v>
          </cell>
          <cell r="I94" t="str">
            <v>신아전기</v>
          </cell>
          <cell r="J94">
            <v>1</v>
          </cell>
          <cell r="K94" t="str">
            <v>대</v>
          </cell>
          <cell r="L94">
            <v>910331</v>
          </cell>
          <cell r="M94">
            <v>4.5999999999999996</v>
          </cell>
          <cell r="N94">
            <v>10</v>
          </cell>
          <cell r="O94">
            <v>116220000</v>
          </cell>
          <cell r="Q94">
            <v>20919600</v>
          </cell>
          <cell r="R94">
            <v>95300400</v>
          </cell>
          <cell r="S94">
            <v>0.2</v>
          </cell>
          <cell r="T94">
            <v>0.1</v>
          </cell>
          <cell r="U94">
            <v>20919600</v>
          </cell>
          <cell r="V94">
            <v>41839200</v>
          </cell>
          <cell r="W94">
            <v>74380800</v>
          </cell>
          <cell r="Y94">
            <v>5811000</v>
          </cell>
          <cell r="Z94">
            <v>23244000</v>
          </cell>
          <cell r="AA94">
            <v>72056400</v>
          </cell>
          <cell r="AB94">
            <v>26730600</v>
          </cell>
          <cell r="AC94">
            <v>89489400</v>
          </cell>
        </row>
        <row r="95">
          <cell r="G95" t="str">
            <v>압출기(com'p)120MM   EXT</v>
          </cell>
          <cell r="H95" t="str">
            <v>2000B/N 240KG/H</v>
          </cell>
          <cell r="I95" t="str">
            <v>동서기공</v>
          </cell>
          <cell r="J95">
            <v>1</v>
          </cell>
          <cell r="K95" t="str">
            <v>대</v>
          </cell>
          <cell r="L95">
            <v>910331</v>
          </cell>
          <cell r="M95">
            <v>4.5999999999999996</v>
          </cell>
          <cell r="N95">
            <v>10</v>
          </cell>
          <cell r="O95">
            <v>61380000</v>
          </cell>
          <cell r="Q95">
            <v>11048400</v>
          </cell>
          <cell r="R95">
            <v>50331600</v>
          </cell>
          <cell r="S95">
            <v>0.2</v>
          </cell>
          <cell r="T95">
            <v>0.1</v>
          </cell>
          <cell r="U95">
            <v>11048400</v>
          </cell>
          <cell r="V95">
            <v>22096800</v>
          </cell>
          <cell r="W95">
            <v>39283200</v>
          </cell>
          <cell r="Y95">
            <v>3069000</v>
          </cell>
          <cell r="Z95">
            <v>12276000</v>
          </cell>
          <cell r="AA95">
            <v>38055600</v>
          </cell>
          <cell r="AB95">
            <v>14117400</v>
          </cell>
          <cell r="AC95">
            <v>47262600</v>
          </cell>
        </row>
        <row r="96">
          <cell r="G96" t="str">
            <v>연선기 18B/O UNIT</v>
          </cell>
          <cell r="H96" t="str">
            <v>25-70mm600회전 25RPM</v>
          </cell>
          <cell r="I96" t="str">
            <v>신일기계</v>
          </cell>
          <cell r="J96">
            <v>1</v>
          </cell>
          <cell r="K96" t="str">
            <v>대</v>
          </cell>
          <cell r="L96">
            <v>910331</v>
          </cell>
          <cell r="M96">
            <v>4.5999999999999996</v>
          </cell>
          <cell r="N96">
            <v>10</v>
          </cell>
          <cell r="O96">
            <v>111750000</v>
          </cell>
          <cell r="Q96">
            <v>20115000</v>
          </cell>
          <cell r="R96">
            <v>91635000</v>
          </cell>
          <cell r="S96">
            <v>0.2</v>
          </cell>
          <cell r="T96">
            <v>0.1</v>
          </cell>
          <cell r="U96">
            <v>20115000</v>
          </cell>
          <cell r="V96">
            <v>40230000</v>
          </cell>
          <cell r="W96">
            <v>71520000</v>
          </cell>
          <cell r="Y96">
            <v>5587500</v>
          </cell>
          <cell r="Z96">
            <v>22350000</v>
          </cell>
          <cell r="AA96">
            <v>69285000</v>
          </cell>
          <cell r="AB96">
            <v>25702500</v>
          </cell>
          <cell r="AC96">
            <v>86047500</v>
          </cell>
        </row>
        <row r="97">
          <cell r="G97" t="str">
            <v>롯드신선기11DIES 8.5MM-3.2MM(용접기)</v>
          </cell>
          <cell r="H97" t="str">
            <v>11다이스 17호기          780301</v>
          </cell>
          <cell r="I97" t="str">
            <v>선일기계(광동기계)</v>
          </cell>
          <cell r="J97">
            <v>1</v>
          </cell>
          <cell r="K97" t="str">
            <v>대</v>
          </cell>
          <cell r="L97">
            <v>861030</v>
          </cell>
          <cell r="M97">
            <v>2</v>
          </cell>
          <cell r="N97">
            <v>10</v>
          </cell>
          <cell r="O97">
            <v>28718000</v>
          </cell>
          <cell r="Q97">
            <v>12923100</v>
          </cell>
          <cell r="R97">
            <v>15794900</v>
          </cell>
          <cell r="S97">
            <v>0.5</v>
          </cell>
          <cell r="T97">
            <v>0.1</v>
          </cell>
          <cell r="U97">
            <v>12923100</v>
          </cell>
          <cell r="V97">
            <v>25846200</v>
          </cell>
          <cell r="W97">
            <v>2871800</v>
          </cell>
          <cell r="Y97">
            <v>1435900</v>
          </cell>
          <cell r="Z97">
            <v>15794900</v>
          </cell>
          <cell r="AA97">
            <v>0</v>
          </cell>
          <cell r="AB97">
            <v>14359000</v>
          </cell>
          <cell r="AC97">
            <v>14359000</v>
          </cell>
        </row>
        <row r="98">
          <cell r="G98" t="str">
            <v>2개연기(HIGH SPEE  D TWIST M/C)</v>
          </cell>
          <cell r="H98" t="str">
            <v>500MM 2000RPM</v>
          </cell>
          <cell r="I98" t="str">
            <v>HAMANA(JAPAN)</v>
          </cell>
          <cell r="J98">
            <v>4</v>
          </cell>
          <cell r="K98" t="str">
            <v>대</v>
          </cell>
          <cell r="L98">
            <v>910331</v>
          </cell>
          <cell r="M98">
            <v>4.5999999999999996</v>
          </cell>
          <cell r="N98">
            <v>10</v>
          </cell>
          <cell r="O98">
            <v>165391000</v>
          </cell>
          <cell r="P98">
            <v>4350000</v>
          </cell>
          <cell r="Q98">
            <v>29770380</v>
          </cell>
          <cell r="R98">
            <v>139970620</v>
          </cell>
          <cell r="S98">
            <v>0.2</v>
          </cell>
          <cell r="T98">
            <v>0.1</v>
          </cell>
          <cell r="U98">
            <v>30553380</v>
          </cell>
          <cell r="V98">
            <v>60323760</v>
          </cell>
          <cell r="W98">
            <v>109417240</v>
          </cell>
          <cell r="Y98">
            <v>8487050</v>
          </cell>
          <cell r="Z98">
            <v>33948200</v>
          </cell>
          <cell r="AA98">
            <v>106022420</v>
          </cell>
          <cell r="AB98">
            <v>38257430</v>
          </cell>
          <cell r="AC98">
            <v>131483570</v>
          </cell>
        </row>
        <row r="99">
          <cell r="G99" t="str">
            <v>집합연선기 104Drum Twist(940426)</v>
          </cell>
          <cell r="H99" t="str">
            <v>80.4-0.9mm 150RPM</v>
          </cell>
          <cell r="I99" t="str">
            <v>신일기계</v>
          </cell>
          <cell r="J99">
            <v>1</v>
          </cell>
          <cell r="K99" t="str">
            <v>대</v>
          </cell>
          <cell r="L99">
            <v>910331</v>
          </cell>
          <cell r="M99">
            <v>4.5999999999999996</v>
          </cell>
          <cell r="N99">
            <v>10</v>
          </cell>
          <cell r="O99">
            <v>147510000</v>
          </cell>
          <cell r="Q99">
            <v>26551800</v>
          </cell>
          <cell r="R99">
            <v>120958200</v>
          </cell>
          <cell r="S99">
            <v>0.2</v>
          </cell>
          <cell r="T99">
            <v>0.1</v>
          </cell>
          <cell r="U99">
            <v>26551800</v>
          </cell>
          <cell r="V99">
            <v>53103600</v>
          </cell>
          <cell r="W99">
            <v>94406400</v>
          </cell>
          <cell r="Y99">
            <v>7375500</v>
          </cell>
          <cell r="Z99">
            <v>29502000</v>
          </cell>
          <cell r="AA99">
            <v>91456200</v>
          </cell>
          <cell r="AB99">
            <v>33927300</v>
          </cell>
          <cell r="AC99">
            <v>113582700</v>
          </cell>
        </row>
        <row r="100">
          <cell r="G100" t="str">
            <v>Foam Skin LINE</v>
          </cell>
          <cell r="H100" t="str">
            <v>2400m/min2호기$285,000</v>
          </cell>
          <cell r="I100" t="str">
            <v>KOBE STEEL(JAPAN)</v>
          </cell>
          <cell r="J100">
            <v>1</v>
          </cell>
          <cell r="K100" t="str">
            <v>대</v>
          </cell>
          <cell r="L100">
            <v>910331</v>
          </cell>
          <cell r="M100">
            <v>4.5999999999999996</v>
          </cell>
          <cell r="N100">
            <v>10</v>
          </cell>
          <cell r="O100">
            <v>352870042</v>
          </cell>
          <cell r="Q100">
            <v>63516608</v>
          </cell>
          <cell r="R100">
            <v>289353434</v>
          </cell>
          <cell r="S100">
            <v>0.2</v>
          </cell>
          <cell r="T100">
            <v>0.1</v>
          </cell>
          <cell r="U100">
            <v>63516608</v>
          </cell>
          <cell r="V100">
            <v>127033216</v>
          </cell>
          <cell r="W100">
            <v>225836826</v>
          </cell>
          <cell r="Y100">
            <v>17643502</v>
          </cell>
          <cell r="Z100">
            <v>70574008</v>
          </cell>
          <cell r="AA100">
            <v>218779426</v>
          </cell>
          <cell r="AB100">
            <v>81160110</v>
          </cell>
          <cell r="AC100">
            <v>271709932</v>
          </cell>
        </row>
        <row r="101">
          <cell r="G101" t="str">
            <v>압출기(40MM+70MM EXT)</v>
          </cell>
          <cell r="H101" t="str">
            <v>70MM EXT 650mm 16kg/h</v>
          </cell>
          <cell r="I101" t="str">
            <v>유신기계</v>
          </cell>
          <cell r="J101">
            <v>1</v>
          </cell>
          <cell r="K101" t="str">
            <v>대</v>
          </cell>
          <cell r="L101">
            <v>910408</v>
          </cell>
          <cell r="M101">
            <v>4.5999999999999996</v>
          </cell>
          <cell r="N101">
            <v>10</v>
          </cell>
          <cell r="O101">
            <v>40920000</v>
          </cell>
          <cell r="Q101">
            <v>7365600</v>
          </cell>
          <cell r="R101">
            <v>33554400</v>
          </cell>
          <cell r="S101">
            <v>0.2</v>
          </cell>
          <cell r="T101">
            <v>0.1</v>
          </cell>
          <cell r="U101">
            <v>7365600</v>
          </cell>
          <cell r="V101">
            <v>14731200</v>
          </cell>
          <cell r="W101">
            <v>26188800</v>
          </cell>
          <cell r="Y101">
            <v>2046000</v>
          </cell>
          <cell r="Z101">
            <v>8184000</v>
          </cell>
          <cell r="AA101">
            <v>25370400</v>
          </cell>
          <cell r="AB101">
            <v>9411600</v>
          </cell>
          <cell r="AC101">
            <v>31508400</v>
          </cell>
        </row>
        <row r="102">
          <cell r="G102" t="str">
            <v>인장시험기</v>
          </cell>
          <cell r="H102" t="str">
            <v>36TON 150MM</v>
          </cell>
          <cell r="I102" t="str">
            <v>대경산기</v>
          </cell>
          <cell r="J102">
            <v>1</v>
          </cell>
          <cell r="K102" t="str">
            <v>대</v>
          </cell>
          <cell r="L102">
            <v>910413</v>
          </cell>
          <cell r="M102">
            <v>4.5999999999999996</v>
          </cell>
          <cell r="N102">
            <v>10</v>
          </cell>
          <cell r="O102">
            <v>1475000</v>
          </cell>
          <cell r="Q102">
            <v>265500</v>
          </cell>
          <cell r="R102">
            <v>1209500</v>
          </cell>
          <cell r="S102">
            <v>0.2</v>
          </cell>
          <cell r="T102">
            <v>0.1</v>
          </cell>
          <cell r="U102">
            <v>265500</v>
          </cell>
          <cell r="V102">
            <v>531000</v>
          </cell>
          <cell r="W102">
            <v>944000</v>
          </cell>
          <cell r="Y102">
            <v>73750</v>
          </cell>
          <cell r="Z102">
            <v>295000</v>
          </cell>
          <cell r="AA102">
            <v>914500</v>
          </cell>
          <cell r="AB102">
            <v>339250</v>
          </cell>
          <cell r="AC102">
            <v>1135750</v>
          </cell>
        </row>
        <row r="103">
          <cell r="G103" t="str">
            <v>인장시험기</v>
          </cell>
          <cell r="H103" t="str">
            <v>60TON 200MM</v>
          </cell>
          <cell r="I103" t="str">
            <v>대경산기</v>
          </cell>
          <cell r="J103">
            <v>1</v>
          </cell>
          <cell r="K103" t="str">
            <v>대</v>
          </cell>
          <cell r="L103">
            <v>910413</v>
          </cell>
          <cell r="M103">
            <v>4.5999999999999996</v>
          </cell>
          <cell r="N103">
            <v>10</v>
          </cell>
          <cell r="O103">
            <v>1609000</v>
          </cell>
          <cell r="Q103">
            <v>289620</v>
          </cell>
          <cell r="R103">
            <v>1319380</v>
          </cell>
          <cell r="S103">
            <v>0.2</v>
          </cell>
          <cell r="T103">
            <v>0.1</v>
          </cell>
          <cell r="U103">
            <v>289620</v>
          </cell>
          <cell r="V103">
            <v>579240</v>
          </cell>
          <cell r="W103">
            <v>1029760</v>
          </cell>
          <cell r="Y103">
            <v>80450</v>
          </cell>
          <cell r="Z103">
            <v>321800</v>
          </cell>
          <cell r="AA103">
            <v>997580</v>
          </cell>
          <cell r="AB103">
            <v>370070</v>
          </cell>
          <cell r="AC103">
            <v>1238930</v>
          </cell>
        </row>
        <row r="104">
          <cell r="G104" t="str">
            <v>AUTO MEASURING SY   STEM</v>
          </cell>
          <cell r="H104" t="str">
            <v>DCM CMX-2PCX(2710-220)</v>
          </cell>
          <cell r="I104" t="str">
            <v>DCM,U.S.A</v>
          </cell>
          <cell r="J104">
            <v>1</v>
          </cell>
          <cell r="K104" t="str">
            <v>대</v>
          </cell>
          <cell r="L104">
            <v>910424</v>
          </cell>
          <cell r="M104">
            <v>4.5999999999999996</v>
          </cell>
          <cell r="N104">
            <v>10</v>
          </cell>
          <cell r="O104">
            <v>151745000</v>
          </cell>
          <cell r="Q104">
            <v>27314100</v>
          </cell>
          <cell r="R104">
            <v>124430900</v>
          </cell>
          <cell r="S104">
            <v>0.2</v>
          </cell>
          <cell r="T104">
            <v>0.1</v>
          </cell>
          <cell r="U104">
            <v>27314100</v>
          </cell>
          <cell r="V104">
            <v>54628200</v>
          </cell>
          <cell r="W104">
            <v>97116800</v>
          </cell>
          <cell r="Y104">
            <v>7587250</v>
          </cell>
          <cell r="Z104">
            <v>30349000</v>
          </cell>
          <cell r="AA104">
            <v>94081900</v>
          </cell>
          <cell r="AB104">
            <v>34901350</v>
          </cell>
          <cell r="AC104">
            <v>116843650</v>
          </cell>
        </row>
        <row r="105">
          <cell r="G105" t="str">
            <v>레오메타(Rheo)</v>
          </cell>
          <cell r="H105" t="str">
            <v>4.2KG/CM2 A4K-Y3022</v>
          </cell>
          <cell r="I105" t="str">
            <v>HOKUSHIN(JAPAN)</v>
          </cell>
          <cell r="J105">
            <v>1</v>
          </cell>
          <cell r="K105" t="str">
            <v>대</v>
          </cell>
          <cell r="L105">
            <v>870701</v>
          </cell>
          <cell r="M105">
            <v>2</v>
          </cell>
          <cell r="N105">
            <v>10</v>
          </cell>
          <cell r="O105">
            <v>8178000</v>
          </cell>
          <cell r="Q105">
            <v>3680100</v>
          </cell>
          <cell r="R105">
            <v>4497900</v>
          </cell>
          <cell r="S105">
            <v>0.5</v>
          </cell>
          <cell r="T105">
            <v>0.1</v>
          </cell>
          <cell r="U105">
            <v>3680100</v>
          </cell>
          <cell r="V105">
            <v>7360200</v>
          </cell>
          <cell r="W105">
            <v>817800</v>
          </cell>
          <cell r="Y105">
            <v>408900</v>
          </cell>
          <cell r="Z105">
            <v>4497900</v>
          </cell>
          <cell r="AA105">
            <v>0</v>
          </cell>
          <cell r="AB105">
            <v>4089000</v>
          </cell>
          <cell r="AC105">
            <v>4089000</v>
          </cell>
        </row>
        <row r="106">
          <cell r="G106" t="str">
            <v>고무노화시험기</v>
          </cell>
          <cell r="H106" t="str">
            <v>SA-32 2.5KVA</v>
          </cell>
          <cell r="I106" t="str">
            <v>광명과학사</v>
          </cell>
          <cell r="J106">
            <v>1</v>
          </cell>
          <cell r="K106" t="str">
            <v>대</v>
          </cell>
          <cell r="L106">
            <v>910425</v>
          </cell>
          <cell r="M106">
            <v>4.5999999999999996</v>
          </cell>
          <cell r="N106">
            <v>10</v>
          </cell>
          <cell r="O106">
            <v>1637000</v>
          </cell>
          <cell r="Q106">
            <v>294660</v>
          </cell>
          <cell r="R106">
            <v>1342340</v>
          </cell>
          <cell r="S106">
            <v>0.2</v>
          </cell>
          <cell r="T106">
            <v>0.1</v>
          </cell>
          <cell r="U106">
            <v>294660</v>
          </cell>
          <cell r="V106">
            <v>589320</v>
          </cell>
          <cell r="W106">
            <v>1047680</v>
          </cell>
          <cell r="Y106">
            <v>81850</v>
          </cell>
          <cell r="Z106">
            <v>327400</v>
          </cell>
          <cell r="AA106">
            <v>1014940</v>
          </cell>
          <cell r="AB106">
            <v>376510</v>
          </cell>
          <cell r="AC106">
            <v>1260490</v>
          </cell>
        </row>
        <row r="107">
          <cell r="G107" t="str">
            <v>인장시험기(디지탈   )</v>
          </cell>
          <cell r="H107" t="str">
            <v>SGT-100 100KG(2단)</v>
          </cell>
          <cell r="I107" t="str">
            <v>대영정밀</v>
          </cell>
          <cell r="J107">
            <v>1</v>
          </cell>
          <cell r="K107" t="str">
            <v>대</v>
          </cell>
          <cell r="L107">
            <v>910514</v>
          </cell>
          <cell r="M107">
            <v>4.5999999999999996</v>
          </cell>
          <cell r="N107">
            <v>10</v>
          </cell>
          <cell r="O107">
            <v>5797000</v>
          </cell>
          <cell r="Q107">
            <v>1043460</v>
          </cell>
          <cell r="R107">
            <v>4753540</v>
          </cell>
          <cell r="S107">
            <v>0.2</v>
          </cell>
          <cell r="T107">
            <v>0.1</v>
          </cell>
          <cell r="U107">
            <v>1043460</v>
          </cell>
          <cell r="V107">
            <v>2086920</v>
          </cell>
          <cell r="W107">
            <v>3710080</v>
          </cell>
          <cell r="Y107">
            <v>289850</v>
          </cell>
          <cell r="Z107">
            <v>1159400</v>
          </cell>
          <cell r="AA107">
            <v>3594140</v>
          </cell>
          <cell r="AB107">
            <v>1333310</v>
          </cell>
          <cell r="AC107">
            <v>4463690</v>
          </cell>
        </row>
        <row r="108">
          <cell r="G108" t="str">
            <v>DOUBLE BRIDGE            더블브릿지</v>
          </cell>
          <cell r="H108" t="str">
            <v>1-10㏀(57F00244)</v>
          </cell>
          <cell r="I108" t="str">
            <v>JAPAN(갑진상사)</v>
          </cell>
          <cell r="J108">
            <v>1</v>
          </cell>
          <cell r="K108" t="str">
            <v>대</v>
          </cell>
          <cell r="L108">
            <v>910517</v>
          </cell>
          <cell r="M108">
            <v>4.5999999999999996</v>
          </cell>
          <cell r="N108">
            <v>10</v>
          </cell>
          <cell r="O108">
            <v>307000</v>
          </cell>
          <cell r="Q108">
            <v>55260</v>
          </cell>
          <cell r="R108">
            <v>251740</v>
          </cell>
          <cell r="S108">
            <v>0.2</v>
          </cell>
          <cell r="T108">
            <v>0.1</v>
          </cell>
          <cell r="U108">
            <v>55260</v>
          </cell>
          <cell r="V108">
            <v>110520</v>
          </cell>
          <cell r="W108">
            <v>196480</v>
          </cell>
          <cell r="Y108">
            <v>15350</v>
          </cell>
          <cell r="Z108">
            <v>61400</v>
          </cell>
          <cell r="AA108">
            <v>190340</v>
          </cell>
          <cell r="AB108">
            <v>70610</v>
          </cell>
          <cell r="AC108">
            <v>236390</v>
          </cell>
        </row>
        <row r="109">
          <cell r="G109" t="str">
            <v>경도시험기(ROCKWE   LL)</v>
          </cell>
          <cell r="H109" t="str">
            <v>0-500KG (349414)     150KG</v>
          </cell>
          <cell r="I109" t="str">
            <v>신풍공작</v>
          </cell>
          <cell r="J109">
            <v>1</v>
          </cell>
          <cell r="K109" t="str">
            <v>대</v>
          </cell>
          <cell r="L109">
            <v>910530</v>
          </cell>
          <cell r="M109">
            <v>4.5999999999999996</v>
          </cell>
          <cell r="N109">
            <v>10</v>
          </cell>
          <cell r="O109">
            <v>853000</v>
          </cell>
          <cell r="Q109">
            <v>153540</v>
          </cell>
          <cell r="R109">
            <v>699460</v>
          </cell>
          <cell r="S109">
            <v>0.2</v>
          </cell>
          <cell r="T109">
            <v>0.1</v>
          </cell>
          <cell r="U109">
            <v>153540</v>
          </cell>
          <cell r="V109">
            <v>307080</v>
          </cell>
          <cell r="W109">
            <v>545920</v>
          </cell>
          <cell r="Y109">
            <v>42650</v>
          </cell>
          <cell r="Z109">
            <v>170600</v>
          </cell>
          <cell r="AA109">
            <v>528860</v>
          </cell>
          <cell r="AB109">
            <v>196190</v>
          </cell>
          <cell r="AC109">
            <v>656810</v>
          </cell>
        </row>
        <row r="110">
          <cell r="G110" t="str">
            <v>인장시험기          (940613)</v>
          </cell>
          <cell r="H110" t="str">
            <v>400T 380MM 10HP</v>
          </cell>
          <cell r="I110" t="str">
            <v>동양유압(정산기계)</v>
          </cell>
          <cell r="J110">
            <v>1</v>
          </cell>
          <cell r="K110" t="str">
            <v>SET</v>
          </cell>
          <cell r="L110">
            <v>911218</v>
          </cell>
          <cell r="M110">
            <v>4.5999999999999996</v>
          </cell>
          <cell r="N110">
            <v>10</v>
          </cell>
          <cell r="O110">
            <v>10281000</v>
          </cell>
          <cell r="Q110">
            <v>1850580</v>
          </cell>
          <cell r="R110">
            <v>8430420</v>
          </cell>
          <cell r="S110">
            <v>0.2</v>
          </cell>
          <cell r="T110">
            <v>0.1</v>
          </cell>
          <cell r="U110">
            <v>1850580</v>
          </cell>
          <cell r="V110">
            <v>3701160</v>
          </cell>
          <cell r="W110">
            <v>6579840</v>
          </cell>
          <cell r="Y110">
            <v>514050</v>
          </cell>
          <cell r="Z110">
            <v>2056200</v>
          </cell>
          <cell r="AA110">
            <v>6374220</v>
          </cell>
          <cell r="AB110">
            <v>2364630</v>
          </cell>
          <cell r="AC110">
            <v>7916370</v>
          </cell>
        </row>
        <row r="111">
          <cell r="G111" t="str">
            <v>고온수조시험기3조</v>
          </cell>
          <cell r="H111" t="str">
            <v>0-100 OC</v>
          </cell>
          <cell r="I111" t="str">
            <v>대붕전기</v>
          </cell>
          <cell r="J111">
            <v>1</v>
          </cell>
          <cell r="K111" t="str">
            <v>대</v>
          </cell>
          <cell r="L111">
            <v>911220</v>
          </cell>
          <cell r="M111">
            <v>4.5999999999999996</v>
          </cell>
          <cell r="N111">
            <v>10</v>
          </cell>
          <cell r="O111">
            <v>836000</v>
          </cell>
          <cell r="Q111">
            <v>150480</v>
          </cell>
          <cell r="R111">
            <v>685520</v>
          </cell>
          <cell r="S111">
            <v>0.2</v>
          </cell>
          <cell r="T111">
            <v>0.1</v>
          </cell>
          <cell r="U111">
            <v>150480</v>
          </cell>
          <cell r="V111">
            <v>300960</v>
          </cell>
          <cell r="W111">
            <v>535040</v>
          </cell>
          <cell r="Y111">
            <v>41800</v>
          </cell>
          <cell r="Z111">
            <v>167200</v>
          </cell>
          <cell r="AA111">
            <v>518320</v>
          </cell>
          <cell r="AB111">
            <v>192280</v>
          </cell>
          <cell r="AC111">
            <v>643720</v>
          </cell>
        </row>
        <row r="112">
          <cell r="G112" t="str">
            <v>내전압시험기3조</v>
          </cell>
          <cell r="H112" t="str">
            <v>0-100KV 60516</v>
          </cell>
          <cell r="I112" t="str">
            <v>대붕전기</v>
          </cell>
          <cell r="J112">
            <v>1</v>
          </cell>
          <cell r="K112" t="str">
            <v>대</v>
          </cell>
          <cell r="L112">
            <v>911220</v>
          </cell>
          <cell r="M112">
            <v>4.5999999999999996</v>
          </cell>
          <cell r="N112">
            <v>10</v>
          </cell>
          <cell r="O112">
            <v>1313000</v>
          </cell>
          <cell r="Q112">
            <v>236340</v>
          </cell>
          <cell r="R112">
            <v>1076660</v>
          </cell>
          <cell r="S112">
            <v>0.2</v>
          </cell>
          <cell r="T112">
            <v>0.1</v>
          </cell>
          <cell r="U112">
            <v>236340</v>
          </cell>
          <cell r="V112">
            <v>472680</v>
          </cell>
          <cell r="W112">
            <v>840320</v>
          </cell>
          <cell r="Y112">
            <v>65650</v>
          </cell>
          <cell r="Z112">
            <v>262600</v>
          </cell>
          <cell r="AA112">
            <v>814060</v>
          </cell>
          <cell r="AB112">
            <v>301990</v>
          </cell>
          <cell r="AC112">
            <v>1011010</v>
          </cell>
        </row>
        <row r="113">
          <cell r="G113" t="str">
            <v>가열변형시험기3조</v>
          </cell>
          <cell r="H113" t="str">
            <v>0-200 OC (DB300)</v>
          </cell>
          <cell r="I113" t="str">
            <v>대붕전기</v>
          </cell>
          <cell r="J113">
            <v>1</v>
          </cell>
          <cell r="K113" t="str">
            <v>대</v>
          </cell>
          <cell r="L113">
            <v>911220</v>
          </cell>
          <cell r="M113">
            <v>4.5999999999999996</v>
          </cell>
          <cell r="N113">
            <v>10</v>
          </cell>
          <cell r="O113">
            <v>2388000</v>
          </cell>
          <cell r="Q113">
            <v>429840</v>
          </cell>
          <cell r="R113">
            <v>1958160</v>
          </cell>
          <cell r="S113">
            <v>0.2</v>
          </cell>
          <cell r="T113">
            <v>0.1</v>
          </cell>
          <cell r="U113">
            <v>429840</v>
          </cell>
          <cell r="V113">
            <v>859680</v>
          </cell>
          <cell r="W113">
            <v>1528320</v>
          </cell>
          <cell r="Y113">
            <v>119400</v>
          </cell>
          <cell r="Z113">
            <v>477600</v>
          </cell>
          <cell r="AA113">
            <v>1480560</v>
          </cell>
          <cell r="AB113">
            <v>549240</v>
          </cell>
          <cell r="AC113">
            <v>1838760</v>
          </cell>
        </row>
        <row r="114">
          <cell r="G114" t="str">
            <v>압출기(40MM+70MM EXT)</v>
          </cell>
          <cell r="H114" t="str">
            <v xml:space="preserve">40MM EXT 630mm </v>
          </cell>
          <cell r="I114" t="str">
            <v>유신기계</v>
          </cell>
          <cell r="J114">
            <v>1</v>
          </cell>
          <cell r="K114" t="str">
            <v>SET</v>
          </cell>
          <cell r="L114">
            <v>911231</v>
          </cell>
          <cell r="M114">
            <v>4.5999999999999996</v>
          </cell>
          <cell r="N114">
            <v>10</v>
          </cell>
          <cell r="O114">
            <v>24278000</v>
          </cell>
          <cell r="Q114">
            <v>4370040</v>
          </cell>
          <cell r="R114">
            <v>19907960</v>
          </cell>
          <cell r="S114">
            <v>0.2</v>
          </cell>
          <cell r="T114">
            <v>0.1</v>
          </cell>
          <cell r="U114">
            <v>4370040</v>
          </cell>
          <cell r="V114">
            <v>8740080</v>
          </cell>
          <cell r="W114">
            <v>15537920</v>
          </cell>
          <cell r="Y114">
            <v>1213900</v>
          </cell>
          <cell r="Z114">
            <v>4855600</v>
          </cell>
          <cell r="AA114">
            <v>15052360</v>
          </cell>
          <cell r="AB114">
            <v>5583940</v>
          </cell>
          <cell r="AC114">
            <v>18694060</v>
          </cell>
        </row>
        <row r="115">
          <cell r="G115" t="str">
            <v>2개연선기(940103)</v>
          </cell>
          <cell r="H115" t="str">
            <v>500MM 360m/min1750RPM</v>
          </cell>
          <cell r="I115" t="str">
            <v>신일기계</v>
          </cell>
          <cell r="J115">
            <v>2</v>
          </cell>
          <cell r="K115" t="str">
            <v>대</v>
          </cell>
          <cell r="L115">
            <v>911231</v>
          </cell>
          <cell r="M115">
            <v>4.5999999999999996</v>
          </cell>
          <cell r="N115">
            <v>10</v>
          </cell>
          <cell r="O115">
            <v>45090000</v>
          </cell>
          <cell r="Q115">
            <v>8116200</v>
          </cell>
          <cell r="R115">
            <v>36973800</v>
          </cell>
          <cell r="S115">
            <v>0.2</v>
          </cell>
          <cell r="T115">
            <v>0.1</v>
          </cell>
          <cell r="U115">
            <v>8116200</v>
          </cell>
          <cell r="V115">
            <v>16232400</v>
          </cell>
          <cell r="W115">
            <v>28857600</v>
          </cell>
          <cell r="Y115">
            <v>2254500</v>
          </cell>
          <cell r="Z115">
            <v>9018000</v>
          </cell>
          <cell r="AA115">
            <v>27955800</v>
          </cell>
          <cell r="AB115">
            <v>10370700</v>
          </cell>
          <cell r="AC115">
            <v>34719300</v>
          </cell>
        </row>
        <row r="116">
          <cell r="G116" t="str">
            <v>LOADING CYCLE TES    TER</v>
          </cell>
          <cell r="H116" t="str">
            <v>3-30V/3,000A 90KVA(9310134)</v>
          </cell>
          <cell r="I116" t="str">
            <v>덕영전기</v>
          </cell>
          <cell r="J116">
            <v>1</v>
          </cell>
          <cell r="K116" t="str">
            <v>SET</v>
          </cell>
          <cell r="L116">
            <v>931026</v>
          </cell>
          <cell r="M116">
            <v>4.5999999999999996</v>
          </cell>
          <cell r="N116">
            <v>10</v>
          </cell>
          <cell r="O116">
            <v>11136000</v>
          </cell>
          <cell r="Q116">
            <v>2004480</v>
          </cell>
          <cell r="R116">
            <v>9131520</v>
          </cell>
          <cell r="S116">
            <v>0.2</v>
          </cell>
          <cell r="T116">
            <v>0.1</v>
          </cell>
          <cell r="U116">
            <v>2004480</v>
          </cell>
          <cell r="V116">
            <v>4008960</v>
          </cell>
          <cell r="W116">
            <v>7127040</v>
          </cell>
          <cell r="Y116">
            <v>556800</v>
          </cell>
          <cell r="Z116">
            <v>2227200</v>
          </cell>
          <cell r="AA116">
            <v>6904320</v>
          </cell>
          <cell r="AB116">
            <v>2561280</v>
          </cell>
          <cell r="AC116">
            <v>8574720</v>
          </cell>
        </row>
        <row r="117">
          <cell r="G117" t="str">
            <v>절연저항측정기SM-8205</v>
          </cell>
          <cell r="H117" t="str">
            <v>0.25MOHM-200KOHM</v>
          </cell>
          <cell r="I117" t="str">
            <v>JAPAN(갑진상사)</v>
          </cell>
          <cell r="J117">
            <v>1</v>
          </cell>
          <cell r="K117" t="str">
            <v>대</v>
          </cell>
          <cell r="L117">
            <v>940314</v>
          </cell>
          <cell r="M117">
            <v>4.5999999999999996</v>
          </cell>
          <cell r="N117">
            <v>10</v>
          </cell>
          <cell r="O117">
            <v>1136000</v>
          </cell>
          <cell r="Q117">
            <v>204480</v>
          </cell>
          <cell r="R117">
            <v>931520</v>
          </cell>
          <cell r="S117">
            <v>0.2</v>
          </cell>
          <cell r="T117">
            <v>0.1</v>
          </cell>
          <cell r="U117">
            <v>204480</v>
          </cell>
          <cell r="V117">
            <v>408960</v>
          </cell>
          <cell r="W117">
            <v>727040</v>
          </cell>
          <cell r="Y117">
            <v>56800</v>
          </cell>
          <cell r="Z117">
            <v>227200</v>
          </cell>
          <cell r="AA117">
            <v>704320</v>
          </cell>
          <cell r="AB117">
            <v>261280</v>
          </cell>
          <cell r="AC117">
            <v>874720</v>
          </cell>
        </row>
        <row r="118">
          <cell r="G118" t="str">
            <v>건조기 COMPOUND</v>
          </cell>
          <cell r="H118" t="str">
            <v>500KG</v>
          </cell>
          <cell r="I118" t="str">
            <v>아성전기기계</v>
          </cell>
          <cell r="J118">
            <v>1</v>
          </cell>
          <cell r="K118" t="str">
            <v>대</v>
          </cell>
          <cell r="L118">
            <v>940822</v>
          </cell>
          <cell r="M118">
            <v>5</v>
          </cell>
          <cell r="N118">
            <v>10</v>
          </cell>
          <cell r="O118">
            <v>1731000</v>
          </cell>
          <cell r="Q118">
            <v>311580</v>
          </cell>
          <cell r="R118">
            <v>1419420</v>
          </cell>
          <cell r="S118">
            <v>0.2</v>
          </cell>
          <cell r="T118">
            <v>0.1</v>
          </cell>
          <cell r="U118">
            <v>311580</v>
          </cell>
          <cell r="V118">
            <v>623160</v>
          </cell>
          <cell r="W118">
            <v>1107840</v>
          </cell>
          <cell r="Y118">
            <v>86550</v>
          </cell>
          <cell r="Z118">
            <v>346200</v>
          </cell>
          <cell r="AA118">
            <v>1073220</v>
          </cell>
          <cell r="AB118">
            <v>398130</v>
          </cell>
          <cell r="AC118">
            <v>1332870</v>
          </cell>
        </row>
        <row r="119">
          <cell r="G119" t="str">
            <v>코로마틱인쇄기</v>
          </cell>
          <cell r="H119" t="str">
            <v>50MM EXT 10-20mm 1Colur</v>
          </cell>
          <cell r="I119" t="str">
            <v>대붕전기</v>
          </cell>
          <cell r="J119">
            <v>1</v>
          </cell>
          <cell r="K119" t="str">
            <v>대</v>
          </cell>
          <cell r="L119">
            <v>900101</v>
          </cell>
          <cell r="M119">
            <v>3.6</v>
          </cell>
          <cell r="N119">
            <v>10</v>
          </cell>
          <cell r="O119">
            <v>3516000</v>
          </cell>
          <cell r="Q119">
            <v>791100</v>
          </cell>
          <cell r="R119">
            <v>2724900</v>
          </cell>
          <cell r="S119">
            <v>0.25</v>
          </cell>
          <cell r="T119">
            <v>0.1</v>
          </cell>
          <cell r="U119">
            <v>791100</v>
          </cell>
          <cell r="V119">
            <v>1582200</v>
          </cell>
          <cell r="W119">
            <v>1933800</v>
          </cell>
          <cell r="Y119">
            <v>175800</v>
          </cell>
          <cell r="Z119">
            <v>879000</v>
          </cell>
          <cell r="AA119">
            <v>1845900</v>
          </cell>
          <cell r="AB119">
            <v>966900</v>
          </cell>
          <cell r="AC119">
            <v>2549100</v>
          </cell>
        </row>
        <row r="120">
          <cell r="G120" t="str">
            <v>AIR COMPRESSURE</v>
          </cell>
          <cell r="H120" t="str">
            <v>AG37-100 50HP 6.4m2/min</v>
          </cell>
          <cell r="I120" t="str">
            <v>아트라스(율진기계)</v>
          </cell>
          <cell r="J120">
            <v>2</v>
          </cell>
          <cell r="K120" t="str">
            <v>대</v>
          </cell>
          <cell r="L120">
            <v>901213</v>
          </cell>
          <cell r="M120">
            <v>3.6</v>
          </cell>
          <cell r="N120">
            <v>10</v>
          </cell>
          <cell r="O120">
            <v>15198000</v>
          </cell>
          <cell r="Q120">
            <v>3419550</v>
          </cell>
          <cell r="R120">
            <v>11778450</v>
          </cell>
          <cell r="S120">
            <v>0.25</v>
          </cell>
          <cell r="T120">
            <v>0.1</v>
          </cell>
          <cell r="U120">
            <v>3419550</v>
          </cell>
          <cell r="V120">
            <v>6839100</v>
          </cell>
          <cell r="W120">
            <v>8358900</v>
          </cell>
          <cell r="Y120">
            <v>759900</v>
          </cell>
          <cell r="Z120">
            <v>3799500</v>
          </cell>
          <cell r="AA120">
            <v>7978950</v>
          </cell>
          <cell r="AB120">
            <v>4179450</v>
          </cell>
          <cell r="AC120">
            <v>11018550</v>
          </cell>
        </row>
        <row r="121">
          <cell r="G121" t="str">
            <v>COOL WELDER(중형)</v>
          </cell>
          <cell r="H121" t="str">
            <v>1.2-2.6MM</v>
          </cell>
          <cell r="J121">
            <v>1</v>
          </cell>
          <cell r="K121" t="str">
            <v>대</v>
          </cell>
          <cell r="L121">
            <v>910417</v>
          </cell>
          <cell r="M121">
            <v>4</v>
          </cell>
          <cell r="N121">
            <v>10</v>
          </cell>
          <cell r="O121">
            <v>546000</v>
          </cell>
          <cell r="Q121">
            <v>122850</v>
          </cell>
          <cell r="R121">
            <v>423150</v>
          </cell>
          <cell r="S121">
            <v>0.25</v>
          </cell>
          <cell r="T121">
            <v>0.1</v>
          </cell>
          <cell r="U121">
            <v>122850</v>
          </cell>
          <cell r="V121">
            <v>245700</v>
          </cell>
          <cell r="W121">
            <v>300300</v>
          </cell>
          <cell r="Y121">
            <v>27300</v>
          </cell>
          <cell r="Z121">
            <v>136500</v>
          </cell>
          <cell r="AA121">
            <v>286650</v>
          </cell>
          <cell r="AB121">
            <v>150150</v>
          </cell>
          <cell r="AC121">
            <v>395850</v>
          </cell>
        </row>
        <row r="122">
          <cell r="G122" t="str">
            <v>편조기 WIRE BRAID   M/C</v>
          </cell>
          <cell r="H122" t="str">
            <v>16추 7-8.5mm</v>
          </cell>
          <cell r="I122" t="str">
            <v>부광기계</v>
          </cell>
          <cell r="J122">
            <v>1</v>
          </cell>
          <cell r="K122" t="str">
            <v>대</v>
          </cell>
          <cell r="L122">
            <v>920113</v>
          </cell>
          <cell r="M122">
            <v>4</v>
          </cell>
          <cell r="N122">
            <v>10</v>
          </cell>
          <cell r="O122">
            <v>378376</v>
          </cell>
          <cell r="Q122">
            <v>85135</v>
          </cell>
          <cell r="R122">
            <v>293241</v>
          </cell>
          <cell r="S122">
            <v>0.25</v>
          </cell>
          <cell r="T122">
            <v>0.1</v>
          </cell>
          <cell r="U122">
            <v>85135</v>
          </cell>
          <cell r="V122">
            <v>170270</v>
          </cell>
          <cell r="W122">
            <v>208106</v>
          </cell>
          <cell r="Y122">
            <v>18919</v>
          </cell>
          <cell r="Z122">
            <v>94594</v>
          </cell>
          <cell r="AA122">
            <v>198647</v>
          </cell>
          <cell r="AB122">
            <v>104054</v>
          </cell>
          <cell r="AC122">
            <v>274322</v>
          </cell>
        </row>
        <row r="123">
          <cell r="G123" t="str">
            <v>6B/O UNIT연선기</v>
          </cell>
          <cell r="H123" t="str">
            <v>60-B 25RPM</v>
          </cell>
          <cell r="I123" t="str">
            <v>신일기계</v>
          </cell>
          <cell r="J123">
            <v>2</v>
          </cell>
          <cell r="K123" t="str">
            <v>대</v>
          </cell>
          <cell r="L123">
            <v>800601</v>
          </cell>
          <cell r="M123">
            <v>3</v>
          </cell>
          <cell r="N123">
            <v>10</v>
          </cell>
          <cell r="O123">
            <v>32297375</v>
          </cell>
          <cell r="Q123">
            <v>9679523</v>
          </cell>
          <cell r="R123">
            <v>22617852</v>
          </cell>
          <cell r="S123">
            <v>0.33300000000000002</v>
          </cell>
          <cell r="T123">
            <v>0.1</v>
          </cell>
          <cell r="U123">
            <v>9679523</v>
          </cell>
          <cell r="V123">
            <v>19359046</v>
          </cell>
          <cell r="W123">
            <v>12938329</v>
          </cell>
          <cell r="Y123">
            <v>1614869</v>
          </cell>
          <cell r="Z123">
            <v>10755026</v>
          </cell>
          <cell r="AA123">
            <v>11862826</v>
          </cell>
          <cell r="AB123">
            <v>11294392</v>
          </cell>
          <cell r="AC123">
            <v>21002983</v>
          </cell>
        </row>
        <row r="124">
          <cell r="G124" t="str">
            <v>압출기 120mm EXT</v>
          </cell>
          <cell r="H124" t="str">
            <v>1600*800MM 350KG/H</v>
          </cell>
          <cell r="I124" t="str">
            <v>국제기계</v>
          </cell>
          <cell r="J124">
            <v>1</v>
          </cell>
          <cell r="K124" t="str">
            <v>대</v>
          </cell>
          <cell r="L124">
            <v>840901</v>
          </cell>
          <cell r="M124">
            <v>3</v>
          </cell>
          <cell r="N124">
            <v>10</v>
          </cell>
          <cell r="O124">
            <v>24480000</v>
          </cell>
          <cell r="Q124">
            <v>7336656</v>
          </cell>
          <cell r="R124">
            <v>17143344</v>
          </cell>
          <cell r="S124">
            <v>0.33300000000000002</v>
          </cell>
          <cell r="T124">
            <v>0.1</v>
          </cell>
          <cell r="U124">
            <v>7336656</v>
          </cell>
          <cell r="V124">
            <v>14673312</v>
          </cell>
          <cell r="W124">
            <v>9806688</v>
          </cell>
          <cell r="Y124">
            <v>1224000</v>
          </cell>
          <cell r="Z124">
            <v>8151840</v>
          </cell>
          <cell r="AA124">
            <v>8991504</v>
          </cell>
          <cell r="AB124">
            <v>8560656</v>
          </cell>
          <cell r="AC124">
            <v>15919344</v>
          </cell>
        </row>
        <row r="125">
          <cell r="G125" t="str">
            <v>압출기(고무)</v>
          </cell>
          <cell r="H125" t="str">
            <v>150MM DC56KW</v>
          </cell>
          <cell r="I125" t="str">
            <v>수도기계</v>
          </cell>
          <cell r="J125">
            <v>1</v>
          </cell>
          <cell r="K125" t="str">
            <v>대</v>
          </cell>
          <cell r="L125">
            <v>880801</v>
          </cell>
          <cell r="M125">
            <v>3</v>
          </cell>
          <cell r="N125">
            <v>10</v>
          </cell>
          <cell r="O125">
            <v>12900000</v>
          </cell>
          <cell r="Q125">
            <v>3866130</v>
          </cell>
          <cell r="R125">
            <v>9033870</v>
          </cell>
          <cell r="S125">
            <v>0.33300000000000002</v>
          </cell>
          <cell r="T125">
            <v>0.1</v>
          </cell>
          <cell r="U125">
            <v>3866130</v>
          </cell>
          <cell r="V125">
            <v>7732260</v>
          </cell>
          <cell r="W125">
            <v>5167740</v>
          </cell>
          <cell r="Y125">
            <v>645000</v>
          </cell>
          <cell r="Z125">
            <v>4295700</v>
          </cell>
          <cell r="AA125">
            <v>4738170</v>
          </cell>
          <cell r="AB125">
            <v>4511130</v>
          </cell>
          <cell r="AC125">
            <v>8388870</v>
          </cell>
        </row>
        <row r="126">
          <cell r="G126" t="str">
            <v>노화시험기</v>
          </cell>
          <cell r="H126" t="str">
            <v>AD-7750B 200HZ-300MHZ</v>
          </cell>
          <cell r="I126" t="str">
            <v>전선조합</v>
          </cell>
          <cell r="J126">
            <v>1</v>
          </cell>
          <cell r="K126" t="str">
            <v>대</v>
          </cell>
          <cell r="L126">
            <v>890601</v>
          </cell>
          <cell r="M126">
            <v>2.6</v>
          </cell>
          <cell r="N126">
            <v>10</v>
          </cell>
          <cell r="O126">
            <v>3012000</v>
          </cell>
          <cell r="Q126">
            <v>902696</v>
          </cell>
          <cell r="R126">
            <v>2109304</v>
          </cell>
          <cell r="S126">
            <v>0.33300000000000002</v>
          </cell>
          <cell r="T126">
            <v>0.1</v>
          </cell>
          <cell r="U126">
            <v>902696</v>
          </cell>
          <cell r="V126">
            <v>1805392</v>
          </cell>
          <cell r="W126">
            <v>1206608</v>
          </cell>
          <cell r="Y126">
            <v>150600</v>
          </cell>
          <cell r="Z126">
            <v>1002996</v>
          </cell>
          <cell r="AA126">
            <v>1106308</v>
          </cell>
          <cell r="AB126">
            <v>1053296</v>
          </cell>
          <cell r="AC126">
            <v>1958704</v>
          </cell>
        </row>
        <row r="127">
          <cell r="G127" t="str">
            <v>연선기(소형튜브라  )</v>
          </cell>
          <cell r="H127" t="str">
            <v>6"(165)*6B 3000RPM</v>
          </cell>
          <cell r="I127" t="str">
            <v>한일선재기계</v>
          </cell>
          <cell r="J127">
            <v>2</v>
          </cell>
          <cell r="K127" t="str">
            <v>대</v>
          </cell>
          <cell r="L127">
            <v>891220</v>
          </cell>
          <cell r="M127">
            <v>3</v>
          </cell>
          <cell r="N127">
            <v>10</v>
          </cell>
          <cell r="O127">
            <v>23084000</v>
          </cell>
          <cell r="Q127">
            <v>6918275</v>
          </cell>
          <cell r="R127">
            <v>16165725</v>
          </cell>
          <cell r="S127">
            <v>0.33300000000000002</v>
          </cell>
          <cell r="T127">
            <v>0.1</v>
          </cell>
          <cell r="U127">
            <v>6918275</v>
          </cell>
          <cell r="V127">
            <v>13836550</v>
          </cell>
          <cell r="W127">
            <v>9247450</v>
          </cell>
          <cell r="Y127">
            <v>1154200</v>
          </cell>
          <cell r="Z127">
            <v>7686972</v>
          </cell>
          <cell r="AA127">
            <v>8478753</v>
          </cell>
          <cell r="AB127">
            <v>8072475</v>
          </cell>
          <cell r="AC127">
            <v>15011525</v>
          </cell>
        </row>
        <row r="128">
          <cell r="G128" t="str">
            <v>연선기(튜브라원통)</v>
          </cell>
          <cell r="H128" t="str">
            <v>520mm*6ea 900m/min 6B/O</v>
          </cell>
          <cell r="I128" t="str">
            <v>선진기계(동방)</v>
          </cell>
          <cell r="J128">
            <v>1</v>
          </cell>
          <cell r="K128" t="str">
            <v>대</v>
          </cell>
          <cell r="L128">
            <v>900501</v>
          </cell>
          <cell r="M128">
            <v>2.6</v>
          </cell>
          <cell r="N128">
            <v>10</v>
          </cell>
          <cell r="O128">
            <v>43780000</v>
          </cell>
          <cell r="Q128">
            <v>13120866</v>
          </cell>
          <cell r="R128">
            <v>30659134</v>
          </cell>
          <cell r="S128">
            <v>0.33300000000000002</v>
          </cell>
          <cell r="T128">
            <v>0.1</v>
          </cell>
          <cell r="U128">
            <v>13120866</v>
          </cell>
          <cell r="V128">
            <v>26241732</v>
          </cell>
          <cell r="W128">
            <v>17538268</v>
          </cell>
          <cell r="Y128">
            <v>2189000</v>
          </cell>
          <cell r="Z128">
            <v>14578740</v>
          </cell>
          <cell r="AA128">
            <v>16080394</v>
          </cell>
          <cell r="AB128">
            <v>15309866</v>
          </cell>
          <cell r="AC128">
            <v>28470134</v>
          </cell>
        </row>
        <row r="129">
          <cell r="G129" t="str">
            <v>고속선반</v>
          </cell>
          <cell r="H129" t="str">
            <v>HL580*1500</v>
          </cell>
          <cell r="I129" t="str">
            <v>화천기계(장성)</v>
          </cell>
          <cell r="J129">
            <v>1</v>
          </cell>
          <cell r="K129" t="str">
            <v>대</v>
          </cell>
          <cell r="L129">
            <v>901230</v>
          </cell>
          <cell r="M129">
            <v>2.6</v>
          </cell>
          <cell r="N129">
            <v>10</v>
          </cell>
          <cell r="O129">
            <v>8940000</v>
          </cell>
          <cell r="Q129">
            <v>2679318</v>
          </cell>
          <cell r="R129">
            <v>6260682</v>
          </cell>
          <cell r="S129">
            <v>0.33300000000000002</v>
          </cell>
          <cell r="T129">
            <v>0.1</v>
          </cell>
          <cell r="U129">
            <v>2679318</v>
          </cell>
          <cell r="V129">
            <v>5358636</v>
          </cell>
          <cell r="W129">
            <v>3581364</v>
          </cell>
          <cell r="Y129">
            <v>447000</v>
          </cell>
          <cell r="Z129">
            <v>2977020</v>
          </cell>
          <cell r="AA129">
            <v>3283662</v>
          </cell>
          <cell r="AB129">
            <v>3126318</v>
          </cell>
          <cell r="AC129">
            <v>5813682</v>
          </cell>
        </row>
        <row r="130">
          <cell r="G130" t="str">
            <v>FEDERAL PRODUCT      G/E</v>
          </cell>
          <cell r="H130" t="str">
            <v>20배 (10832)</v>
          </cell>
          <cell r="I130" t="str">
            <v>갑진상사</v>
          </cell>
          <cell r="J130">
            <v>1</v>
          </cell>
          <cell r="K130" t="str">
            <v>대</v>
          </cell>
          <cell r="L130">
            <v>910517</v>
          </cell>
          <cell r="M130">
            <v>3</v>
          </cell>
          <cell r="N130">
            <v>10</v>
          </cell>
          <cell r="O130">
            <v>181288</v>
          </cell>
          <cell r="Q130">
            <v>54332</v>
          </cell>
          <cell r="R130">
            <v>126956</v>
          </cell>
          <cell r="S130">
            <v>0.33300000000000002</v>
          </cell>
          <cell r="T130">
            <v>0.1</v>
          </cell>
          <cell r="U130">
            <v>54332</v>
          </cell>
          <cell r="V130">
            <v>108664</v>
          </cell>
          <cell r="W130">
            <v>72624</v>
          </cell>
          <cell r="Y130">
            <v>9064</v>
          </cell>
          <cell r="Z130">
            <v>60369</v>
          </cell>
          <cell r="AA130">
            <v>66587</v>
          </cell>
          <cell r="AB130">
            <v>63396</v>
          </cell>
          <cell r="AC130">
            <v>117892</v>
          </cell>
        </row>
        <row r="131">
          <cell r="G131" t="str">
            <v>전기전량측정기            (Partial Discharge Detection sys)</v>
          </cell>
          <cell r="H131" t="str">
            <v>803/906 52KV</v>
          </cell>
          <cell r="I131" t="str">
            <v>ROBINSON</v>
          </cell>
          <cell r="J131">
            <v>1</v>
          </cell>
          <cell r="K131" t="str">
            <v>SET</v>
          </cell>
          <cell r="L131">
            <v>911203</v>
          </cell>
          <cell r="M131">
            <v>3</v>
          </cell>
          <cell r="N131">
            <v>10</v>
          </cell>
          <cell r="O131">
            <v>79600000</v>
          </cell>
          <cell r="Q131">
            <v>23856120</v>
          </cell>
          <cell r="R131">
            <v>55743880</v>
          </cell>
          <cell r="S131">
            <v>0.33300000000000002</v>
          </cell>
          <cell r="T131">
            <v>0.1</v>
          </cell>
          <cell r="U131">
            <v>23856120</v>
          </cell>
          <cell r="V131">
            <v>47712240</v>
          </cell>
          <cell r="W131">
            <v>31887760</v>
          </cell>
          <cell r="Y131">
            <v>3980000</v>
          </cell>
          <cell r="Z131">
            <v>26506800</v>
          </cell>
          <cell r="AA131">
            <v>29237080</v>
          </cell>
          <cell r="AB131">
            <v>27836120</v>
          </cell>
          <cell r="AC131">
            <v>51763880</v>
          </cell>
        </row>
        <row r="132">
          <cell r="G132" t="str">
            <v>2개연선기 SKIP</v>
          </cell>
          <cell r="H132" t="str">
            <v>630MM 90M/MIN</v>
          </cell>
          <cell r="I132" t="str">
            <v>현대기계제작소</v>
          </cell>
          <cell r="J132">
            <v>1</v>
          </cell>
          <cell r="K132" t="str">
            <v>대</v>
          </cell>
          <cell r="L132">
            <v>920326</v>
          </cell>
          <cell r="M132">
            <v>2.6</v>
          </cell>
          <cell r="N132">
            <v>10</v>
          </cell>
          <cell r="O132">
            <v>20040000</v>
          </cell>
          <cell r="Q132">
            <v>6005988</v>
          </cell>
          <cell r="R132">
            <v>14034012</v>
          </cell>
          <cell r="S132">
            <v>0.33300000000000002</v>
          </cell>
          <cell r="T132">
            <v>0.1</v>
          </cell>
          <cell r="U132">
            <v>6005988</v>
          </cell>
          <cell r="V132">
            <v>12011976</v>
          </cell>
          <cell r="W132">
            <v>8028024</v>
          </cell>
          <cell r="Y132">
            <v>1002000</v>
          </cell>
          <cell r="Z132">
            <v>6673320</v>
          </cell>
          <cell r="AA132">
            <v>7360692</v>
          </cell>
          <cell r="AB132">
            <v>7007988</v>
          </cell>
          <cell r="AC132">
            <v>13032012</v>
          </cell>
        </row>
        <row r="133">
          <cell r="G133" t="str">
            <v>가열시편타발기(제  작기)</v>
          </cell>
          <cell r="H133" t="str">
            <v>210KG/CM3</v>
          </cell>
          <cell r="I133" t="str">
            <v>삼진정밀</v>
          </cell>
          <cell r="J133">
            <v>1</v>
          </cell>
          <cell r="K133" t="str">
            <v>대</v>
          </cell>
          <cell r="L133">
            <v>920721</v>
          </cell>
          <cell r="M133">
            <v>2.6</v>
          </cell>
          <cell r="N133">
            <v>10</v>
          </cell>
          <cell r="O133">
            <v>1313000</v>
          </cell>
          <cell r="Q133">
            <v>393506</v>
          </cell>
          <cell r="R133">
            <v>919494</v>
          </cell>
          <cell r="S133">
            <v>0.33300000000000002</v>
          </cell>
          <cell r="T133">
            <v>0.1</v>
          </cell>
          <cell r="U133">
            <v>393506</v>
          </cell>
          <cell r="V133">
            <v>787012</v>
          </cell>
          <cell r="W133">
            <v>525988</v>
          </cell>
          <cell r="Y133">
            <v>65650</v>
          </cell>
          <cell r="Z133">
            <v>437229</v>
          </cell>
          <cell r="AA133">
            <v>482265</v>
          </cell>
          <cell r="AB133">
            <v>459156</v>
          </cell>
          <cell r="AC133">
            <v>853844</v>
          </cell>
        </row>
        <row r="134">
          <cell r="G134" t="str">
            <v>압출기 80mm EXT</v>
          </cell>
          <cell r="H134" t="str">
            <v>610*1B 80m/min 18KG/H</v>
          </cell>
          <cell r="I134" t="str">
            <v>동서엔지니어링</v>
          </cell>
          <cell r="J134">
            <v>1</v>
          </cell>
          <cell r="K134" t="str">
            <v>대</v>
          </cell>
          <cell r="L134">
            <v>930719</v>
          </cell>
          <cell r="M134">
            <v>3</v>
          </cell>
          <cell r="N134">
            <v>10</v>
          </cell>
          <cell r="O134">
            <v>31207000</v>
          </cell>
          <cell r="P134">
            <v>-31207000</v>
          </cell>
          <cell r="Q134" t="str">
            <v xml:space="preserve">                            9352738</v>
          </cell>
          <cell r="R134" t="str">
            <v xml:space="preserve"> </v>
          </cell>
          <cell r="S134">
            <v>0.33300000000000002</v>
          </cell>
          <cell r="T134">
            <v>0.1</v>
          </cell>
          <cell r="U134">
            <v>0</v>
          </cell>
          <cell r="W134">
            <v>0</v>
          </cell>
          <cell r="Y134">
            <v>0</v>
          </cell>
          <cell r="Z134">
            <v>0</v>
          </cell>
          <cell r="AA134">
            <v>0</v>
          </cell>
          <cell r="AC134">
            <v>0</v>
          </cell>
        </row>
        <row r="135">
          <cell r="G135" t="str">
            <v>인장강도시험기       (TENSILE TESTER</v>
          </cell>
          <cell r="H135" t="str">
            <v>SCM-300 0-500KG(2단)</v>
          </cell>
          <cell r="I135" t="str">
            <v>신광정밀</v>
          </cell>
          <cell r="J135">
            <v>1</v>
          </cell>
          <cell r="K135" t="str">
            <v>대</v>
          </cell>
          <cell r="L135">
            <v>710101</v>
          </cell>
          <cell r="M135">
            <v>2</v>
          </cell>
          <cell r="N135">
            <v>10</v>
          </cell>
          <cell r="O135">
            <v>386000</v>
          </cell>
          <cell r="Q135">
            <v>173700</v>
          </cell>
          <cell r="R135">
            <v>212300</v>
          </cell>
          <cell r="S135">
            <v>0.5</v>
          </cell>
          <cell r="T135">
            <v>0.1</v>
          </cell>
          <cell r="U135">
            <v>173700</v>
          </cell>
          <cell r="V135">
            <v>347400</v>
          </cell>
          <cell r="W135">
            <v>38600</v>
          </cell>
          <cell r="Y135">
            <v>19300</v>
          </cell>
          <cell r="Z135">
            <v>212300</v>
          </cell>
          <cell r="AA135">
            <v>0</v>
          </cell>
          <cell r="AB135">
            <v>193000</v>
          </cell>
          <cell r="AC135">
            <v>193000</v>
          </cell>
        </row>
        <row r="136">
          <cell r="G136" t="str">
            <v>전선피복기       (압출기 PVC)</v>
          </cell>
          <cell r="H136" t="str">
            <v>80MM EXIT 250KG/H</v>
          </cell>
          <cell r="I136" t="str">
            <v>동서기계</v>
          </cell>
          <cell r="J136">
            <v>1</v>
          </cell>
          <cell r="K136" t="str">
            <v>대</v>
          </cell>
          <cell r="L136">
            <v>730101</v>
          </cell>
          <cell r="M136">
            <v>2</v>
          </cell>
          <cell r="N136">
            <v>10</v>
          </cell>
          <cell r="O136">
            <v>3510000</v>
          </cell>
          <cell r="Q136">
            <v>1579500</v>
          </cell>
          <cell r="R136">
            <v>1930500</v>
          </cell>
          <cell r="S136">
            <v>0.5</v>
          </cell>
          <cell r="T136">
            <v>0.1</v>
          </cell>
          <cell r="U136">
            <v>1579500</v>
          </cell>
          <cell r="V136">
            <v>3159000</v>
          </cell>
          <cell r="W136">
            <v>351000</v>
          </cell>
          <cell r="Y136">
            <v>175500</v>
          </cell>
          <cell r="Z136">
            <v>1930500</v>
          </cell>
          <cell r="AA136">
            <v>0</v>
          </cell>
          <cell r="AB136">
            <v>1755000</v>
          </cell>
          <cell r="AC136">
            <v>1755000</v>
          </cell>
        </row>
        <row r="137">
          <cell r="G137" t="str">
            <v>압출기 (50MM EXT)</v>
          </cell>
          <cell r="H137" t="str">
            <v>0.5-3.5MM110m/min 14KG/H</v>
          </cell>
          <cell r="I137" t="str">
            <v>유신기계</v>
          </cell>
          <cell r="J137">
            <v>1</v>
          </cell>
          <cell r="K137" t="str">
            <v>대</v>
          </cell>
          <cell r="L137">
            <v>750101</v>
          </cell>
          <cell r="M137">
            <v>2</v>
          </cell>
          <cell r="N137">
            <v>10</v>
          </cell>
          <cell r="O137">
            <v>6435000</v>
          </cell>
          <cell r="P137">
            <v>-6435000</v>
          </cell>
          <cell r="Q137" t="str">
            <v xml:space="preserve">                                2895750</v>
          </cell>
          <cell r="R137" t="str">
            <v xml:space="preserve"> </v>
          </cell>
          <cell r="S137">
            <v>0.5</v>
          </cell>
          <cell r="T137">
            <v>0.1</v>
          </cell>
          <cell r="U137">
            <v>0</v>
          </cell>
          <cell r="W137">
            <v>0</v>
          </cell>
          <cell r="Y137">
            <v>0</v>
          </cell>
          <cell r="Z137" t="str">
            <v xml:space="preserve"> </v>
          </cell>
          <cell r="AA137">
            <v>0</v>
          </cell>
          <cell r="AC137">
            <v>0</v>
          </cell>
        </row>
        <row r="138">
          <cell r="G138" t="str">
            <v>내한성시험기</v>
          </cell>
          <cell r="H138" t="str">
            <v>PVC용 0-50 OC</v>
          </cell>
          <cell r="I138" t="str">
            <v>동광정밀</v>
          </cell>
          <cell r="J138">
            <v>1</v>
          </cell>
          <cell r="K138" t="str">
            <v>대</v>
          </cell>
          <cell r="L138">
            <v>760101</v>
          </cell>
          <cell r="M138">
            <v>2</v>
          </cell>
          <cell r="N138">
            <v>10</v>
          </cell>
          <cell r="O138">
            <v>70000</v>
          </cell>
          <cell r="Q138">
            <v>31500</v>
          </cell>
          <cell r="R138">
            <v>38500</v>
          </cell>
          <cell r="S138">
            <v>0.5</v>
          </cell>
          <cell r="T138">
            <v>0.1</v>
          </cell>
          <cell r="U138">
            <v>31500</v>
          </cell>
          <cell r="V138">
            <v>63000</v>
          </cell>
          <cell r="W138">
            <v>7000</v>
          </cell>
          <cell r="Y138">
            <v>3500</v>
          </cell>
          <cell r="Z138">
            <v>38500</v>
          </cell>
          <cell r="AA138">
            <v>0</v>
          </cell>
          <cell r="AB138">
            <v>35000</v>
          </cell>
          <cell r="AC138">
            <v>35000</v>
          </cell>
        </row>
        <row r="139">
          <cell r="G139" t="str">
            <v>마이크로스코프</v>
          </cell>
          <cell r="H139" t="str">
            <v>1/1000 50x-1,200x</v>
          </cell>
          <cell r="I139" t="str">
            <v>10C</v>
          </cell>
          <cell r="J139">
            <v>1</v>
          </cell>
          <cell r="K139" t="str">
            <v>대</v>
          </cell>
          <cell r="L139">
            <v>760101</v>
          </cell>
          <cell r="M139">
            <v>2</v>
          </cell>
          <cell r="N139">
            <v>10</v>
          </cell>
          <cell r="O139">
            <v>140000</v>
          </cell>
          <cell r="Q139">
            <v>63000</v>
          </cell>
          <cell r="R139">
            <v>77000</v>
          </cell>
          <cell r="S139">
            <v>0.5</v>
          </cell>
          <cell r="T139">
            <v>0.1</v>
          </cell>
          <cell r="U139">
            <v>63000</v>
          </cell>
          <cell r="V139">
            <v>126000</v>
          </cell>
          <cell r="W139">
            <v>14000</v>
          </cell>
          <cell r="Y139">
            <v>7000</v>
          </cell>
          <cell r="Z139">
            <v>77000</v>
          </cell>
          <cell r="AA139">
            <v>0</v>
          </cell>
          <cell r="AB139">
            <v>70000</v>
          </cell>
          <cell r="AC139">
            <v>70000</v>
          </cell>
        </row>
        <row r="140">
          <cell r="G140" t="str">
            <v>항온조</v>
          </cell>
          <cell r="H140" t="str">
            <v>0-300 OC (DB200)      200도</v>
          </cell>
          <cell r="I140" t="str">
            <v>대붕전기</v>
          </cell>
          <cell r="J140">
            <v>2</v>
          </cell>
          <cell r="K140" t="str">
            <v>대</v>
          </cell>
          <cell r="L140">
            <v>800601</v>
          </cell>
          <cell r="M140">
            <v>2</v>
          </cell>
          <cell r="N140">
            <v>10</v>
          </cell>
          <cell r="O140">
            <v>136000</v>
          </cell>
          <cell r="Q140">
            <v>61200</v>
          </cell>
          <cell r="R140">
            <v>74800</v>
          </cell>
          <cell r="S140">
            <v>0.5</v>
          </cell>
          <cell r="T140">
            <v>0.1</v>
          </cell>
          <cell r="U140">
            <v>61200</v>
          </cell>
          <cell r="V140">
            <v>122400</v>
          </cell>
          <cell r="W140">
            <v>13600</v>
          </cell>
          <cell r="Y140">
            <v>6800</v>
          </cell>
          <cell r="Z140">
            <v>74800</v>
          </cell>
          <cell r="AA140">
            <v>0</v>
          </cell>
          <cell r="AB140">
            <v>68000</v>
          </cell>
          <cell r="AC140">
            <v>68000</v>
          </cell>
        </row>
        <row r="141">
          <cell r="G141" t="str">
            <v>롯드신선기(고압인  하용신선기)</v>
          </cell>
          <cell r="H141" t="str">
            <v>3.5-5MM</v>
          </cell>
          <cell r="J141">
            <v>1</v>
          </cell>
          <cell r="K141" t="str">
            <v>대</v>
          </cell>
          <cell r="L141">
            <v>810501</v>
          </cell>
          <cell r="M141">
            <v>2</v>
          </cell>
          <cell r="N141">
            <v>10</v>
          </cell>
          <cell r="O141">
            <v>8385500</v>
          </cell>
          <cell r="Q141">
            <v>3773475</v>
          </cell>
          <cell r="R141">
            <v>4612025</v>
          </cell>
          <cell r="S141">
            <v>0.5</v>
          </cell>
          <cell r="T141">
            <v>0.1</v>
          </cell>
          <cell r="U141">
            <v>3773475</v>
          </cell>
          <cell r="V141">
            <v>7546950</v>
          </cell>
          <cell r="W141">
            <v>838550</v>
          </cell>
          <cell r="Y141">
            <v>419275</v>
          </cell>
          <cell r="Z141">
            <v>4612025</v>
          </cell>
          <cell r="AA141">
            <v>0</v>
          </cell>
          <cell r="AB141">
            <v>4192750</v>
          </cell>
          <cell r="AC141">
            <v>4192750</v>
          </cell>
        </row>
        <row r="142">
          <cell r="G142" t="str">
            <v>NETRACKING TESTER    (레트레킹시험기)</v>
          </cell>
          <cell r="H142" t="str">
            <v>9KV/10A(8776)</v>
          </cell>
          <cell r="I142" t="str">
            <v>동일전기</v>
          </cell>
          <cell r="J142">
            <v>1</v>
          </cell>
          <cell r="K142" t="str">
            <v>대</v>
          </cell>
          <cell r="L142">
            <v>821201</v>
          </cell>
          <cell r="M142">
            <v>2</v>
          </cell>
          <cell r="N142">
            <v>10</v>
          </cell>
          <cell r="O142">
            <v>585000</v>
          </cell>
          <cell r="Q142">
            <v>263250</v>
          </cell>
          <cell r="R142">
            <v>321750</v>
          </cell>
          <cell r="S142">
            <v>0.5</v>
          </cell>
          <cell r="T142">
            <v>0.1</v>
          </cell>
          <cell r="U142">
            <v>263250</v>
          </cell>
          <cell r="V142">
            <v>526500</v>
          </cell>
          <cell r="W142">
            <v>58500</v>
          </cell>
          <cell r="Y142">
            <v>29250</v>
          </cell>
          <cell r="Z142">
            <v>321750</v>
          </cell>
          <cell r="AA142">
            <v>0</v>
          </cell>
          <cell r="AB142">
            <v>292500</v>
          </cell>
          <cell r="AC142">
            <v>292500</v>
          </cell>
        </row>
        <row r="143">
          <cell r="G143" t="str">
            <v>고무압출기</v>
          </cell>
          <cell r="H143" t="str">
            <v>60MM</v>
          </cell>
          <cell r="J143">
            <v>1</v>
          </cell>
          <cell r="K143" t="str">
            <v>대</v>
          </cell>
          <cell r="L143">
            <v>830101</v>
          </cell>
          <cell r="M143">
            <v>1.6</v>
          </cell>
          <cell r="N143">
            <v>10</v>
          </cell>
          <cell r="O143">
            <v>187159</v>
          </cell>
          <cell r="Q143">
            <v>84222</v>
          </cell>
          <cell r="R143">
            <v>102937</v>
          </cell>
          <cell r="S143">
            <v>0.5</v>
          </cell>
          <cell r="T143">
            <v>0.1</v>
          </cell>
          <cell r="U143">
            <v>84222</v>
          </cell>
          <cell r="V143">
            <v>168444</v>
          </cell>
          <cell r="W143">
            <v>18715</v>
          </cell>
          <cell r="Y143">
            <v>9358</v>
          </cell>
          <cell r="Z143">
            <v>102937</v>
          </cell>
          <cell r="AA143">
            <v>0</v>
          </cell>
          <cell r="AB143">
            <v>93580</v>
          </cell>
          <cell r="AC143">
            <v>93579</v>
          </cell>
        </row>
        <row r="144">
          <cell r="G144" t="str">
            <v>소둔로 1m3x4</v>
          </cell>
          <cell r="H144" t="str">
            <v>700도 5KVA 1/2TON</v>
          </cell>
          <cell r="I144" t="str">
            <v xml:space="preserve"> </v>
          </cell>
          <cell r="J144">
            <v>1</v>
          </cell>
          <cell r="K144" t="str">
            <v>대</v>
          </cell>
          <cell r="L144">
            <v>830101</v>
          </cell>
          <cell r="M144">
            <v>1.6</v>
          </cell>
          <cell r="N144">
            <v>10</v>
          </cell>
          <cell r="O144">
            <v>1531000</v>
          </cell>
          <cell r="Q144">
            <v>688950</v>
          </cell>
          <cell r="R144">
            <v>842050</v>
          </cell>
          <cell r="S144">
            <v>0.5</v>
          </cell>
          <cell r="T144">
            <v>0.1</v>
          </cell>
          <cell r="U144">
            <v>688950</v>
          </cell>
          <cell r="V144">
            <v>1377900</v>
          </cell>
          <cell r="W144">
            <v>153100</v>
          </cell>
          <cell r="Y144">
            <v>76550</v>
          </cell>
          <cell r="Z144">
            <v>842050</v>
          </cell>
          <cell r="AA144">
            <v>0</v>
          </cell>
          <cell r="AB144">
            <v>765500</v>
          </cell>
          <cell r="AC144">
            <v>765500</v>
          </cell>
        </row>
        <row r="145">
          <cell r="G145" t="str">
            <v>각편법절연저항기</v>
          </cell>
          <cell r="H145" t="str">
            <v>HR-4GMAX</v>
          </cell>
          <cell r="J145">
            <v>1</v>
          </cell>
          <cell r="K145" t="str">
            <v>대</v>
          </cell>
          <cell r="L145">
            <v>830101</v>
          </cell>
          <cell r="M145">
            <v>2</v>
          </cell>
          <cell r="N145">
            <v>10</v>
          </cell>
          <cell r="O145">
            <v>272000</v>
          </cell>
          <cell r="Q145">
            <v>122400</v>
          </cell>
          <cell r="R145">
            <v>149600</v>
          </cell>
          <cell r="S145">
            <v>0.5</v>
          </cell>
          <cell r="T145">
            <v>0.1</v>
          </cell>
          <cell r="U145">
            <v>122400</v>
          </cell>
          <cell r="V145">
            <v>244800</v>
          </cell>
          <cell r="W145">
            <v>27200</v>
          </cell>
          <cell r="Y145">
            <v>13600</v>
          </cell>
          <cell r="Z145">
            <v>149600</v>
          </cell>
          <cell r="AA145">
            <v>0</v>
          </cell>
          <cell r="AB145">
            <v>136000</v>
          </cell>
          <cell r="AC145">
            <v>136000</v>
          </cell>
        </row>
        <row r="146">
          <cell r="G146" t="str">
            <v>PROFILE PROJECTOR        프로필드프로젝타</v>
          </cell>
          <cell r="H146" t="str">
            <v>300m/m 20배,PT-300</v>
          </cell>
          <cell r="I146" t="str">
            <v>MITUTOYO,JAPAN</v>
          </cell>
          <cell r="J146">
            <v>1</v>
          </cell>
          <cell r="K146" t="str">
            <v>대</v>
          </cell>
          <cell r="L146">
            <v>830101</v>
          </cell>
          <cell r="M146">
            <v>2</v>
          </cell>
          <cell r="N146">
            <v>10</v>
          </cell>
          <cell r="O146">
            <v>381000</v>
          </cell>
          <cell r="Q146">
            <v>171450</v>
          </cell>
          <cell r="R146">
            <v>209550</v>
          </cell>
          <cell r="S146">
            <v>0.5</v>
          </cell>
          <cell r="T146">
            <v>0.1</v>
          </cell>
          <cell r="U146">
            <v>171450</v>
          </cell>
          <cell r="V146">
            <v>342900</v>
          </cell>
          <cell r="W146">
            <v>38100</v>
          </cell>
          <cell r="Y146">
            <v>19050</v>
          </cell>
          <cell r="Z146">
            <v>209550</v>
          </cell>
          <cell r="AA146">
            <v>0</v>
          </cell>
          <cell r="AB146">
            <v>190500</v>
          </cell>
          <cell r="AC146">
            <v>190500</v>
          </cell>
        </row>
        <row r="147">
          <cell r="G147" t="str">
            <v>코로나시험기CORON    A MEASURING SYS)</v>
          </cell>
          <cell r="H147" t="str">
            <v>CV용 1500 0-100KV</v>
          </cell>
          <cell r="I147" t="str">
            <v>JAPAN</v>
          </cell>
          <cell r="J147">
            <v>1</v>
          </cell>
          <cell r="K147" t="str">
            <v>식</v>
          </cell>
          <cell r="L147">
            <v>830201</v>
          </cell>
          <cell r="M147">
            <v>2</v>
          </cell>
          <cell r="N147">
            <v>10</v>
          </cell>
          <cell r="O147">
            <v>3128000</v>
          </cell>
          <cell r="Q147">
            <v>1407600</v>
          </cell>
          <cell r="R147">
            <v>1720400</v>
          </cell>
          <cell r="S147">
            <v>0.5</v>
          </cell>
          <cell r="T147">
            <v>0.1</v>
          </cell>
          <cell r="U147">
            <v>1407600</v>
          </cell>
          <cell r="V147">
            <v>2815200</v>
          </cell>
          <cell r="W147">
            <v>312800</v>
          </cell>
          <cell r="Y147">
            <v>156400</v>
          </cell>
          <cell r="Z147">
            <v>1720400</v>
          </cell>
          <cell r="AA147">
            <v>0</v>
          </cell>
          <cell r="AB147">
            <v>1564000</v>
          </cell>
          <cell r="AC147">
            <v>1564000</v>
          </cell>
        </row>
        <row r="148">
          <cell r="G148" t="str">
            <v>내전압시험기</v>
          </cell>
          <cell r="H148" t="str">
            <v>CV용 50kva 250kva</v>
          </cell>
          <cell r="I148" t="str">
            <v>JAPAN</v>
          </cell>
          <cell r="J148">
            <v>1</v>
          </cell>
          <cell r="K148" t="str">
            <v>대</v>
          </cell>
          <cell r="L148">
            <v>830401</v>
          </cell>
          <cell r="M148">
            <v>2</v>
          </cell>
          <cell r="N148">
            <v>10</v>
          </cell>
          <cell r="O148">
            <v>10880000</v>
          </cell>
          <cell r="Q148">
            <v>4896000</v>
          </cell>
          <cell r="R148">
            <v>5984000</v>
          </cell>
          <cell r="S148">
            <v>0.5</v>
          </cell>
          <cell r="T148">
            <v>0.1</v>
          </cell>
          <cell r="U148">
            <v>4896000</v>
          </cell>
          <cell r="V148">
            <v>9792000</v>
          </cell>
          <cell r="W148">
            <v>1088000</v>
          </cell>
          <cell r="Y148">
            <v>544000</v>
          </cell>
          <cell r="Z148">
            <v>5984000</v>
          </cell>
          <cell r="AA148">
            <v>0</v>
          </cell>
          <cell r="AB148">
            <v>5440000</v>
          </cell>
          <cell r="AC148">
            <v>5440000</v>
          </cell>
        </row>
        <row r="149">
          <cell r="G149" t="str">
            <v>유전정접시험기      HIGH VOLTAGE TAN</v>
          </cell>
          <cell r="H149" t="str">
            <v>CV용 0.01-3%</v>
          </cell>
          <cell r="I149" t="str">
            <v>JAPAN</v>
          </cell>
          <cell r="J149">
            <v>1</v>
          </cell>
          <cell r="K149" t="str">
            <v>대</v>
          </cell>
          <cell r="L149">
            <v>830401</v>
          </cell>
          <cell r="M149">
            <v>2</v>
          </cell>
          <cell r="N149">
            <v>10</v>
          </cell>
          <cell r="O149">
            <v>3808000</v>
          </cell>
          <cell r="Q149">
            <v>1713600</v>
          </cell>
          <cell r="R149">
            <v>2094400</v>
          </cell>
          <cell r="S149">
            <v>0.5</v>
          </cell>
          <cell r="T149">
            <v>0.1</v>
          </cell>
          <cell r="U149">
            <v>1713600</v>
          </cell>
          <cell r="V149">
            <v>3427200</v>
          </cell>
          <cell r="W149">
            <v>380800</v>
          </cell>
          <cell r="Y149">
            <v>190400</v>
          </cell>
          <cell r="Z149">
            <v>2094400</v>
          </cell>
          <cell r="AA149">
            <v>0</v>
          </cell>
          <cell r="AB149">
            <v>1904000</v>
          </cell>
          <cell r="AC149">
            <v>1904000</v>
          </cell>
        </row>
        <row r="150">
          <cell r="G150" t="str">
            <v>충격시험기IMPLUSE    VOLTAGE TESTER</v>
          </cell>
          <cell r="H150" t="str">
            <v>CV용 IVG-600D 600KV (2364-1)</v>
          </cell>
          <cell r="I150" t="str">
            <v>JAPAN</v>
          </cell>
          <cell r="J150">
            <v>1</v>
          </cell>
          <cell r="K150" t="str">
            <v>대</v>
          </cell>
          <cell r="L150">
            <v>830401</v>
          </cell>
          <cell r="M150">
            <v>2</v>
          </cell>
          <cell r="N150">
            <v>10</v>
          </cell>
          <cell r="O150">
            <v>9248000</v>
          </cell>
          <cell r="Q150">
            <v>4161600</v>
          </cell>
          <cell r="R150">
            <v>5086400</v>
          </cell>
          <cell r="S150">
            <v>0.5</v>
          </cell>
          <cell r="T150">
            <v>0.1</v>
          </cell>
          <cell r="U150">
            <v>4161600</v>
          </cell>
          <cell r="V150">
            <v>8323200</v>
          </cell>
          <cell r="W150">
            <v>924800</v>
          </cell>
          <cell r="Y150">
            <v>462400</v>
          </cell>
          <cell r="Z150">
            <v>5086400</v>
          </cell>
          <cell r="AA150">
            <v>0</v>
          </cell>
          <cell r="AB150">
            <v>4624000</v>
          </cell>
          <cell r="AC150">
            <v>4624000</v>
          </cell>
        </row>
        <row r="151">
          <cell r="G151" t="str">
            <v>유압식시험기</v>
          </cell>
          <cell r="H151" t="str">
            <v>CV용 TR-250KVA</v>
          </cell>
          <cell r="I151" t="str">
            <v>JAPAN</v>
          </cell>
          <cell r="J151">
            <v>1</v>
          </cell>
          <cell r="K151" t="str">
            <v>대</v>
          </cell>
          <cell r="L151">
            <v>830401</v>
          </cell>
          <cell r="M151">
            <v>2</v>
          </cell>
          <cell r="N151">
            <v>10</v>
          </cell>
          <cell r="O151">
            <v>10882000</v>
          </cell>
          <cell r="Q151">
            <v>4896900</v>
          </cell>
          <cell r="R151">
            <v>5985100</v>
          </cell>
          <cell r="S151">
            <v>0.5</v>
          </cell>
          <cell r="T151">
            <v>0.1</v>
          </cell>
          <cell r="U151">
            <v>4896900</v>
          </cell>
          <cell r="V151">
            <v>9793800</v>
          </cell>
          <cell r="W151">
            <v>1088200</v>
          </cell>
          <cell r="Y151">
            <v>544100</v>
          </cell>
          <cell r="Z151">
            <v>5985100</v>
          </cell>
          <cell r="AA151">
            <v>0</v>
          </cell>
          <cell r="AB151">
            <v>5441000</v>
          </cell>
          <cell r="AC151">
            <v>5441000</v>
          </cell>
        </row>
        <row r="152">
          <cell r="G152" t="str">
            <v>저온시험기</v>
          </cell>
          <cell r="H152" t="str">
            <v>0-55 OC</v>
          </cell>
          <cell r="I152" t="str">
            <v>세원</v>
          </cell>
          <cell r="J152">
            <v>1</v>
          </cell>
          <cell r="K152" t="str">
            <v>대</v>
          </cell>
          <cell r="L152">
            <v>840301</v>
          </cell>
          <cell r="M152">
            <v>2</v>
          </cell>
          <cell r="N152">
            <v>10</v>
          </cell>
          <cell r="O152">
            <v>1115000</v>
          </cell>
          <cell r="Q152">
            <v>501750</v>
          </cell>
          <cell r="R152">
            <v>613250</v>
          </cell>
          <cell r="S152">
            <v>0.5</v>
          </cell>
          <cell r="T152">
            <v>0.1</v>
          </cell>
          <cell r="U152">
            <v>501750</v>
          </cell>
          <cell r="V152">
            <v>1003500</v>
          </cell>
          <cell r="W152">
            <v>111500</v>
          </cell>
          <cell r="Y152">
            <v>55750</v>
          </cell>
          <cell r="Z152">
            <v>613250</v>
          </cell>
          <cell r="AA152">
            <v>0</v>
          </cell>
          <cell r="AB152">
            <v>557500</v>
          </cell>
          <cell r="AC152">
            <v>557500</v>
          </cell>
        </row>
        <row r="153">
          <cell r="G153" t="str">
            <v>내구부림시험기</v>
          </cell>
          <cell r="H153" t="str">
            <v>NPS-8032</v>
          </cell>
          <cell r="I153" t="str">
            <v>세원</v>
          </cell>
          <cell r="J153">
            <v>1</v>
          </cell>
          <cell r="K153" t="str">
            <v>대</v>
          </cell>
          <cell r="L153">
            <v>840301</v>
          </cell>
          <cell r="M153">
            <v>2</v>
          </cell>
          <cell r="N153">
            <v>10</v>
          </cell>
          <cell r="O153">
            <v>136000</v>
          </cell>
          <cell r="Q153">
            <v>61200</v>
          </cell>
          <cell r="R153">
            <v>74800</v>
          </cell>
          <cell r="S153">
            <v>0.5</v>
          </cell>
          <cell r="T153">
            <v>0.1</v>
          </cell>
          <cell r="U153">
            <v>61200</v>
          </cell>
          <cell r="V153">
            <v>122400</v>
          </cell>
          <cell r="W153">
            <v>13600</v>
          </cell>
          <cell r="Y153">
            <v>6800</v>
          </cell>
          <cell r="Z153">
            <v>74800</v>
          </cell>
          <cell r="AA153">
            <v>0</v>
          </cell>
          <cell r="AB153">
            <v>68000</v>
          </cell>
          <cell r="AC153">
            <v>68000</v>
          </cell>
        </row>
        <row r="154">
          <cell r="G154" t="str">
            <v>만능재료시험기     (UNIVERSAL TESTER)</v>
          </cell>
          <cell r="H154" t="str">
            <v>KT-10 0-10 TON</v>
          </cell>
          <cell r="I154" t="str">
            <v>동광정밀</v>
          </cell>
          <cell r="J154">
            <v>1</v>
          </cell>
          <cell r="K154" t="str">
            <v>대</v>
          </cell>
          <cell r="L154">
            <v>840301</v>
          </cell>
          <cell r="M154">
            <v>2</v>
          </cell>
          <cell r="N154">
            <v>10</v>
          </cell>
          <cell r="O154">
            <v>1469000</v>
          </cell>
          <cell r="Q154">
            <v>661050</v>
          </cell>
          <cell r="R154">
            <v>807950</v>
          </cell>
          <cell r="S154">
            <v>0.5</v>
          </cell>
          <cell r="T154">
            <v>0.1</v>
          </cell>
          <cell r="U154">
            <v>661050</v>
          </cell>
          <cell r="V154">
            <v>1322100</v>
          </cell>
          <cell r="W154">
            <v>146900</v>
          </cell>
          <cell r="Y154">
            <v>73450</v>
          </cell>
          <cell r="Z154">
            <v>807950</v>
          </cell>
          <cell r="AA154">
            <v>0</v>
          </cell>
          <cell r="AB154">
            <v>734500</v>
          </cell>
          <cell r="AC154">
            <v>734500</v>
          </cell>
        </row>
        <row r="155">
          <cell r="G155" t="str">
            <v>DOUBLE BRIDGE SET           더블브릿지</v>
          </cell>
          <cell r="H155" t="str">
            <v>0.001-10,000Ω(7G10)</v>
          </cell>
          <cell r="I155" t="str">
            <v>JAPAN</v>
          </cell>
          <cell r="J155">
            <v>1</v>
          </cell>
          <cell r="K155" t="str">
            <v>SET</v>
          </cell>
          <cell r="L155">
            <v>840701</v>
          </cell>
          <cell r="M155">
            <v>2</v>
          </cell>
          <cell r="N155">
            <v>10</v>
          </cell>
          <cell r="O155">
            <v>82000</v>
          </cell>
          <cell r="Q155">
            <v>36900</v>
          </cell>
          <cell r="R155">
            <v>45100</v>
          </cell>
          <cell r="S155">
            <v>0.5</v>
          </cell>
          <cell r="T155">
            <v>0.1</v>
          </cell>
          <cell r="U155">
            <v>36900</v>
          </cell>
          <cell r="V155">
            <v>73800</v>
          </cell>
          <cell r="W155">
            <v>8200</v>
          </cell>
          <cell r="Y155">
            <v>4100</v>
          </cell>
          <cell r="Z155">
            <v>45100</v>
          </cell>
          <cell r="AA155">
            <v>0</v>
          </cell>
          <cell r="AB155">
            <v>41000</v>
          </cell>
          <cell r="AC155">
            <v>41000</v>
          </cell>
        </row>
        <row r="156">
          <cell r="G156" t="str">
            <v>연선기 72B/O</v>
          </cell>
          <cell r="H156" t="str">
            <v>400MM*72EA(8+16+20+28)</v>
          </cell>
          <cell r="I156" t="str">
            <v>선일기계</v>
          </cell>
          <cell r="J156">
            <v>1</v>
          </cell>
          <cell r="K156" t="str">
            <v>식</v>
          </cell>
          <cell r="L156">
            <v>841001</v>
          </cell>
          <cell r="M156">
            <v>1.6</v>
          </cell>
          <cell r="N156">
            <v>10</v>
          </cell>
          <cell r="O156">
            <v>24640000</v>
          </cell>
          <cell r="P156">
            <v>-24640000</v>
          </cell>
          <cell r="Q156" t="str">
            <v xml:space="preserve">                            11088000</v>
          </cell>
          <cell r="R156" t="str">
            <v xml:space="preserve"> </v>
          </cell>
          <cell r="S156">
            <v>0.5</v>
          </cell>
          <cell r="T156">
            <v>0.1</v>
          </cell>
          <cell r="U156">
            <v>0</v>
          </cell>
          <cell r="W156">
            <v>0</v>
          </cell>
          <cell r="Y156">
            <v>0</v>
          </cell>
          <cell r="Z156" t="str">
            <v xml:space="preserve"> </v>
          </cell>
          <cell r="AA156">
            <v>0</v>
          </cell>
          <cell r="AC156">
            <v>0</v>
          </cell>
        </row>
        <row r="157">
          <cell r="G157" t="str">
            <v>OSCILLATOR</v>
          </cell>
          <cell r="H157" t="str">
            <v>TCO-48 10㎑-100㎐</v>
          </cell>
          <cell r="I157" t="str">
            <v>ANDO</v>
          </cell>
          <cell r="J157">
            <v>1</v>
          </cell>
          <cell r="K157" t="str">
            <v>대</v>
          </cell>
          <cell r="L157">
            <v>850601</v>
          </cell>
          <cell r="M157">
            <v>2</v>
          </cell>
          <cell r="N157">
            <v>10</v>
          </cell>
          <cell r="O157">
            <v>174000</v>
          </cell>
          <cell r="Q157">
            <v>78300</v>
          </cell>
          <cell r="R157">
            <v>95700</v>
          </cell>
          <cell r="S157">
            <v>0.5</v>
          </cell>
          <cell r="T157">
            <v>0.1</v>
          </cell>
          <cell r="U157">
            <v>78300</v>
          </cell>
          <cell r="V157">
            <v>156600</v>
          </cell>
          <cell r="W157">
            <v>17400</v>
          </cell>
          <cell r="Y157">
            <v>8700</v>
          </cell>
          <cell r="Z157">
            <v>95700</v>
          </cell>
          <cell r="AA157">
            <v>0</v>
          </cell>
          <cell r="AB157">
            <v>87000</v>
          </cell>
          <cell r="AC157">
            <v>87000</v>
          </cell>
        </row>
        <row r="158">
          <cell r="G158" t="str">
            <v>절연저항시험기        HIGH MEGOHM</v>
          </cell>
          <cell r="H158" t="str">
            <v>SM-8205E 10MΩ VMG-1000</v>
          </cell>
          <cell r="I158" t="str">
            <v>JAPAN</v>
          </cell>
          <cell r="J158">
            <v>1</v>
          </cell>
          <cell r="K158" t="str">
            <v>대</v>
          </cell>
          <cell r="L158">
            <v>851101</v>
          </cell>
          <cell r="M158">
            <v>2</v>
          </cell>
          <cell r="N158">
            <v>10</v>
          </cell>
          <cell r="O158">
            <v>474000</v>
          </cell>
          <cell r="Q158">
            <v>213300</v>
          </cell>
          <cell r="R158">
            <v>260700</v>
          </cell>
          <cell r="S158">
            <v>0.5</v>
          </cell>
          <cell r="T158">
            <v>0.1</v>
          </cell>
          <cell r="U158">
            <v>213300</v>
          </cell>
          <cell r="V158">
            <v>426600</v>
          </cell>
          <cell r="W158">
            <v>47400</v>
          </cell>
          <cell r="Y158">
            <v>23700</v>
          </cell>
          <cell r="Z158">
            <v>260700</v>
          </cell>
          <cell r="AA158">
            <v>0</v>
          </cell>
          <cell r="AB158">
            <v>237000</v>
          </cell>
          <cell r="AC158">
            <v>237000</v>
          </cell>
        </row>
        <row r="159">
          <cell r="G159" t="str">
            <v>2개연기</v>
          </cell>
          <cell r="H159" t="str">
            <v>0.9-2.0mm 450m/min1050RPM</v>
          </cell>
          <cell r="I159" t="str">
            <v>신아전기</v>
          </cell>
          <cell r="J159">
            <v>2</v>
          </cell>
          <cell r="K159" t="str">
            <v>대</v>
          </cell>
          <cell r="L159">
            <v>860601</v>
          </cell>
          <cell r="M159">
            <v>2</v>
          </cell>
          <cell r="N159">
            <v>10</v>
          </cell>
          <cell r="O159">
            <v>20080000</v>
          </cell>
          <cell r="Q159">
            <v>9036000</v>
          </cell>
          <cell r="R159">
            <v>11044000</v>
          </cell>
          <cell r="S159">
            <v>0.5</v>
          </cell>
          <cell r="T159">
            <v>0.1</v>
          </cell>
          <cell r="U159">
            <v>9036000</v>
          </cell>
          <cell r="V159">
            <v>18072000</v>
          </cell>
          <cell r="W159">
            <v>2008000</v>
          </cell>
          <cell r="Y159">
            <v>1004000</v>
          </cell>
          <cell r="Z159">
            <v>11044000</v>
          </cell>
          <cell r="AA159">
            <v>0</v>
          </cell>
          <cell r="AB159">
            <v>10040000</v>
          </cell>
          <cell r="AC159">
            <v>10040000</v>
          </cell>
        </row>
        <row r="160">
          <cell r="G160" t="str">
            <v>3개연기(DV용)</v>
          </cell>
          <cell r="H160" t="str">
            <v>3.2-6mm 80m/min</v>
          </cell>
          <cell r="I160" t="str">
            <v>광동기계(동성기계수리)</v>
          </cell>
          <cell r="J160">
            <v>1</v>
          </cell>
          <cell r="K160" t="str">
            <v>대</v>
          </cell>
          <cell r="L160">
            <v>860701</v>
          </cell>
          <cell r="M160">
            <v>2</v>
          </cell>
          <cell r="N160">
            <v>10</v>
          </cell>
          <cell r="O160">
            <v>10040000</v>
          </cell>
          <cell r="Q160">
            <v>4518000</v>
          </cell>
          <cell r="R160">
            <v>5522000</v>
          </cell>
          <cell r="S160">
            <v>0.5</v>
          </cell>
          <cell r="T160">
            <v>0.1</v>
          </cell>
          <cell r="U160">
            <v>4518000</v>
          </cell>
          <cell r="V160">
            <v>9036000</v>
          </cell>
          <cell r="W160">
            <v>1004000</v>
          </cell>
          <cell r="Y160">
            <v>502000</v>
          </cell>
          <cell r="Z160">
            <v>5522000</v>
          </cell>
          <cell r="AA160">
            <v>0</v>
          </cell>
          <cell r="AB160">
            <v>5020000</v>
          </cell>
          <cell r="AC160">
            <v>5020000</v>
          </cell>
        </row>
        <row r="161">
          <cell r="G161" t="str">
            <v>COOL WELDER(냉각   용접기)</v>
          </cell>
          <cell r="H161" t="str">
            <v>1.2-2.6MM</v>
          </cell>
          <cell r="J161">
            <v>1</v>
          </cell>
          <cell r="K161" t="str">
            <v>대</v>
          </cell>
          <cell r="L161">
            <v>861101</v>
          </cell>
          <cell r="M161">
            <v>1.6</v>
          </cell>
          <cell r="N161">
            <v>10</v>
          </cell>
          <cell r="O161">
            <v>130000</v>
          </cell>
          <cell r="Q161">
            <v>58500</v>
          </cell>
          <cell r="R161">
            <v>71500</v>
          </cell>
          <cell r="S161">
            <v>0.5</v>
          </cell>
          <cell r="T161">
            <v>0.1</v>
          </cell>
          <cell r="U161">
            <v>58500</v>
          </cell>
          <cell r="V161">
            <v>117000</v>
          </cell>
          <cell r="W161">
            <v>13000</v>
          </cell>
          <cell r="Y161">
            <v>6500</v>
          </cell>
          <cell r="Z161">
            <v>71500</v>
          </cell>
          <cell r="AA161">
            <v>0</v>
          </cell>
          <cell r="AB161">
            <v>65000</v>
          </cell>
          <cell r="AC161">
            <v>65000</v>
          </cell>
        </row>
        <row r="162">
          <cell r="G162" t="str">
            <v>내전압시험기</v>
          </cell>
          <cell r="H162" t="str">
            <v>0-100KV 8B030179</v>
          </cell>
          <cell r="I162" t="str">
            <v>신전사</v>
          </cell>
          <cell r="J162">
            <v>1</v>
          </cell>
          <cell r="K162" t="str">
            <v>대</v>
          </cell>
          <cell r="L162">
            <v>870801</v>
          </cell>
          <cell r="M162">
            <v>2</v>
          </cell>
          <cell r="N162">
            <v>10</v>
          </cell>
          <cell r="O162">
            <v>463000</v>
          </cell>
          <cell r="Q162">
            <v>208350</v>
          </cell>
          <cell r="R162">
            <v>254650</v>
          </cell>
          <cell r="S162">
            <v>0.5</v>
          </cell>
          <cell r="T162">
            <v>0.1</v>
          </cell>
          <cell r="U162">
            <v>208350</v>
          </cell>
          <cell r="V162">
            <v>416700</v>
          </cell>
          <cell r="W162">
            <v>46300</v>
          </cell>
          <cell r="Y162">
            <v>23150</v>
          </cell>
          <cell r="Z162">
            <v>254650</v>
          </cell>
          <cell r="AA162">
            <v>0</v>
          </cell>
          <cell r="AB162">
            <v>231500</v>
          </cell>
          <cell r="AC162">
            <v>231500</v>
          </cell>
        </row>
        <row r="163">
          <cell r="G163" t="str">
            <v>분쇄기(PVC용)</v>
          </cell>
          <cell r="H163" t="str">
            <v>5.5KW(15KW)Rotary Knife</v>
          </cell>
          <cell r="I163" t="str">
            <v>95년추가수리</v>
          </cell>
          <cell r="J163">
            <v>1</v>
          </cell>
          <cell r="K163" t="str">
            <v>대</v>
          </cell>
          <cell r="L163">
            <v>890131</v>
          </cell>
          <cell r="M163">
            <v>2</v>
          </cell>
          <cell r="N163">
            <v>10</v>
          </cell>
          <cell r="O163">
            <v>1255000</v>
          </cell>
          <cell r="Q163">
            <v>564750</v>
          </cell>
          <cell r="R163">
            <v>690250</v>
          </cell>
          <cell r="S163">
            <v>0.5</v>
          </cell>
          <cell r="T163">
            <v>0.1</v>
          </cell>
          <cell r="U163">
            <v>564750</v>
          </cell>
          <cell r="V163">
            <v>1129500</v>
          </cell>
          <cell r="W163">
            <v>125500</v>
          </cell>
          <cell r="Y163">
            <v>62750</v>
          </cell>
          <cell r="Z163">
            <v>690250</v>
          </cell>
          <cell r="AA163">
            <v>0</v>
          </cell>
          <cell r="AB163">
            <v>627500</v>
          </cell>
          <cell r="AC163">
            <v>627500</v>
          </cell>
        </row>
        <row r="164">
          <cell r="G164" t="str">
            <v>집합연선기</v>
          </cell>
          <cell r="H164" t="str">
            <v>510MM-B(82년식)</v>
          </cell>
          <cell r="I164" t="str">
            <v>선진기계</v>
          </cell>
          <cell r="J164">
            <v>1</v>
          </cell>
          <cell r="K164" t="str">
            <v>대</v>
          </cell>
          <cell r="L164">
            <v>900301</v>
          </cell>
          <cell r="M164">
            <v>2</v>
          </cell>
          <cell r="N164">
            <v>10</v>
          </cell>
          <cell r="O164">
            <v>134400</v>
          </cell>
          <cell r="Q164">
            <v>60480</v>
          </cell>
          <cell r="R164">
            <v>73920</v>
          </cell>
          <cell r="S164">
            <v>0.5</v>
          </cell>
          <cell r="T164">
            <v>0.1</v>
          </cell>
          <cell r="U164">
            <v>60480</v>
          </cell>
          <cell r="V164">
            <v>120960</v>
          </cell>
          <cell r="W164">
            <v>13440</v>
          </cell>
          <cell r="Y164">
            <v>6720</v>
          </cell>
          <cell r="Z164">
            <v>73920</v>
          </cell>
          <cell r="AA164">
            <v>0</v>
          </cell>
          <cell r="AB164">
            <v>67200</v>
          </cell>
          <cell r="AC164">
            <v>67200</v>
          </cell>
        </row>
        <row r="165">
          <cell r="G165" t="str">
            <v>집합기</v>
          </cell>
          <cell r="H165" t="str">
            <v>400M-50B(82년식)</v>
          </cell>
          <cell r="I165" t="str">
            <v>선진기계</v>
          </cell>
          <cell r="J165">
            <v>3</v>
          </cell>
          <cell r="K165" t="str">
            <v>대</v>
          </cell>
          <cell r="L165">
            <v>900301</v>
          </cell>
          <cell r="M165">
            <v>2</v>
          </cell>
          <cell r="N165">
            <v>10</v>
          </cell>
          <cell r="O165">
            <v>252000</v>
          </cell>
          <cell r="Q165">
            <v>113400</v>
          </cell>
          <cell r="R165">
            <v>138600</v>
          </cell>
          <cell r="S165">
            <v>0.5</v>
          </cell>
          <cell r="T165">
            <v>0.1</v>
          </cell>
          <cell r="U165">
            <v>113400</v>
          </cell>
          <cell r="V165">
            <v>226800</v>
          </cell>
          <cell r="W165">
            <v>25200</v>
          </cell>
          <cell r="Y165">
            <v>12600</v>
          </cell>
          <cell r="Z165">
            <v>138600</v>
          </cell>
          <cell r="AA165">
            <v>0</v>
          </cell>
          <cell r="AB165">
            <v>126000</v>
          </cell>
          <cell r="AC165">
            <v>126000</v>
          </cell>
        </row>
        <row r="166">
          <cell r="G166" t="str">
            <v>타발포장기(AUTOBOAL WRAPPING M/C)</v>
          </cell>
          <cell r="H166" t="str">
            <v>W-1/M-300</v>
          </cell>
          <cell r="I166" t="str">
            <v>수입</v>
          </cell>
          <cell r="J166">
            <v>1</v>
          </cell>
          <cell r="K166" t="str">
            <v>대</v>
          </cell>
          <cell r="L166">
            <v>910131</v>
          </cell>
          <cell r="M166">
            <v>2</v>
          </cell>
          <cell r="N166">
            <v>10</v>
          </cell>
          <cell r="O166">
            <v>7631619</v>
          </cell>
          <cell r="Q166">
            <v>3434229</v>
          </cell>
          <cell r="R166">
            <v>4197390</v>
          </cell>
          <cell r="S166">
            <v>0.5</v>
          </cell>
          <cell r="T166">
            <v>0.1</v>
          </cell>
          <cell r="U166">
            <v>3434229</v>
          </cell>
          <cell r="V166">
            <v>6868458</v>
          </cell>
          <cell r="W166">
            <v>763161</v>
          </cell>
          <cell r="Y166">
            <v>381581</v>
          </cell>
          <cell r="Z166">
            <v>4197390</v>
          </cell>
          <cell r="AA166">
            <v>0</v>
          </cell>
          <cell r="AB166">
            <v>3815810</v>
          </cell>
          <cell r="AC166">
            <v>3815809</v>
          </cell>
        </row>
        <row r="167">
          <cell r="G167" t="str">
            <v>동력계량기</v>
          </cell>
          <cell r="H167" t="str">
            <v>3P 4W</v>
          </cell>
          <cell r="J167">
            <v>1</v>
          </cell>
          <cell r="K167" t="str">
            <v>SET</v>
          </cell>
          <cell r="L167">
            <v>910705</v>
          </cell>
          <cell r="M167">
            <v>2</v>
          </cell>
          <cell r="N167">
            <v>10</v>
          </cell>
          <cell r="O167">
            <v>230519</v>
          </cell>
          <cell r="Q167">
            <v>103734</v>
          </cell>
          <cell r="R167">
            <v>126785</v>
          </cell>
          <cell r="S167">
            <v>0.5</v>
          </cell>
          <cell r="T167">
            <v>0.1</v>
          </cell>
          <cell r="U167">
            <v>103734</v>
          </cell>
          <cell r="V167">
            <v>207468</v>
          </cell>
          <cell r="W167">
            <v>23051</v>
          </cell>
          <cell r="Y167">
            <v>11526</v>
          </cell>
          <cell r="Z167">
            <v>126785</v>
          </cell>
          <cell r="AA167">
            <v>0</v>
          </cell>
          <cell r="AB167">
            <v>115260</v>
          </cell>
          <cell r="AC167">
            <v>115259</v>
          </cell>
        </row>
        <row r="168">
          <cell r="G168" t="str">
            <v>TOOLMAICERS MICROSCOPE(공구현미경)</v>
          </cell>
          <cell r="H168" t="str">
            <v>30-60X,TM 301(020117)</v>
          </cell>
          <cell r="I168" t="str">
            <v>JAPAN</v>
          </cell>
          <cell r="J168">
            <v>1</v>
          </cell>
          <cell r="K168" t="str">
            <v>SET</v>
          </cell>
          <cell r="L168">
            <v>910726</v>
          </cell>
          <cell r="M168">
            <v>2</v>
          </cell>
          <cell r="N168">
            <v>10</v>
          </cell>
          <cell r="O168">
            <v>1841000</v>
          </cell>
          <cell r="Q168">
            <v>828450</v>
          </cell>
          <cell r="R168">
            <v>1012550</v>
          </cell>
          <cell r="S168">
            <v>0.5</v>
          </cell>
          <cell r="T168">
            <v>0.1</v>
          </cell>
          <cell r="U168">
            <v>828450</v>
          </cell>
          <cell r="V168">
            <v>1656900</v>
          </cell>
          <cell r="W168">
            <v>184100</v>
          </cell>
          <cell r="Y168">
            <v>92050</v>
          </cell>
          <cell r="Z168">
            <v>1012550</v>
          </cell>
          <cell r="AA168">
            <v>0</v>
          </cell>
          <cell r="AB168">
            <v>920500</v>
          </cell>
          <cell r="AC168">
            <v>920500</v>
          </cell>
        </row>
        <row r="169">
          <cell r="G169" t="str">
            <v>랜스마킹인쇄기</v>
          </cell>
          <cell r="H169" t="str">
            <v>WHEEL 2STAGE H-872-A</v>
          </cell>
          <cell r="I169" t="str">
            <v>한일사</v>
          </cell>
          <cell r="J169">
            <v>1</v>
          </cell>
          <cell r="K169" t="str">
            <v>대</v>
          </cell>
          <cell r="L169">
            <v>921028</v>
          </cell>
          <cell r="M169">
            <v>2</v>
          </cell>
          <cell r="N169">
            <v>10</v>
          </cell>
          <cell r="O169">
            <v>5104000</v>
          </cell>
          <cell r="P169">
            <v>1600000</v>
          </cell>
          <cell r="Q169">
            <v>2296800</v>
          </cell>
          <cell r="R169">
            <v>4407200</v>
          </cell>
          <cell r="S169">
            <v>0.5</v>
          </cell>
          <cell r="T169">
            <v>0.1</v>
          </cell>
          <cell r="U169">
            <v>3016800</v>
          </cell>
          <cell r="V169">
            <v>5313600</v>
          </cell>
          <cell r="W169">
            <v>1390400</v>
          </cell>
          <cell r="Y169">
            <v>335200</v>
          </cell>
          <cell r="Z169">
            <v>4407200</v>
          </cell>
          <cell r="AA169">
            <v>0</v>
          </cell>
          <cell r="AB169">
            <v>2632000</v>
          </cell>
          <cell r="AC169">
            <v>4072000</v>
          </cell>
        </row>
        <row r="170">
          <cell r="G170" t="str">
            <v>AUTO MEASURING SY   STEM</v>
          </cell>
          <cell r="H170" t="str">
            <v>DCM CMX-2PCX(3335-338)</v>
          </cell>
          <cell r="I170" t="str">
            <v>DCM,U.S.A</v>
          </cell>
          <cell r="J170">
            <v>1</v>
          </cell>
          <cell r="K170" t="str">
            <v>대</v>
          </cell>
          <cell r="L170">
            <v>960731</v>
          </cell>
          <cell r="M170">
            <v>8.75</v>
          </cell>
          <cell r="N170">
            <v>10</v>
          </cell>
          <cell r="O170">
            <v>327911000</v>
          </cell>
          <cell r="Q170">
            <v>36398121</v>
          </cell>
          <cell r="R170">
            <v>291512879</v>
          </cell>
          <cell r="S170">
            <v>0.111</v>
          </cell>
          <cell r="T170">
            <v>0.1</v>
          </cell>
          <cell r="U170">
            <v>36398121</v>
          </cell>
          <cell r="V170">
            <v>72796242</v>
          </cell>
          <cell r="W170">
            <v>255114758</v>
          </cell>
          <cell r="Y170">
            <v>16395550</v>
          </cell>
          <cell r="Z170">
            <v>36398121</v>
          </cell>
          <cell r="AA170">
            <v>255114758</v>
          </cell>
          <cell r="AB170">
            <v>52793671</v>
          </cell>
          <cell r="AC170">
            <v>275117329</v>
          </cell>
        </row>
        <row r="171">
          <cell r="G171" t="str">
            <v>교류내전압시험기</v>
          </cell>
          <cell r="H171" t="str">
            <v>DC 0-20KV 50KVA</v>
          </cell>
          <cell r="I171" t="str">
            <v>신전사</v>
          </cell>
          <cell r="J171">
            <v>1</v>
          </cell>
          <cell r="K171" t="str">
            <v>대</v>
          </cell>
          <cell r="L171">
            <v>960828</v>
          </cell>
          <cell r="M171">
            <v>9</v>
          </cell>
          <cell r="N171">
            <v>10</v>
          </cell>
          <cell r="O171">
            <v>33856000</v>
          </cell>
          <cell r="Q171">
            <v>3758016</v>
          </cell>
          <cell r="R171">
            <v>30097984</v>
          </cell>
          <cell r="S171">
            <v>0.111</v>
          </cell>
          <cell r="T171">
            <v>0.1</v>
          </cell>
          <cell r="U171">
            <v>3758016</v>
          </cell>
          <cell r="V171">
            <v>7516032</v>
          </cell>
          <cell r="W171">
            <v>26339968</v>
          </cell>
          <cell r="Y171">
            <v>1692800</v>
          </cell>
          <cell r="Z171">
            <v>3758016</v>
          </cell>
          <cell r="AA171">
            <v>26339968</v>
          </cell>
          <cell r="AB171">
            <v>5450816</v>
          </cell>
          <cell r="AC171">
            <v>28405184</v>
          </cell>
        </row>
        <row r="172">
          <cell r="G172" t="str">
            <v>보일러(연관식)    1500KG/H</v>
          </cell>
          <cell r="H172" t="str">
            <v>HNP NO1 10000L 90,120MM압출기용</v>
          </cell>
          <cell r="I172" t="str">
            <v>한신보일러</v>
          </cell>
          <cell r="J172">
            <v>1</v>
          </cell>
          <cell r="K172" t="str">
            <v>대</v>
          </cell>
          <cell r="L172">
            <v>961230</v>
          </cell>
          <cell r="M172">
            <v>9</v>
          </cell>
          <cell r="N172">
            <v>10</v>
          </cell>
          <cell r="O172">
            <v>35640000</v>
          </cell>
          <cell r="Q172">
            <v>3956040</v>
          </cell>
          <cell r="R172">
            <v>31683960</v>
          </cell>
          <cell r="S172">
            <v>0.111</v>
          </cell>
          <cell r="T172">
            <v>0.1</v>
          </cell>
          <cell r="U172">
            <v>3956040</v>
          </cell>
          <cell r="V172">
            <v>7912080</v>
          </cell>
          <cell r="W172">
            <v>27727920</v>
          </cell>
          <cell r="Y172">
            <v>1782000</v>
          </cell>
          <cell r="Z172">
            <v>3956040</v>
          </cell>
          <cell r="AA172">
            <v>27727920</v>
          </cell>
          <cell r="AB172">
            <v>5738040</v>
          </cell>
          <cell r="AC172">
            <v>29901960</v>
          </cell>
        </row>
        <row r="173">
          <cell r="G173" t="str">
            <v>파티칼카운터</v>
          </cell>
          <cell r="H173" t="str">
            <v>227B+RH/T</v>
          </cell>
          <cell r="I173" t="str">
            <v>인터크린,USA</v>
          </cell>
          <cell r="J173">
            <v>1</v>
          </cell>
          <cell r="K173" t="str">
            <v>대</v>
          </cell>
          <cell r="L173">
            <v>961230</v>
          </cell>
          <cell r="M173">
            <v>9</v>
          </cell>
          <cell r="N173">
            <v>10</v>
          </cell>
          <cell r="O173">
            <v>14256000</v>
          </cell>
          <cell r="Q173">
            <v>1582416</v>
          </cell>
          <cell r="R173">
            <v>12673584</v>
          </cell>
          <cell r="S173">
            <v>0.111</v>
          </cell>
          <cell r="T173">
            <v>0.1</v>
          </cell>
          <cell r="U173">
            <v>1582416</v>
          </cell>
          <cell r="V173">
            <v>3164832</v>
          </cell>
          <cell r="W173">
            <v>11091168</v>
          </cell>
          <cell r="Y173">
            <v>712800</v>
          </cell>
          <cell r="Z173">
            <v>1582416</v>
          </cell>
          <cell r="AA173">
            <v>11091168</v>
          </cell>
          <cell r="AB173">
            <v>2295216</v>
          </cell>
          <cell r="AC173">
            <v>11960784</v>
          </cell>
        </row>
        <row r="174">
          <cell r="G174" t="str">
            <v>JELLY충진기</v>
          </cell>
          <cell r="H174" t="str">
            <v>20M/MIN 95mm 200L</v>
          </cell>
          <cell r="I174" t="str">
            <v>아신기계</v>
          </cell>
          <cell r="J174">
            <v>1</v>
          </cell>
          <cell r="K174" t="str">
            <v>SET</v>
          </cell>
          <cell r="L174">
            <v>970125</v>
          </cell>
          <cell r="M174">
            <v>9</v>
          </cell>
          <cell r="N174">
            <v>10</v>
          </cell>
          <cell r="O174">
            <v>356400000</v>
          </cell>
          <cell r="Q174">
            <v>39560400</v>
          </cell>
          <cell r="R174">
            <v>316839600</v>
          </cell>
          <cell r="S174">
            <v>0.111</v>
          </cell>
          <cell r="T174">
            <v>0.1</v>
          </cell>
          <cell r="U174">
            <v>39560400</v>
          </cell>
          <cell r="V174">
            <v>79120800</v>
          </cell>
          <cell r="W174">
            <v>277279200</v>
          </cell>
          <cell r="Y174">
            <v>17820000</v>
          </cell>
          <cell r="Z174">
            <v>39560400</v>
          </cell>
          <cell r="AA174">
            <v>277279200</v>
          </cell>
          <cell r="AB174">
            <v>57380400</v>
          </cell>
          <cell r="AC174">
            <v>299019600</v>
          </cell>
        </row>
        <row r="175">
          <cell r="G175" t="str">
            <v>집합기 52B/O</v>
          </cell>
          <cell r="H175" t="str">
            <v>0.5-1.2mm 500mm 500RPM</v>
          </cell>
          <cell r="I175" t="str">
            <v>동성엔지니어링</v>
          </cell>
          <cell r="J175">
            <v>1</v>
          </cell>
          <cell r="K175" t="str">
            <v>대</v>
          </cell>
          <cell r="L175">
            <v>970220</v>
          </cell>
          <cell r="M175">
            <v>9</v>
          </cell>
          <cell r="N175">
            <v>10</v>
          </cell>
          <cell r="O175">
            <v>89100000</v>
          </cell>
          <cell r="Q175">
            <v>9890100</v>
          </cell>
          <cell r="R175">
            <v>79209900</v>
          </cell>
          <cell r="S175">
            <v>0.111</v>
          </cell>
          <cell r="T175">
            <v>0.1</v>
          </cell>
          <cell r="U175">
            <v>9890100</v>
          </cell>
          <cell r="V175">
            <v>19780200</v>
          </cell>
          <cell r="W175">
            <v>69319800</v>
          </cell>
          <cell r="Y175">
            <v>4455000</v>
          </cell>
          <cell r="Z175">
            <v>9890100</v>
          </cell>
          <cell r="AA175">
            <v>69319800</v>
          </cell>
          <cell r="AB175">
            <v>14345100</v>
          </cell>
          <cell r="AC175">
            <v>74754900</v>
          </cell>
        </row>
        <row r="176">
          <cell r="G176" t="str">
            <v>렌즈마킹기</v>
          </cell>
          <cell r="H176" t="str">
            <v>WHEEL 2STAGE</v>
          </cell>
          <cell r="I176" t="str">
            <v>한일사(파주)</v>
          </cell>
          <cell r="J176">
            <v>1</v>
          </cell>
          <cell r="K176" t="str">
            <v>대</v>
          </cell>
          <cell r="L176">
            <v>970428</v>
          </cell>
          <cell r="M176">
            <v>9</v>
          </cell>
          <cell r="N176">
            <v>10</v>
          </cell>
          <cell r="O176">
            <v>8580000</v>
          </cell>
          <cell r="Q176">
            <v>952380</v>
          </cell>
          <cell r="R176">
            <v>7627620</v>
          </cell>
          <cell r="S176">
            <v>0.111</v>
          </cell>
          <cell r="T176">
            <v>0.1</v>
          </cell>
          <cell r="U176">
            <v>952380</v>
          </cell>
          <cell r="V176">
            <v>1904760</v>
          </cell>
          <cell r="W176">
            <v>6675240</v>
          </cell>
          <cell r="Y176">
            <v>429000</v>
          </cell>
          <cell r="Z176">
            <v>952380</v>
          </cell>
          <cell r="AA176">
            <v>6675240</v>
          </cell>
          <cell r="AB176">
            <v>1381380</v>
          </cell>
          <cell r="AC176">
            <v>7198620</v>
          </cell>
        </row>
        <row r="177">
          <cell r="G177" t="str">
            <v>2개연선기 54B/O   CASTAN HIGH SPEED PAIRING MACHNZ/ SUPPLY DANCER 2SET외 부대설비및설치비</v>
          </cell>
          <cell r="H177" t="str">
            <v>500B/N 2000RPM</v>
          </cell>
          <cell r="I177" t="str">
            <v>상은HAMANA(TEISEI.JAPAN)</v>
          </cell>
          <cell r="J177">
            <v>3</v>
          </cell>
          <cell r="K177" t="str">
            <v>SET</v>
          </cell>
          <cell r="L177">
            <v>980325</v>
          </cell>
          <cell r="M177">
            <v>9</v>
          </cell>
          <cell r="N177">
            <v>10</v>
          </cell>
          <cell r="O177">
            <v>177011942</v>
          </cell>
          <cell r="Q177">
            <v>19648326</v>
          </cell>
          <cell r="R177">
            <v>157363616</v>
          </cell>
          <cell r="S177">
            <v>0.111</v>
          </cell>
          <cell r="T177">
            <v>0.1</v>
          </cell>
          <cell r="U177">
            <v>19648326</v>
          </cell>
          <cell r="V177">
            <v>39296652</v>
          </cell>
          <cell r="W177">
            <v>137715290</v>
          </cell>
          <cell r="Y177">
            <v>8850597</v>
          </cell>
          <cell r="Z177">
            <v>19648326</v>
          </cell>
          <cell r="AA177">
            <v>137715290</v>
          </cell>
          <cell r="AB177">
            <v>28498923</v>
          </cell>
          <cell r="AC177">
            <v>148513019</v>
          </cell>
        </row>
        <row r="178">
          <cell r="G178" t="str">
            <v>츄브라 연선기 6B   /O</v>
          </cell>
          <cell r="H178" t="str">
            <v>1.6-3.2mm 500RPM</v>
          </cell>
          <cell r="I178" t="str">
            <v>상은(신일기계,대붕전자)</v>
          </cell>
          <cell r="J178">
            <v>1</v>
          </cell>
          <cell r="K178" t="str">
            <v>대</v>
          </cell>
          <cell r="L178">
            <v>980325</v>
          </cell>
          <cell r="M178">
            <v>9</v>
          </cell>
          <cell r="N178">
            <v>10</v>
          </cell>
          <cell r="O178">
            <v>69410000</v>
          </cell>
          <cell r="Q178">
            <v>7704510</v>
          </cell>
          <cell r="R178">
            <v>61705490</v>
          </cell>
          <cell r="S178">
            <v>0.111</v>
          </cell>
          <cell r="T178">
            <v>0.1</v>
          </cell>
          <cell r="U178">
            <v>7704510</v>
          </cell>
          <cell r="V178">
            <v>15409020</v>
          </cell>
          <cell r="W178">
            <v>54000980</v>
          </cell>
          <cell r="Y178">
            <v>3470500</v>
          </cell>
          <cell r="Z178">
            <v>7704510</v>
          </cell>
          <cell r="AA178">
            <v>54000980</v>
          </cell>
          <cell r="AB178">
            <v>11175010</v>
          </cell>
          <cell r="AC178">
            <v>58234990</v>
          </cell>
        </row>
        <row r="179">
          <cell r="G179" t="str">
            <v>연선기6 B/O UNIT</v>
          </cell>
          <cell r="H179" t="str">
            <v>1,200MM*6EA 25RPM</v>
          </cell>
          <cell r="I179" t="str">
            <v>상은(신일기계,대붕전자)</v>
          </cell>
          <cell r="J179">
            <v>1</v>
          </cell>
          <cell r="K179" t="str">
            <v>대</v>
          </cell>
          <cell r="L179">
            <v>980325</v>
          </cell>
          <cell r="M179">
            <v>9</v>
          </cell>
          <cell r="N179">
            <v>10</v>
          </cell>
          <cell r="O179">
            <v>63720000</v>
          </cell>
          <cell r="P179">
            <v>4200000</v>
          </cell>
          <cell r="Q179">
            <v>7072920</v>
          </cell>
          <cell r="R179">
            <v>60847080</v>
          </cell>
          <cell r="S179">
            <v>0.111</v>
          </cell>
          <cell r="T179">
            <v>0.1</v>
          </cell>
          <cell r="U179">
            <v>7539120</v>
          </cell>
          <cell r="V179">
            <v>14612040</v>
          </cell>
          <cell r="W179">
            <v>53307960</v>
          </cell>
          <cell r="Y179">
            <v>3396000</v>
          </cell>
          <cell r="Z179">
            <v>7539120</v>
          </cell>
          <cell r="AA179">
            <v>53307960</v>
          </cell>
          <cell r="AB179">
            <v>10468920</v>
          </cell>
          <cell r="AC179">
            <v>57451080</v>
          </cell>
        </row>
        <row r="180">
          <cell r="G180" t="str">
            <v>대형 PUNCHER</v>
          </cell>
          <cell r="H180" t="str">
            <v>610m/m,400M/MIN 50-200mm 5.5KW</v>
          </cell>
          <cell r="I180" t="str">
            <v>상은(대붕전자)</v>
          </cell>
          <cell r="J180">
            <v>1</v>
          </cell>
          <cell r="K180" t="str">
            <v>대</v>
          </cell>
          <cell r="L180">
            <v>980325</v>
          </cell>
          <cell r="M180">
            <v>9</v>
          </cell>
          <cell r="N180">
            <v>10</v>
          </cell>
          <cell r="O180">
            <v>50480000</v>
          </cell>
          <cell r="Q180">
            <v>5603280</v>
          </cell>
          <cell r="R180">
            <v>44876720</v>
          </cell>
          <cell r="S180">
            <v>0.111</v>
          </cell>
          <cell r="T180">
            <v>0.1</v>
          </cell>
          <cell r="U180">
            <v>5603280</v>
          </cell>
          <cell r="V180">
            <v>11206560</v>
          </cell>
          <cell r="W180">
            <v>39273440</v>
          </cell>
          <cell r="Y180">
            <v>2524000</v>
          </cell>
          <cell r="Z180">
            <v>5603280</v>
          </cell>
          <cell r="AA180">
            <v>39273440</v>
          </cell>
          <cell r="AB180">
            <v>8127280</v>
          </cell>
          <cell r="AC180">
            <v>42352720</v>
          </cell>
        </row>
        <row r="181">
          <cell r="G181" t="str">
            <v>H.V.TERMINATION   (CABLE수단말)</v>
          </cell>
          <cell r="H181" t="str">
            <v>300KVAC(HVT-300)</v>
          </cell>
          <cell r="I181" t="str">
            <v>TKDDMS(ROBBINSON.KOREA)</v>
          </cell>
          <cell r="J181">
            <v>1</v>
          </cell>
          <cell r="K181" t="str">
            <v>SET</v>
          </cell>
          <cell r="L181">
            <v>980325</v>
          </cell>
          <cell r="M181">
            <v>9</v>
          </cell>
          <cell r="N181">
            <v>10</v>
          </cell>
          <cell r="O181">
            <v>17853000</v>
          </cell>
          <cell r="Q181">
            <v>1981683</v>
          </cell>
          <cell r="R181">
            <v>15871317</v>
          </cell>
          <cell r="S181">
            <v>0.111</v>
          </cell>
          <cell r="T181">
            <v>0.1</v>
          </cell>
          <cell r="U181">
            <v>1981683</v>
          </cell>
          <cell r="V181">
            <v>3963366</v>
          </cell>
          <cell r="W181">
            <v>13889634</v>
          </cell>
          <cell r="Y181">
            <v>892650</v>
          </cell>
          <cell r="Z181">
            <v>1981683</v>
          </cell>
          <cell r="AA181">
            <v>13889634</v>
          </cell>
          <cell r="AB181">
            <v>2874333</v>
          </cell>
          <cell r="AC181">
            <v>14978667</v>
          </cell>
        </row>
        <row r="182">
          <cell r="G182" t="str">
            <v>내전압시험기 AC     DIELECTRIC TEST SET TKDDMSFLTM</v>
          </cell>
          <cell r="H182" t="str">
            <v>300KV/80KVA 6TD300-150</v>
          </cell>
          <cell r="I182" t="str">
            <v>상은(PHENIX.USA)</v>
          </cell>
          <cell r="J182">
            <v>1</v>
          </cell>
          <cell r="K182" t="str">
            <v>SET</v>
          </cell>
          <cell r="L182">
            <v>980325</v>
          </cell>
          <cell r="M182">
            <v>9</v>
          </cell>
          <cell r="N182">
            <v>10</v>
          </cell>
          <cell r="O182">
            <v>43152000</v>
          </cell>
          <cell r="Q182">
            <v>4789872</v>
          </cell>
          <cell r="R182">
            <v>38362128</v>
          </cell>
          <cell r="S182">
            <v>0.111</v>
          </cell>
          <cell r="T182">
            <v>0.1</v>
          </cell>
          <cell r="U182">
            <v>4789872</v>
          </cell>
          <cell r="V182">
            <v>9579744</v>
          </cell>
          <cell r="W182">
            <v>33572256</v>
          </cell>
          <cell r="Y182">
            <v>2157600</v>
          </cell>
          <cell r="Z182">
            <v>4789872</v>
          </cell>
          <cell r="AA182">
            <v>33572256</v>
          </cell>
          <cell r="AB182">
            <v>6947472</v>
          </cell>
          <cell r="AC182">
            <v>36204528</v>
          </cell>
        </row>
        <row r="183">
          <cell r="G183" t="str">
            <v>SMOKE BOX(유독가   스측정기)</v>
          </cell>
          <cell r="H183" t="str">
            <v>0-1400OC 1/2HP(133)</v>
          </cell>
          <cell r="I183" t="str">
            <v>상은(PHEOMETRIC.영국)</v>
          </cell>
          <cell r="J183">
            <v>1</v>
          </cell>
          <cell r="K183" t="str">
            <v>SET</v>
          </cell>
          <cell r="L183">
            <v>980325</v>
          </cell>
          <cell r="M183">
            <v>9</v>
          </cell>
          <cell r="N183">
            <v>10</v>
          </cell>
          <cell r="O183">
            <v>55514000</v>
          </cell>
          <cell r="Q183">
            <v>6162054</v>
          </cell>
          <cell r="R183">
            <v>49351946</v>
          </cell>
          <cell r="S183">
            <v>0.111</v>
          </cell>
          <cell r="T183">
            <v>0.1</v>
          </cell>
          <cell r="U183">
            <v>6162054</v>
          </cell>
          <cell r="V183">
            <v>12324108</v>
          </cell>
          <cell r="W183">
            <v>43189892</v>
          </cell>
          <cell r="Y183">
            <v>2775700</v>
          </cell>
          <cell r="Z183">
            <v>6162054</v>
          </cell>
          <cell r="AA183">
            <v>43189892</v>
          </cell>
          <cell r="AB183">
            <v>8937754</v>
          </cell>
          <cell r="AC183">
            <v>46576246</v>
          </cell>
        </row>
        <row r="184">
          <cell r="G184" t="str">
            <v>AIR COMPRESSURE</v>
          </cell>
          <cell r="H184" t="str">
            <v>AC-575TW1수냉식50HP*2</v>
          </cell>
          <cell r="I184" t="str">
            <v>상은(경원세기,대붕전자)</v>
          </cell>
          <cell r="J184">
            <v>1</v>
          </cell>
          <cell r="K184" t="str">
            <v>대</v>
          </cell>
          <cell r="L184">
            <v>980325</v>
          </cell>
          <cell r="M184">
            <v>9</v>
          </cell>
          <cell r="N184">
            <v>10</v>
          </cell>
          <cell r="O184">
            <v>23347000</v>
          </cell>
          <cell r="Q184">
            <v>2591517</v>
          </cell>
          <cell r="R184">
            <v>20755483</v>
          </cell>
          <cell r="S184">
            <v>0.111</v>
          </cell>
          <cell r="T184">
            <v>0.1</v>
          </cell>
          <cell r="U184">
            <v>2591517</v>
          </cell>
          <cell r="V184">
            <v>5183034</v>
          </cell>
          <cell r="W184">
            <v>18163966</v>
          </cell>
          <cell r="Y184">
            <v>1167350</v>
          </cell>
          <cell r="Z184">
            <v>2591517</v>
          </cell>
          <cell r="AA184">
            <v>18163966</v>
          </cell>
          <cell r="AB184">
            <v>3758867</v>
          </cell>
          <cell r="AC184">
            <v>19588133</v>
          </cell>
        </row>
        <row r="185">
          <cell r="G185" t="str">
            <v xml:space="preserve">OSCILLOSCOPE SYS </v>
          </cell>
          <cell r="H185" t="str">
            <v>100MHZ600KV(TEK-2232)</v>
          </cell>
          <cell r="I185" t="str">
            <v>상은(TEKTRONIX.USA)</v>
          </cell>
          <cell r="J185">
            <v>1</v>
          </cell>
          <cell r="K185" t="str">
            <v>SET</v>
          </cell>
          <cell r="L185">
            <v>980325</v>
          </cell>
          <cell r="M185">
            <v>9</v>
          </cell>
          <cell r="N185">
            <v>10</v>
          </cell>
          <cell r="O185">
            <v>12620000</v>
          </cell>
          <cell r="Q185">
            <v>1400820</v>
          </cell>
          <cell r="R185">
            <v>11219180</v>
          </cell>
          <cell r="S185">
            <v>0.111</v>
          </cell>
          <cell r="T185">
            <v>0.1</v>
          </cell>
          <cell r="U185">
            <v>1400820</v>
          </cell>
          <cell r="V185">
            <v>2801640</v>
          </cell>
          <cell r="W185">
            <v>9818360</v>
          </cell>
          <cell r="Y185">
            <v>631000</v>
          </cell>
          <cell r="Z185">
            <v>1400820</v>
          </cell>
          <cell r="AA185">
            <v>9818360</v>
          </cell>
          <cell r="AB185">
            <v>2031820</v>
          </cell>
          <cell r="AC185">
            <v>10588180</v>
          </cell>
        </row>
        <row r="186">
          <cell r="G186" t="str">
            <v>PH.METER(DIGITAL)     PH 0.00-14.00</v>
          </cell>
          <cell r="H186" t="str">
            <v>PH 0.00-14.00</v>
          </cell>
          <cell r="I186" t="str">
            <v>상은(TOV.JAPAN)</v>
          </cell>
          <cell r="J186">
            <v>1</v>
          </cell>
          <cell r="K186" t="str">
            <v>SET</v>
          </cell>
          <cell r="L186">
            <v>980325</v>
          </cell>
          <cell r="M186">
            <v>9</v>
          </cell>
          <cell r="N186">
            <v>10</v>
          </cell>
          <cell r="O186">
            <v>757000</v>
          </cell>
          <cell r="Q186">
            <v>84027</v>
          </cell>
          <cell r="R186">
            <v>672973</v>
          </cell>
          <cell r="S186">
            <v>0.111</v>
          </cell>
          <cell r="T186">
            <v>0.1</v>
          </cell>
          <cell r="U186">
            <v>84027</v>
          </cell>
          <cell r="V186">
            <v>168054</v>
          </cell>
          <cell r="W186">
            <v>588946</v>
          </cell>
          <cell r="Y186">
            <v>37850</v>
          </cell>
          <cell r="Z186">
            <v>84027</v>
          </cell>
          <cell r="AA186">
            <v>588946</v>
          </cell>
          <cell r="AB186">
            <v>121877</v>
          </cell>
          <cell r="AC186">
            <v>635123</v>
          </cell>
        </row>
        <row r="187">
          <cell r="G187" t="str">
            <v>PORTABLE DOUBLE        BRIDGE</v>
          </cell>
          <cell r="H187" t="str">
            <v>0.1-110 ohm</v>
          </cell>
          <cell r="I187" t="str">
            <v>상은(YOKOGAWA.JAPAN)</v>
          </cell>
          <cell r="J187">
            <v>1</v>
          </cell>
          <cell r="K187" t="str">
            <v>SET</v>
          </cell>
          <cell r="L187">
            <v>980325</v>
          </cell>
          <cell r="M187">
            <v>9</v>
          </cell>
          <cell r="N187">
            <v>10</v>
          </cell>
          <cell r="O187">
            <v>703000</v>
          </cell>
          <cell r="Q187">
            <v>78033</v>
          </cell>
          <cell r="R187">
            <v>624967</v>
          </cell>
          <cell r="S187">
            <v>0.111</v>
          </cell>
          <cell r="T187">
            <v>0.1</v>
          </cell>
          <cell r="U187">
            <v>78033</v>
          </cell>
          <cell r="V187">
            <v>156066</v>
          </cell>
          <cell r="W187">
            <v>546934</v>
          </cell>
          <cell r="Y187">
            <v>35150</v>
          </cell>
          <cell r="Z187">
            <v>78033</v>
          </cell>
          <cell r="AA187">
            <v>546934</v>
          </cell>
          <cell r="AB187">
            <v>113183</v>
          </cell>
          <cell r="AC187">
            <v>589817</v>
          </cell>
        </row>
        <row r="188">
          <cell r="G188" t="str">
            <v>태선기 11DIES</v>
          </cell>
          <cell r="H188" t="str">
            <v>8-9mm/1.6-3.2mm800m/min</v>
          </cell>
          <cell r="I188" t="str">
            <v>선진기계(상은:대붕전자)</v>
          </cell>
          <cell r="J188">
            <v>1</v>
          </cell>
          <cell r="K188" t="str">
            <v>대</v>
          </cell>
          <cell r="L188">
            <v>980325</v>
          </cell>
          <cell r="M188">
            <v>9</v>
          </cell>
          <cell r="N188">
            <v>10</v>
          </cell>
          <cell r="O188">
            <v>195610000</v>
          </cell>
          <cell r="P188">
            <v>2250000</v>
          </cell>
          <cell r="Q188">
            <v>21712710</v>
          </cell>
          <cell r="R188">
            <v>176147290</v>
          </cell>
          <cell r="S188">
            <v>0.111</v>
          </cell>
          <cell r="T188">
            <v>0.1</v>
          </cell>
          <cell r="U188">
            <v>21962460</v>
          </cell>
          <cell r="V188">
            <v>43675170</v>
          </cell>
          <cell r="W188">
            <v>154184830</v>
          </cell>
          <cell r="Y188">
            <v>9893000</v>
          </cell>
          <cell r="Z188">
            <v>21962460</v>
          </cell>
          <cell r="AA188">
            <v>154184830</v>
          </cell>
          <cell r="AB188">
            <v>31605710</v>
          </cell>
          <cell r="AC188">
            <v>166254290</v>
          </cell>
        </row>
        <row r="189">
          <cell r="G189" t="str">
            <v>신선기 9 DIES</v>
          </cell>
          <cell r="H189" t="str">
            <v>8.5-1.5MM 450M/MIN(2.6mm기준)</v>
          </cell>
          <cell r="I189" t="str">
            <v>동성기계(비사벌전선)</v>
          </cell>
          <cell r="J189">
            <v>1</v>
          </cell>
          <cell r="K189" t="str">
            <v>대</v>
          </cell>
          <cell r="L189">
            <v>950330</v>
          </cell>
          <cell r="M189">
            <v>7.5</v>
          </cell>
          <cell r="N189">
            <v>10</v>
          </cell>
          <cell r="O189">
            <v>56200000</v>
          </cell>
          <cell r="Q189">
            <v>7025000</v>
          </cell>
          <cell r="R189">
            <v>49175000</v>
          </cell>
          <cell r="S189">
            <v>0.125</v>
          </cell>
          <cell r="T189">
            <v>0.1</v>
          </cell>
          <cell r="U189">
            <v>7025000</v>
          </cell>
          <cell r="V189">
            <v>14050000</v>
          </cell>
          <cell r="W189">
            <v>42150000</v>
          </cell>
          <cell r="Y189">
            <v>2810000</v>
          </cell>
          <cell r="Z189">
            <v>7025000</v>
          </cell>
          <cell r="AA189">
            <v>42150000</v>
          </cell>
          <cell r="AB189">
            <v>9835000</v>
          </cell>
          <cell r="AC189">
            <v>46365000</v>
          </cell>
        </row>
        <row r="190">
          <cell r="G190" t="str">
            <v>수밀형압출기</v>
          </cell>
          <cell r="H190" t="str">
            <v>YSE-40 Screw 5.5KW*3EA</v>
          </cell>
          <cell r="I190" t="str">
            <v>유신기계</v>
          </cell>
          <cell r="J190">
            <v>1</v>
          </cell>
          <cell r="K190" t="str">
            <v>대</v>
          </cell>
          <cell r="L190">
            <v>951227</v>
          </cell>
          <cell r="M190">
            <v>8</v>
          </cell>
          <cell r="N190">
            <v>10</v>
          </cell>
          <cell r="O190">
            <v>38272000</v>
          </cell>
          <cell r="Q190">
            <v>4784000</v>
          </cell>
          <cell r="R190">
            <v>33488000</v>
          </cell>
          <cell r="S190">
            <v>0.125</v>
          </cell>
          <cell r="T190">
            <v>0.1</v>
          </cell>
          <cell r="U190">
            <v>4784000</v>
          </cell>
          <cell r="V190">
            <v>9568000</v>
          </cell>
          <cell r="W190">
            <v>28704000</v>
          </cell>
          <cell r="Y190">
            <v>1913600</v>
          </cell>
          <cell r="Z190">
            <v>4784000</v>
          </cell>
          <cell r="AA190">
            <v>28704000</v>
          </cell>
          <cell r="AB190">
            <v>6697600</v>
          </cell>
          <cell r="AC190">
            <v>31574400</v>
          </cell>
        </row>
        <row r="191">
          <cell r="G191" t="str">
            <v>수밀형압출기</v>
          </cell>
          <cell r="H191" t="str">
            <v>YSE-50 Screw 5KW*3EA</v>
          </cell>
          <cell r="I191" t="str">
            <v>유신기계</v>
          </cell>
          <cell r="J191">
            <v>1</v>
          </cell>
          <cell r="K191" t="str">
            <v>대</v>
          </cell>
          <cell r="L191">
            <v>951227</v>
          </cell>
          <cell r="M191">
            <v>8</v>
          </cell>
          <cell r="N191">
            <v>10</v>
          </cell>
          <cell r="O191">
            <v>50048000</v>
          </cell>
          <cell r="Q191">
            <v>6256000</v>
          </cell>
          <cell r="R191">
            <v>43792000</v>
          </cell>
          <cell r="S191">
            <v>0.125</v>
          </cell>
          <cell r="T191">
            <v>0.1</v>
          </cell>
          <cell r="U191">
            <v>6256000</v>
          </cell>
          <cell r="V191">
            <v>12512000</v>
          </cell>
          <cell r="W191">
            <v>37536000</v>
          </cell>
          <cell r="Y191">
            <v>2502400</v>
          </cell>
          <cell r="Z191">
            <v>6256000</v>
          </cell>
          <cell r="AA191">
            <v>37536000</v>
          </cell>
          <cell r="AB191">
            <v>8758400</v>
          </cell>
          <cell r="AC191">
            <v>41289600</v>
          </cell>
        </row>
        <row r="192">
          <cell r="G192" t="str">
            <v>36B/O 연선기(6+12  +18B/O)</v>
          </cell>
          <cell r="H192" t="str">
            <v>610mm 5000RPM</v>
          </cell>
          <cell r="I192" t="str">
            <v>동성엔지니어링</v>
          </cell>
          <cell r="J192">
            <v>1</v>
          </cell>
          <cell r="K192" t="str">
            <v>대</v>
          </cell>
          <cell r="L192">
            <v>960715</v>
          </cell>
          <cell r="M192">
            <v>8</v>
          </cell>
          <cell r="N192">
            <v>10</v>
          </cell>
          <cell r="O192">
            <v>222320000</v>
          </cell>
          <cell r="Q192">
            <v>27790000</v>
          </cell>
          <cell r="R192">
            <v>194530000</v>
          </cell>
          <cell r="S192">
            <v>0.125</v>
          </cell>
          <cell r="T192">
            <v>0.1</v>
          </cell>
          <cell r="U192">
            <v>27790000</v>
          </cell>
          <cell r="V192">
            <v>55580000</v>
          </cell>
          <cell r="W192">
            <v>166740000</v>
          </cell>
          <cell r="Y192">
            <v>11116000</v>
          </cell>
          <cell r="Z192">
            <v>27790000</v>
          </cell>
          <cell r="AA192">
            <v>166740000</v>
          </cell>
          <cell r="AB192">
            <v>38906000</v>
          </cell>
          <cell r="AC192">
            <v>183414000</v>
          </cell>
        </row>
        <row r="193">
          <cell r="G193" t="str">
            <v>AIR COMPRESSURE</v>
          </cell>
          <cell r="H193" t="str">
            <v>5HP 공냉식</v>
          </cell>
          <cell r="I193" t="str">
            <v>한신공압(성지산업)</v>
          </cell>
          <cell r="J193">
            <v>1</v>
          </cell>
          <cell r="K193" t="str">
            <v>대</v>
          </cell>
          <cell r="L193">
            <v>961202</v>
          </cell>
          <cell r="M193">
            <v>8</v>
          </cell>
          <cell r="N193">
            <v>10</v>
          </cell>
          <cell r="O193">
            <v>1069000</v>
          </cell>
          <cell r="Q193">
            <v>133625</v>
          </cell>
          <cell r="R193">
            <v>935375</v>
          </cell>
          <cell r="S193">
            <v>0.125</v>
          </cell>
          <cell r="T193">
            <v>0.1</v>
          </cell>
          <cell r="U193">
            <v>133625</v>
          </cell>
          <cell r="V193">
            <v>267250</v>
          </cell>
          <cell r="W193">
            <v>801750</v>
          </cell>
          <cell r="Y193">
            <v>53450</v>
          </cell>
          <cell r="Z193">
            <v>133625</v>
          </cell>
          <cell r="AA193">
            <v>801750</v>
          </cell>
          <cell r="AB193">
            <v>187075</v>
          </cell>
          <cell r="AC193">
            <v>881925</v>
          </cell>
        </row>
        <row r="194">
          <cell r="G194" t="str">
            <v>코로케션 ALPATH기</v>
          </cell>
          <cell r="J194">
            <v>1</v>
          </cell>
          <cell r="K194" t="str">
            <v>대</v>
          </cell>
          <cell r="L194">
            <v>870801</v>
          </cell>
          <cell r="M194">
            <v>-1</v>
          </cell>
          <cell r="N194">
            <v>10</v>
          </cell>
          <cell r="O194">
            <v>83462</v>
          </cell>
          <cell r="Q194">
            <v>20866</v>
          </cell>
          <cell r="R194">
            <v>62596</v>
          </cell>
          <cell r="S194" t="str">
            <v>2/4회</v>
          </cell>
          <cell r="T194">
            <v>0.1</v>
          </cell>
          <cell r="U194">
            <v>20866</v>
          </cell>
          <cell r="V194">
            <v>41732</v>
          </cell>
          <cell r="W194">
            <v>41730</v>
          </cell>
          <cell r="Y194">
            <v>20866</v>
          </cell>
          <cell r="Z194">
            <v>62596</v>
          </cell>
          <cell r="AA194">
            <v>0</v>
          </cell>
          <cell r="AB194">
            <v>41732</v>
          </cell>
          <cell r="AC194">
            <v>41730</v>
          </cell>
        </row>
        <row r="195">
          <cell r="Z195">
            <v>0</v>
          </cell>
        </row>
        <row r="196">
          <cell r="G196" t="str">
            <v>상 각 자 산 계</v>
          </cell>
          <cell r="O196">
            <v>9028738740.1417618</v>
          </cell>
          <cell r="P196">
            <v>21372400</v>
          </cell>
          <cell r="Q196">
            <v>1364685313</v>
          </cell>
          <cell r="R196">
            <v>7678990827.1417618</v>
          </cell>
          <cell r="U196">
            <v>1404870845</v>
          </cell>
          <cell r="V196">
            <v>2769556158</v>
          </cell>
          <cell r="W196">
            <v>6274119982.1417618</v>
          </cell>
          <cell r="Y196">
            <v>383809485</v>
          </cell>
          <cell r="Z196">
            <v>1514517042</v>
          </cell>
          <cell r="AB196">
            <v>1748494798</v>
          </cell>
          <cell r="AC196">
            <v>7295181342.1417618</v>
          </cell>
        </row>
        <row r="197">
          <cell r="P197">
            <v>-6435000</v>
          </cell>
          <cell r="R197">
            <v>7678990827.1417618</v>
          </cell>
          <cell r="Z197">
            <v>1130707557</v>
          </cell>
        </row>
        <row r="198">
          <cell r="G198" t="str">
            <v>연선기(유니트)(S.   E교화기)</v>
          </cell>
          <cell r="H198" t="str">
            <v>18B*1000MM</v>
          </cell>
          <cell r="J198">
            <v>1</v>
          </cell>
          <cell r="K198" t="str">
            <v>대</v>
          </cell>
          <cell r="L198">
            <v>800401</v>
          </cell>
          <cell r="M198">
            <v>-4</v>
          </cell>
          <cell r="N198">
            <v>10</v>
          </cell>
          <cell r="O198">
            <v>245850</v>
          </cell>
          <cell r="Q198">
            <v>244850</v>
          </cell>
          <cell r="R198">
            <v>1000</v>
          </cell>
          <cell r="S198" t="str">
            <v>4/4회</v>
          </cell>
          <cell r="T198">
            <v>0.1</v>
          </cell>
          <cell r="V198">
            <v>244850</v>
          </cell>
          <cell r="W198">
            <v>1000</v>
          </cell>
          <cell r="AB198">
            <v>244850</v>
          </cell>
          <cell r="AC198">
            <v>1000</v>
          </cell>
        </row>
        <row r="199">
          <cell r="G199" t="str">
            <v>표면온도계,정전용    량시험기</v>
          </cell>
          <cell r="H199" t="str">
            <v>600도</v>
          </cell>
          <cell r="J199">
            <v>1</v>
          </cell>
          <cell r="K199" t="str">
            <v>대</v>
          </cell>
          <cell r="L199">
            <v>800601</v>
          </cell>
          <cell r="M199">
            <v>-4</v>
          </cell>
          <cell r="N199">
            <v>10</v>
          </cell>
          <cell r="O199">
            <v>2350</v>
          </cell>
          <cell r="Q199">
            <v>1350</v>
          </cell>
          <cell r="R199">
            <v>1000</v>
          </cell>
          <cell r="S199" t="str">
            <v>4/4회</v>
          </cell>
          <cell r="T199">
            <v>0.1</v>
          </cell>
          <cell r="V199">
            <v>1350</v>
          </cell>
          <cell r="W199">
            <v>1000</v>
          </cell>
          <cell r="AB199">
            <v>1350</v>
          </cell>
          <cell r="AC199">
            <v>1000</v>
          </cell>
        </row>
        <row r="200">
          <cell r="G200" t="str">
            <v>믹싱로라</v>
          </cell>
          <cell r="H200" t="str">
            <v>16MM*40</v>
          </cell>
          <cell r="J200">
            <v>1</v>
          </cell>
          <cell r="K200" t="str">
            <v>대</v>
          </cell>
          <cell r="L200">
            <v>820101</v>
          </cell>
          <cell r="M200">
            <v>-4</v>
          </cell>
          <cell r="N200">
            <v>10</v>
          </cell>
          <cell r="O200">
            <v>138050</v>
          </cell>
          <cell r="Q200">
            <v>137050</v>
          </cell>
          <cell r="R200">
            <v>1000</v>
          </cell>
          <cell r="S200" t="str">
            <v>4/4회</v>
          </cell>
          <cell r="T200">
            <v>0.1</v>
          </cell>
          <cell r="V200">
            <v>137050</v>
          </cell>
          <cell r="W200">
            <v>1000</v>
          </cell>
          <cell r="AB200">
            <v>137050</v>
          </cell>
          <cell r="AC200">
            <v>1000</v>
          </cell>
        </row>
        <row r="201">
          <cell r="G201" t="str">
            <v>정전결합측정기</v>
          </cell>
          <cell r="J201">
            <v>2</v>
          </cell>
          <cell r="K201" t="str">
            <v>대</v>
          </cell>
          <cell r="L201">
            <v>821201</v>
          </cell>
          <cell r="M201">
            <v>-4</v>
          </cell>
          <cell r="N201">
            <v>10</v>
          </cell>
          <cell r="O201">
            <v>24780</v>
          </cell>
          <cell r="Q201">
            <v>23780</v>
          </cell>
          <cell r="R201">
            <v>1000</v>
          </cell>
          <cell r="S201" t="str">
            <v>4/4회</v>
          </cell>
          <cell r="T201">
            <v>0.1</v>
          </cell>
          <cell r="V201">
            <v>23780</v>
          </cell>
          <cell r="W201">
            <v>1000</v>
          </cell>
          <cell r="AB201">
            <v>23780</v>
          </cell>
          <cell r="AC201">
            <v>1000</v>
          </cell>
        </row>
        <row r="202">
          <cell r="G202" t="str">
            <v>집합기</v>
          </cell>
          <cell r="H202" t="str">
            <v>24선</v>
          </cell>
          <cell r="J202">
            <v>1</v>
          </cell>
          <cell r="K202" t="str">
            <v>대</v>
          </cell>
          <cell r="L202">
            <v>830101</v>
          </cell>
          <cell r="M202">
            <v>-4</v>
          </cell>
          <cell r="N202">
            <v>10</v>
          </cell>
          <cell r="O202">
            <v>594500</v>
          </cell>
          <cell r="Q202">
            <v>593500</v>
          </cell>
          <cell r="R202">
            <v>1000</v>
          </cell>
          <cell r="S202" t="str">
            <v>4/4회</v>
          </cell>
          <cell r="T202">
            <v>0.1</v>
          </cell>
          <cell r="V202">
            <v>593500</v>
          </cell>
          <cell r="W202">
            <v>1000</v>
          </cell>
          <cell r="AB202">
            <v>593500</v>
          </cell>
          <cell r="AC202">
            <v>1000</v>
          </cell>
        </row>
        <row r="203">
          <cell r="G203" t="str">
            <v>축전기</v>
          </cell>
          <cell r="H203" t="str">
            <v>CV 용</v>
          </cell>
          <cell r="J203">
            <v>1</v>
          </cell>
          <cell r="K203" t="str">
            <v>SET</v>
          </cell>
          <cell r="L203">
            <v>830401</v>
          </cell>
          <cell r="M203">
            <v>-4</v>
          </cell>
          <cell r="N203">
            <v>10</v>
          </cell>
          <cell r="O203">
            <v>28656</v>
          </cell>
          <cell r="Q203">
            <v>27656</v>
          </cell>
          <cell r="R203">
            <v>1000</v>
          </cell>
          <cell r="S203" t="str">
            <v>4/4회</v>
          </cell>
          <cell r="T203">
            <v>0.1</v>
          </cell>
          <cell r="V203">
            <v>27656</v>
          </cell>
          <cell r="W203">
            <v>1000</v>
          </cell>
          <cell r="AB203">
            <v>27656</v>
          </cell>
          <cell r="AC203">
            <v>1000</v>
          </cell>
        </row>
        <row r="204">
          <cell r="G204" t="str">
            <v>TENSION METER</v>
          </cell>
          <cell r="H204" t="str">
            <v>3MM 5KW</v>
          </cell>
          <cell r="I204" t="str">
            <v>JAPAN</v>
          </cell>
          <cell r="J204">
            <v>1</v>
          </cell>
          <cell r="K204" t="str">
            <v>대</v>
          </cell>
          <cell r="L204">
            <v>830401</v>
          </cell>
          <cell r="M204">
            <v>-4</v>
          </cell>
          <cell r="N204">
            <v>10</v>
          </cell>
          <cell r="O204">
            <v>5266</v>
          </cell>
          <cell r="Q204">
            <v>4266</v>
          </cell>
          <cell r="R204">
            <v>1000</v>
          </cell>
          <cell r="S204" t="str">
            <v>4/4회</v>
          </cell>
          <cell r="T204">
            <v>0.1</v>
          </cell>
          <cell r="V204">
            <v>4266</v>
          </cell>
          <cell r="W204">
            <v>1000</v>
          </cell>
          <cell r="AB204">
            <v>4266</v>
          </cell>
          <cell r="AC204">
            <v>1000</v>
          </cell>
        </row>
        <row r="205">
          <cell r="G205" t="str">
            <v>압출기</v>
          </cell>
          <cell r="H205" t="str">
            <v>70MM</v>
          </cell>
          <cell r="J205">
            <v>1</v>
          </cell>
          <cell r="K205" t="str">
            <v>대</v>
          </cell>
          <cell r="L205">
            <v>840501</v>
          </cell>
          <cell r="M205">
            <v>-4</v>
          </cell>
          <cell r="N205">
            <v>10</v>
          </cell>
          <cell r="O205">
            <v>608625</v>
          </cell>
          <cell r="Q205">
            <v>607625</v>
          </cell>
          <cell r="R205">
            <v>1000</v>
          </cell>
          <cell r="S205" t="str">
            <v>4/4회</v>
          </cell>
          <cell r="T205">
            <v>0.1</v>
          </cell>
          <cell r="V205">
            <v>607625</v>
          </cell>
          <cell r="W205">
            <v>1000</v>
          </cell>
          <cell r="AB205">
            <v>607625</v>
          </cell>
          <cell r="AC205">
            <v>1000</v>
          </cell>
        </row>
        <row r="206">
          <cell r="G206" t="str">
            <v>연합기(스페샬연선   기)</v>
          </cell>
          <cell r="H206" t="str">
            <v>25B 1.2-3.2MM</v>
          </cell>
          <cell r="I206" t="str">
            <v>국제기계</v>
          </cell>
          <cell r="J206">
            <v>1</v>
          </cell>
          <cell r="K206" t="str">
            <v>대</v>
          </cell>
          <cell r="L206">
            <v>840501</v>
          </cell>
          <cell r="M206">
            <v>-4</v>
          </cell>
          <cell r="N206">
            <v>10</v>
          </cell>
          <cell r="O206">
            <v>489025</v>
          </cell>
          <cell r="Q206">
            <v>488025</v>
          </cell>
          <cell r="R206">
            <v>1000</v>
          </cell>
          <cell r="S206" t="str">
            <v>4/4회</v>
          </cell>
          <cell r="T206">
            <v>0.1</v>
          </cell>
          <cell r="V206">
            <v>488025</v>
          </cell>
          <cell r="W206">
            <v>1000</v>
          </cell>
          <cell r="AB206">
            <v>488025</v>
          </cell>
          <cell r="AC206">
            <v>1000</v>
          </cell>
        </row>
        <row r="207">
          <cell r="G207" t="str">
            <v>코로마틱인쇄기</v>
          </cell>
          <cell r="J207">
            <v>1</v>
          </cell>
          <cell r="K207" t="str">
            <v>대</v>
          </cell>
          <cell r="L207">
            <v>841001</v>
          </cell>
          <cell r="M207">
            <v>-4</v>
          </cell>
          <cell r="N207">
            <v>10</v>
          </cell>
          <cell r="O207">
            <v>113600</v>
          </cell>
          <cell r="Q207">
            <v>112600</v>
          </cell>
          <cell r="R207">
            <v>1000</v>
          </cell>
          <cell r="S207" t="str">
            <v>4/4회</v>
          </cell>
          <cell r="T207">
            <v>0.1</v>
          </cell>
          <cell r="V207">
            <v>112600</v>
          </cell>
          <cell r="W207">
            <v>1000</v>
          </cell>
          <cell r="AB207">
            <v>112600</v>
          </cell>
          <cell r="AC207">
            <v>1000</v>
          </cell>
        </row>
        <row r="208">
          <cell r="G208" t="str">
            <v>난연성시험기</v>
          </cell>
          <cell r="H208" t="str">
            <v>0-400 OC</v>
          </cell>
          <cell r="I208" t="str">
            <v>한일제작</v>
          </cell>
          <cell r="J208">
            <v>1</v>
          </cell>
          <cell r="K208" t="str">
            <v>대</v>
          </cell>
          <cell r="L208">
            <v>850101</v>
          </cell>
          <cell r="M208">
            <v>-4</v>
          </cell>
          <cell r="N208">
            <v>10</v>
          </cell>
          <cell r="O208">
            <v>25675</v>
          </cell>
          <cell r="Q208">
            <v>24675</v>
          </cell>
          <cell r="R208">
            <v>1000</v>
          </cell>
          <cell r="S208" t="str">
            <v>4/4회</v>
          </cell>
          <cell r="T208">
            <v>0.1</v>
          </cell>
          <cell r="V208">
            <v>24675</v>
          </cell>
          <cell r="W208">
            <v>1000</v>
          </cell>
          <cell r="AB208">
            <v>24675</v>
          </cell>
          <cell r="AC208">
            <v>1000</v>
          </cell>
        </row>
        <row r="209">
          <cell r="G209" t="str">
            <v>IMPEDANCE BRIDGE</v>
          </cell>
          <cell r="J209">
            <v>1</v>
          </cell>
          <cell r="K209" t="str">
            <v>대</v>
          </cell>
          <cell r="L209">
            <v>850601</v>
          </cell>
          <cell r="M209">
            <v>-4</v>
          </cell>
          <cell r="N209">
            <v>10</v>
          </cell>
          <cell r="O209">
            <v>3332</v>
          </cell>
          <cell r="Q209">
            <v>2332</v>
          </cell>
          <cell r="R209">
            <v>1000</v>
          </cell>
          <cell r="S209" t="str">
            <v>4/4회</v>
          </cell>
          <cell r="T209">
            <v>0.1</v>
          </cell>
          <cell r="V209">
            <v>2332</v>
          </cell>
          <cell r="W209">
            <v>1000</v>
          </cell>
          <cell r="AB209">
            <v>2332</v>
          </cell>
          <cell r="AC209">
            <v>1000</v>
          </cell>
        </row>
        <row r="211">
          <cell r="G211" t="str">
            <v>상각완료자산계</v>
          </cell>
          <cell r="O211">
            <v>2279709</v>
          </cell>
          <cell r="P211">
            <v>0</v>
          </cell>
          <cell r="Q211">
            <v>2267709</v>
          </cell>
          <cell r="R211">
            <v>12000</v>
          </cell>
          <cell r="U211">
            <v>0</v>
          </cell>
          <cell r="V211">
            <v>2267709</v>
          </cell>
          <cell r="W211">
            <v>12000</v>
          </cell>
          <cell r="Y211">
            <v>0</v>
          </cell>
          <cell r="AB211">
            <v>2267709</v>
          </cell>
          <cell r="AC211">
            <v>12000</v>
          </cell>
        </row>
        <row r="212">
          <cell r="G212" t="str">
            <v>익산기계설비합계</v>
          </cell>
          <cell r="O212">
            <v>9031018449.1417618</v>
          </cell>
          <cell r="P212">
            <v>21372400</v>
          </cell>
          <cell r="Q212">
            <v>1366953022</v>
          </cell>
          <cell r="R212">
            <v>7679002827.1417618</v>
          </cell>
          <cell r="U212">
            <v>1404870845</v>
          </cell>
          <cell r="V212">
            <v>2771823867</v>
          </cell>
          <cell r="W212">
            <v>6274131982.1417618</v>
          </cell>
          <cell r="Y212">
            <v>383809485</v>
          </cell>
          <cell r="AB212">
            <v>1750762507</v>
          </cell>
          <cell r="AC212">
            <v>7295193342.1417618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충주"/>
      <sheetName val="여의도"/>
      <sheetName val="여의도 (도)(3)"/>
      <sheetName val="여의도 (식)"/>
      <sheetName val="여의도 (87)"/>
      <sheetName val="케이씨"/>
      <sheetName val="능곡"/>
      <sheetName val="ISONI"/>
      <sheetName val="ISONI (2)"/>
      <sheetName val="응암동"/>
      <sheetName val="태백"/>
      <sheetName val="상계1"/>
      <sheetName val="상계2"/>
      <sheetName val="을지로"/>
      <sheetName val="동부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7"/>
      <sheetName val="추정PL"/>
      <sheetName val="stock_option"/>
      <sheetName val="B0"/>
      <sheetName val="B0-1"/>
      <sheetName val="B0-a"/>
      <sheetName val="B0-b"/>
      <sheetName val="B3-a"/>
      <sheetName val="B4-a"/>
      <sheetName val="info"/>
      <sheetName val="PF"/>
      <sheetName val="A5"/>
      <sheetName val="A9-1"/>
      <sheetName val="A10-1"/>
      <sheetName val="g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L"/>
      <sheetName val="시산표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합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L"/>
      <sheetName val="시산표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손익계산서"/>
      <sheetName val="Test"/>
      <sheetName val="Bs. de Uso 2002"/>
      <sheetName val="prov locales"/>
      <sheetName val="이자수익 명세"/>
      <sheetName val="합손"/>
      <sheetName val="rate"/>
      <sheetName val="재무제표"/>
      <sheetName val="재고AR"/>
      <sheetName val="서울재고"/>
      <sheetName val="Sheet1"/>
      <sheetName val="외화금융(97-03)"/>
      <sheetName val="INMD1198"/>
      <sheetName val="Korea"/>
      <sheetName val="G4"/>
      <sheetName val="인쇄BS"/>
      <sheetName val="HERO01"/>
      <sheetName val="정산표"/>
      <sheetName val="받을어음"/>
      <sheetName val="부가세신고자료"/>
      <sheetName val="ED DS"/>
      <sheetName val="ED DT"/>
      <sheetName val="RE9604"/>
      <sheetName val="최종중간기간성과"/>
      <sheetName val=" 견적서"/>
      <sheetName val="F1,2"/>
      <sheetName val="매월결산"/>
      <sheetName val="매월결산 (석탑반영)"/>
      <sheetName val="Sheet2"/>
      <sheetName val="매월결산 (감사제시확정)"/>
      <sheetName val="부서직접비"/>
      <sheetName val="부재료재고"/>
      <sheetName val="재공품"/>
      <sheetName val="HOT MELT원재료"/>
      <sheetName val="제품재고"/>
      <sheetName val="공사건별집계표"/>
      <sheetName val="PL"/>
      <sheetName val="MC"/>
      <sheetName val="BS(1)"/>
      <sheetName val="XXXXXX"/>
      <sheetName val="발견사항"/>
      <sheetName val="발견사항 (2)"/>
      <sheetName val="FINDING"/>
      <sheetName val="WBS"/>
      <sheetName val="대차"/>
      <sheetName val="WPL "/>
      <sheetName val="손익"/>
      <sheetName val="이익잉여금"/>
      <sheetName val="매출액명세서"/>
      <sheetName val="제조원가명세서 "/>
      <sheetName val="합계잔액(1)"/>
      <sheetName val="합계잔액 (2)"/>
      <sheetName val="잉여금처분"/>
      <sheetName val="PL (3)"/>
      <sheetName val="MC (3)"/>
      <sheetName val="BS1"/>
      <sheetName val="BS2"/>
      <sheetName val="cf"/>
      <sheetName val="WTB"/>
      <sheetName val="F-4"/>
      <sheetName val="F-5"/>
      <sheetName val="2262"/>
      <sheetName val="2262-10"/>
      <sheetName val="WTB-BS"/>
      <sheetName val="WTB-IS"/>
      <sheetName val="BS (2003)"/>
      <sheetName val="중요성기준"/>
      <sheetName val="BS"/>
      <sheetName val="정산표BS(2003)"/>
      <sheetName val="정산표(IS)2003"/>
      <sheetName val="정산표PL(2003)"/>
      <sheetName val="외화평가"/>
      <sheetName val="Other Assets leadersheet"/>
      <sheetName val="Fixed Assets leadersheet"/>
      <sheetName val="Current Liabilities"/>
      <sheetName val="대차대조표"/>
      <sheetName val="판관.비용수익"/>
      <sheetName val="3.잉여금처분O"/>
      <sheetName val="4.현금흐름"/>
      <sheetName val="1.대차대조표"/>
      <sheetName val="2.손익계산서"/>
      <sheetName val="합계잔액"/>
      <sheetName val="58.제조원가"/>
      <sheetName val="81.전기대비추세표"/>
      <sheetName val="BS합산"/>
      <sheetName val="제조원가"/>
      <sheetName val="소제목"/>
      <sheetName val="9월현금등가물"/>
      <sheetName val="12월현금"/>
      <sheetName val="12월당좌예금"/>
      <sheetName val="12월보통예금"/>
      <sheetName val="12월외화예금"/>
      <sheetName val="9월단기금융상품"/>
      <sheetName val="9월유가증권"/>
      <sheetName val="9월외상매출"/>
      <sheetName val="실외상매출"/>
      <sheetName val="9월받을어음"/>
      <sheetName val="12월할인어음"/>
      <sheetName val="9월부도어음"/>
      <sheetName val="12월대손충당금"/>
      <sheetName val="9월미수금"/>
      <sheetName val="9월미수수익"/>
      <sheetName val="9월선급금"/>
      <sheetName val="6월가지급금"/>
      <sheetName val="9월선급비용"/>
      <sheetName val="9월선급법인세"/>
      <sheetName val="12월재고자산"/>
      <sheetName val="제품수불"/>
      <sheetName val="원재료수불"/>
      <sheetName val="9월미착원재료"/>
      <sheetName val="9월투자유가증권"/>
      <sheetName val="9월장기금융상품"/>
      <sheetName val="9월장기대여금"/>
      <sheetName val="9월임차보증금"/>
      <sheetName val="6월이연법인세차"/>
      <sheetName val="12월단기대여금"/>
      <sheetName val="01기타의투자자산"/>
      <sheetName val="6월유형자산"/>
      <sheetName val="9월건물(정액)"/>
      <sheetName val="9월구축물(정액)"/>
      <sheetName val="9월기계장치(정율)"/>
      <sheetName val="9월차량운반구(정율)"/>
      <sheetName val="3월시설장치"/>
      <sheetName val="9월공구와기구(정율)"/>
      <sheetName val="9월집기비품(정율)"/>
      <sheetName val="9월창업비"/>
      <sheetName val="당좌차월09"/>
      <sheetName val="9월개발비"/>
      <sheetName val="9월특허권"/>
      <sheetName val="6월매입채무"/>
      <sheetName val="9월외상매입"/>
      <sheetName val="9월지급어음"/>
      <sheetName val="9월단기차입금명세서"/>
      <sheetName val="9월당좌차월명세서"/>
      <sheetName val="9월일반대출금명세서"/>
      <sheetName val="9월구매자금차입금명세서"/>
      <sheetName val="9월단기차입금"/>
      <sheetName val="9월미지급금"/>
      <sheetName val="6월선수금"/>
      <sheetName val="9월예수금"/>
      <sheetName val="9월미지급비용"/>
      <sheetName val="12월가수금"/>
      <sheetName val="2000미지급법인세"/>
      <sheetName val="12월미지급배당금"/>
      <sheetName val="9월유동성장기부채"/>
      <sheetName val="9월전환사채"/>
      <sheetName val="9월장기미지급이자"/>
      <sheetName val="9월장기차입금"/>
      <sheetName val="9월퇴직충당"/>
      <sheetName val="9월국민연금전환금"/>
      <sheetName val="미지급부가세09"/>
      <sheetName val="6월자본금명세"/>
      <sheetName val="6월주식발행초과금"/>
      <sheetName val="6월기타자본잉여금 "/>
      <sheetName val="6월이익잉여금 "/>
      <sheetName val="6월자본조정"/>
      <sheetName val="12월매출액명세서"/>
      <sheetName val="판관비명세"/>
      <sheetName val="12월영업외수익명세"/>
      <sheetName val="영업외비용명세"/>
      <sheetName val="차입금상환일정표"/>
      <sheetName val="1.BS"/>
      <sheetName val="2.PL"/>
      <sheetName val="3.제조"/>
      <sheetName val="4.이익"/>
      <sheetName val="24.보증금(전신전화가입권)"/>
      <sheetName val="비품"/>
      <sheetName val="완성차 미수금"/>
      <sheetName val="Sheet3"/>
      <sheetName val="사내수급"/>
      <sheetName val="설정"/>
      <sheetName val="97연봉(직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분법(로직메카)"/>
      <sheetName val="장기투자자산-보광11호지분법"/>
      <sheetName val="Sheet1"/>
      <sheetName val="Sheet2"/>
      <sheetName val="Sheet3"/>
      <sheetName val="누PL"/>
      <sheetName val="5240 2002년지분법의 워크시트"/>
      <sheetName val="누TB"/>
      <sheetName val="현금및현금등가물"/>
      <sheetName val="공통비"/>
      <sheetName val="MBNBSMTR"/>
      <sheetName val="TABLE"/>
      <sheetName val="시산표"/>
      <sheetName val="Test"/>
      <sheetName val="Bs. de Uso 2002"/>
      <sheetName val="5300"/>
      <sheetName val="5500"/>
      <sheetName val="판매대행수수료"/>
      <sheetName val="카드론"/>
      <sheetName val="연습장소"/>
      <sheetName val="Cod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요"/>
      <sheetName val="표지"/>
      <sheetName val="목차"/>
      <sheetName val="필요성"/>
      <sheetName val="영등포"/>
      <sheetName val="결론"/>
      <sheetName val="천안"/>
      <sheetName val="이전"/>
      <sheetName val="포승"/>
      <sheetName val="수지"/>
      <sheetName val="물류1"/>
      <sheetName val="물류2"/>
      <sheetName val="표지2"/>
      <sheetName val="목차2"/>
      <sheetName val="금액"/>
      <sheetName val="자금"/>
      <sheetName val="자금ba"/>
      <sheetName val="유지기간"/>
      <sheetName val="증설"/>
      <sheetName val="유지"/>
      <sheetName val="빙과"/>
      <sheetName val="설비"/>
      <sheetName val="손익5%"/>
      <sheetName val="자금5%"/>
      <sheetName val="이자"/>
      <sheetName val="감가"/>
      <sheetName val="빙ba"/>
      <sheetName val="유ba"/>
      <sheetName val="Sheet1"/>
      <sheetName val="주간계획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nese"/>
      <sheetName val="English"/>
      <sheetName val="Analytical"/>
      <sheetName val="cf-PwC"/>
      <sheetName val="cf-appendix-ch"/>
      <sheetName val="FA Movement"/>
      <sheetName val="accrual"/>
      <sheetName val="G&amp;A"/>
      <sheetName val="Selling"/>
      <sheetName val="cost"/>
      <sheetName val="Financial"/>
      <sheetName val="FS03-PRC"/>
      <sheetName val="SAD-03"/>
      <sheetName val="SUD-03"/>
      <sheetName val="FS01-PRC"/>
      <sheetName val="BS-PL"/>
      <sheetName val="Information"/>
      <sheetName val="WorkingPaper"/>
      <sheetName val="CashFlow"/>
      <sheetName val="Main"/>
      <sheetName val="누TB"/>
      <sheetName val="Cashflow 2003 AT&amp;T 10"/>
      <sheetName val="MBNBSMTR"/>
      <sheetName val="BLOOMBERG"/>
      <sheetName val="판매대행수수료"/>
      <sheetName val="카드론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결산9706"/>
      <sheetName val="등록정보"/>
    </sheetNames>
    <definedNames>
      <definedName name="SHEET100" refersTo="#REF!"/>
    </definedNames>
    <sheetDataSet>
      <sheetData sheetId="0" refreshError="1"/>
      <sheetData sheetId="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ment IS"/>
      <sheetName val="Cement IS (2)"/>
      <sheetName val="회사제시"/>
      <sheetName val="Sheet2"/>
      <sheetName val="제조원가"/>
      <sheetName val="작성1번 cost of special"/>
      <sheetName val="작성2번"/>
      <sheetName val="Sale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财政部格式1"/>
      <sheetName val="国资委格式"/>
      <sheetName val="2006"/>
      <sheetName val="5劳动"/>
      <sheetName val="4集团"/>
      <sheetName val="3损益"/>
      <sheetName val="2资负"/>
      <sheetName val="1经营"/>
      <sheetName val="集团"/>
      <sheetName val="sub"/>
      <sheetName val="PRC Adj list"/>
      <sheetName val="CFS"/>
      <sheetName val="资产负债表"/>
      <sheetName val="损益表"/>
      <sheetName val="收入明细"/>
      <sheetName val="主营成本"/>
      <sheetName val="管理费用"/>
      <sheetName val="营业费用"/>
      <sheetName val="财务费用"/>
      <sheetName val="周期至今"/>
      <sheetName val="年度至今"/>
      <sheetName val="资产负债表 (2)"/>
      <sheetName val="损益表 (2)"/>
      <sheetName val="收入明细 (2)"/>
      <sheetName val="主营成本 (2)"/>
      <sheetName val="管理费用 (2)"/>
      <sheetName val="营业费用 (2)"/>
      <sheetName val="财务费用 (2)"/>
      <sheetName val="年度至今 (2)"/>
      <sheetName val="周期至今 (2)"/>
      <sheetName val="Selling"/>
      <sheetName val="누TB"/>
      <sheetName val="별제권_정리담보권1"/>
      <sheetName val="Aged_Debts"/>
      <sheetName val="BLOOMBE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T02"/>
      <sheetName val="T03"/>
      <sheetName val="T04"/>
      <sheetName val="T12"/>
      <sheetName val="NY"/>
      <sheetName val="DATA"/>
      <sheetName val="T13"/>
      <sheetName val="2资负"/>
      <sheetName val="4集团"/>
      <sheetName val="Selling"/>
      <sheetName val="별제권_정리담보권1"/>
      <sheetName val="Aged_Debts"/>
      <sheetName val="BLOOMBE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9">
          <cell r="D99">
            <v>0</v>
          </cell>
        </row>
        <row r="101">
          <cell r="D101">
            <v>0</v>
          </cell>
        </row>
        <row r="102">
          <cell r="D102">
            <v>0</v>
          </cell>
        </row>
        <row r="103">
          <cell r="D103">
            <v>0</v>
          </cell>
        </row>
        <row r="105">
          <cell r="D105">
            <v>0</v>
          </cell>
        </row>
        <row r="107">
          <cell r="D107">
            <v>0</v>
          </cell>
        </row>
        <row r="108">
          <cell r="D108">
            <v>0</v>
          </cell>
        </row>
        <row r="109">
          <cell r="D109">
            <v>0</v>
          </cell>
        </row>
        <row r="111">
          <cell r="D111">
            <v>0</v>
          </cell>
        </row>
        <row r="112">
          <cell r="D112">
            <v>0</v>
          </cell>
        </row>
        <row r="113">
          <cell r="D113">
            <v>0</v>
          </cell>
        </row>
        <row r="114">
          <cell r="D114">
            <v>0</v>
          </cell>
        </row>
        <row r="116">
          <cell r="D116">
            <v>0</v>
          </cell>
        </row>
        <row r="117">
          <cell r="D117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9">
          <cell r="D129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7">
          <cell r="D137">
            <v>0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0</v>
          </cell>
        </row>
        <row r="166">
          <cell r="D16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현금흐름표"/>
      <sheetName val="Sheet1"/>
      <sheetName val="Tickmarks"/>
      <sheetName val="관계회사거래내역및 채권채무잔액 99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iliation"/>
      <sheetName val="--"/>
      <sheetName val="2009存货"/>
      <sheetName val="周转率分析"/>
      <sheetName val="2009制造费用明细"/>
      <sheetName val="存货和销售成本倒轧表"/>
      <sheetName val="制造费用明细"/>
      <sheetName val="制造费用细节测试"/>
      <sheetName val="DB截止性测试"/>
      <sheetName val="封面"/>
      <sheetName val="DATA"/>
      <sheetName val="2资负"/>
      <sheetName val="4集团"/>
      <sheetName val="관계회사거래내역및 채권채무잔액 99"/>
      <sheetName val="Table"/>
      <sheetName val="대손인정신청명세"/>
      <sheetName val="Trial Balance Template"/>
    </sheetNames>
    <sheetDataSet>
      <sheetData sheetId="0"/>
      <sheetData sheetId="1" refreshError="1"/>
      <sheetData sheetId="2">
        <row r="2">
          <cell r="A2" t="str">
            <v>31/12/2009</v>
          </cell>
        </row>
      </sheetData>
      <sheetData sheetId="3" refreshError="1"/>
      <sheetData sheetId="4" refreshError="1"/>
      <sheetData sheetId="5">
        <row r="11">
          <cell r="C11">
            <v>27382206.809999999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건물(95이후)"/>
      <sheetName val="차량(94이전)"/>
      <sheetName val="차량(95이후)"/>
      <sheetName val="차량통합"/>
      <sheetName val="공구(94이전)"/>
      <sheetName val="공구(95이후)"/>
      <sheetName val="비품(94이전)"/>
      <sheetName val="비품(95이후)"/>
      <sheetName val="잔존상각"/>
      <sheetName val="상각비원가배분 (97년말)"/>
      <sheetName val="Sheet11"/>
      <sheetName val="토지보유 (2)"/>
      <sheetName val="현금"/>
      <sheetName val="1_현금흐름표"/>
      <sheetName val="admin"/>
      <sheetName val="수량산출"/>
      <sheetName val="DI1"/>
      <sheetName val="자료"/>
      <sheetName val="감가상각"/>
      <sheetName val="현장관리비"/>
      <sheetName val="월간인력"/>
      <sheetName val="원가기준정보"/>
      <sheetName val="원가배부작업시간"/>
      <sheetName val="통계자료"/>
      <sheetName val="WPL"/>
      <sheetName val="내수"/>
      <sheetName val="월별손익"/>
      <sheetName val="K1-1 증감schedule"/>
      <sheetName val="총괄"/>
      <sheetName val="정산표"/>
      <sheetName val="#REF"/>
      <sheetName val="미지급금"/>
      <sheetName val="선급금"/>
      <sheetName val="선수금"/>
      <sheetName val="oct"/>
      <sheetName val="aug"/>
      <sheetName val="sep"/>
      <sheetName val="단기차입금"/>
      <sheetName val="외화보통예금"/>
      <sheetName val="외회외상매입금"/>
      <sheetName val="외화외상매출금"/>
      <sheetName val="장기차입금"/>
      <sheetName val="0101시산표"/>
      <sheetName val="프로젝트목록"/>
      <sheetName val="Plan_Actual"/>
      <sheetName val="원부재료"/>
      <sheetName val="제품수불표"/>
      <sheetName val="손익계산서"/>
      <sheetName val="건설감~1"/>
      <sheetName val="계정"/>
      <sheetName val="한세A4PL"/>
      <sheetName val="Sheet1"/>
      <sheetName val="D. Test 시나리오1._최초취득원가(답안)"/>
      <sheetName val="분개장"/>
      <sheetName val="표지"/>
      <sheetName val="비품_94이전_"/>
      <sheetName val="고정자산원본"/>
      <sheetName val="D99차량"/>
      <sheetName val="10"/>
      <sheetName val="US Codes"/>
      <sheetName val="f_BS"/>
      <sheetName val="f_IS"/>
      <sheetName val="A4 BS"/>
      <sheetName val="Tiers"/>
      <sheetName val="제조부문배부"/>
      <sheetName val="HR 7.PJ국민"/>
      <sheetName val="HR 6.PJ교육"/>
      <sheetName val="HR 8.PJ건강"/>
      <sheetName val="HR 10.PJ고용"/>
      <sheetName val="HR 2.PJ상여"/>
      <sheetName val="HR 3.PJOT"/>
      <sheetName val="HR 4.PJ퇴충"/>
      <sheetName val="HR 1.PJ기본급"/>
      <sheetName val="HR 9.PJ산재"/>
      <sheetName val="96월별PL"/>
      <sheetName val="Stock Div Accural"/>
      <sheetName val="완성차 미수금"/>
      <sheetName val="2.대외공문"/>
      <sheetName val="1002"/>
      <sheetName val="현금흐름표"/>
      <sheetName val="3.설계예산내역서(예산서)"/>
      <sheetName val="2.예정공정표"/>
      <sheetName val="control sheet"/>
      <sheetName val="LAN HW"/>
      <sheetName val="CAP"/>
      <sheetName val="이천유선"/>
      <sheetName val="안성유선"/>
      <sheetName val="1.외주공사"/>
      <sheetName val="data"/>
      <sheetName val="12"/>
      <sheetName val="1"/>
      <sheetName val="2"/>
      <sheetName val="전체"/>
      <sheetName val="시산표(매출조정전)"/>
      <sheetName val="미익SUB"/>
      <sheetName val="수입"/>
      <sheetName val="공정별인건비"/>
      <sheetName val="체계옵션"/>
      <sheetName val="업무기준"/>
      <sheetName val="민감도"/>
      <sheetName val="첨부1"/>
      <sheetName val="TB"/>
      <sheetName val="운항율"/>
      <sheetName val="상각비원가배분_(97년말)"/>
      <sheetName val="토지보유_(2)"/>
      <sheetName val="제조98"/>
      <sheetName val="비교"/>
      <sheetName val="5800무형"/>
      <sheetName val="관계회사거래내역및 채권채무잔액 99"/>
      <sheetName val="05-2W"/>
      <sheetName val="MatchCode"/>
      <sheetName val="Menu_Link"/>
      <sheetName val="Ⅱ1-0타"/>
      <sheetName val="Sheet2"/>
      <sheetName val="지분법수정분개"/>
      <sheetName val="XREF"/>
      <sheetName val="1995년 섹터별 매출"/>
      <sheetName val="불량주부"/>
      <sheetName val="00'미수"/>
      <sheetName val="손익"/>
      <sheetName val="BO"/>
      <sheetName val="급여 "/>
      <sheetName val="지분법평가"/>
      <sheetName val="LS"/>
      <sheetName val="差額調査用"/>
      <sheetName val="시산표"/>
      <sheetName val="MARCH 25"/>
      <sheetName val="대차"/>
      <sheetName val="Macro3"/>
      <sheetName val="차량운반구"/>
      <sheetName val="공구와기구"/>
      <sheetName val="비품"/>
      <sheetName val="건물"/>
      <sheetName val="일반관리비(선급보험료)-총무"/>
      <sheetName val="K1-1_증감schedule"/>
      <sheetName val="Stock_Div_Accural"/>
      <sheetName val="Sheet1_(2)"/>
      <sheetName val="10월_급여"/>
      <sheetName val="관세"/>
      <sheetName val="5311"/>
      <sheetName val="특외대"/>
      <sheetName val="아이컴의승계분"/>
      <sheetName val="10월판관"/>
      <sheetName val="개발비자산성검토"/>
      <sheetName val="2-1.제품군별계획대비실적(B.A)"/>
      <sheetName val="01is(누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한세A4BS"/>
      <sheetName val="한세A4PL"/>
      <sheetName val="A5"/>
      <sheetName val="A3.4"/>
      <sheetName val="scf"/>
      <sheetName val="현금흐름표"/>
      <sheetName val="이연법인세차"/>
      <sheetName val="Sheet16"/>
      <sheetName val="비품(94이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국내전망"/>
      <sheetName val="세계전망"/>
      <sheetName val="국내지표1"/>
      <sheetName val="국내지표합"/>
      <sheetName val="세계지표1"/>
      <sheetName val="Sheet2"/>
      <sheetName val="source"/>
      <sheetName val="source2"/>
      <sheetName val="2001년추계액"/>
      <sheetName val="한세A4PL"/>
      <sheetName val="현금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미수금"/>
      <sheetName val="XREF"/>
      <sheetName val="Tickmarks"/>
      <sheetName val="현금흐름표"/>
      <sheetName val="1.외주공사"/>
    </sheetNames>
    <sheetDataSet>
      <sheetData sheetId="0">
        <row r="8">
          <cell r="K8" t="str">
            <v>!</v>
          </cell>
        </row>
        <row r="22">
          <cell r="K22" t="str">
            <v>!!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315"/>
      <sheetName val="5315 (2)"/>
      <sheetName val="6300"/>
      <sheetName val="매출"/>
      <sheetName val="판매단가"/>
      <sheetName val="매출tot"/>
      <sheetName val="매출부가세"/>
      <sheetName val="5310"/>
      <sheetName val="5330"/>
      <sheetName val="미입금"/>
      <sheetName val="5350"/>
      <sheetName val="34"/>
      <sheetName val="외매01"/>
      <sheetName val="외매00년"/>
      <sheetName val="7100자본"/>
      <sheetName val="주요주주명부"/>
      <sheetName val="7120이익잉여금처분계산서"/>
      <sheetName val="8100"/>
      <sheetName val="기간귀속"/>
      <sheetName val="거래처별"/>
      <sheetName val="월별손익"/>
      <sheetName val="수수료"/>
      <sheetName val="8310"/>
      <sheetName val="8340"/>
      <sheetName val="8700"/>
      <sheetName val="이연법인세"/>
      <sheetName val="8710"/>
      <sheetName val="법인세_주석"/>
      <sheetName val="8709"/>
      <sheetName val="50(을)"/>
      <sheetName val="31(2)"/>
      <sheetName val="32"/>
      <sheetName val="33"/>
      <sheetName val="적정유보"/>
      <sheetName val="8711"/>
      <sheetName val="8720"/>
      <sheetName val="8729"/>
      <sheetName val="8721"/>
      <sheetName val="Sheet3"/>
      <sheetName val="3221"/>
      <sheetName val="810"/>
      <sheetName val="용역비"/>
      <sheetName val="제조증빙"/>
      <sheetName val="C.Code"/>
      <sheetName val="XREF"/>
      <sheetName val="N-1"/>
      <sheetName val="F-1"/>
      <sheetName val="누TB"/>
      <sheetName val="5300"/>
      <sheetName val="5500"/>
      <sheetName val="한세A4PL"/>
      <sheetName val="f12"/>
      <sheetName val="prov loc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중평균유통주식수계산"/>
      <sheetName val="4분기 손익"/>
      <sheetName val="자기주식취득내역"/>
      <sheetName val="XREF"/>
      <sheetName val="8340"/>
      <sheetName val="용역비"/>
      <sheetName val="제조증빙"/>
      <sheetName val="N-1"/>
      <sheetName val="F-1"/>
      <sheetName val="C.Code"/>
      <sheetName val="prov locales"/>
      <sheetName val="총괄표"/>
      <sheetName val="8310"/>
      <sheetName val="한세A4PL"/>
      <sheetName val="Menu_Link"/>
      <sheetName val="TDTKP"/>
      <sheetName val="DK-KH"/>
      <sheetName val="KH-Q1,Q2,01"/>
      <sheetName val="심마니지분법평가"/>
      <sheetName val="투자자산감액손실"/>
      <sheetName val="투자유가증권증감분석"/>
      <sheetName val="배당금수익"/>
      <sheetName val="장기투자증권"/>
      <sheetName val="지분법(회사장부)"/>
      <sheetName val="투자자산처분손익"/>
      <sheetName val="98VS99(EL)"/>
      <sheetName val="E_B_L"/>
      <sheetName val="5300"/>
      <sheetName val="5500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"/>
      <sheetName val="F3"/>
      <sheetName val="F4,5"/>
      <sheetName val="F6"/>
      <sheetName val="BPR"/>
      <sheetName val="경영지표1"/>
      <sheetName val="경영지표2"/>
      <sheetName val="FAS-1"/>
      <sheetName val="FSA-2"/>
      <sheetName val="현금정산표"/>
      <sheetName val="유형자산"/>
      <sheetName val="BS"/>
      <sheetName val="PL"/>
      <sheetName val="표지"/>
      <sheetName val="RE"/>
      <sheetName val="CF"/>
      <sheetName val="주총.이사회"/>
      <sheetName val="특수관계자"/>
      <sheetName val="특수관계자거래"/>
      <sheetName val="특수관계자채권채무"/>
      <sheetName val="XREF"/>
      <sheetName val="Tickmarks"/>
      <sheetName val="Reference2"/>
      <sheetName val="시산표(매출조정전)"/>
      <sheetName val="BSLA"/>
      <sheetName val="Requirement(Work Crew)"/>
      <sheetName val="5사남"/>
      <sheetName val="lea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ckmarks "/>
      <sheetName val="감가상각누계액"/>
      <sheetName val="XREF"/>
      <sheetName val="공사미수금"/>
      <sheetName val="유형"/>
      <sheetName val="고정부채"/>
      <sheetName val="1.외주공사"/>
      <sheetName val="조회서"/>
      <sheetName val="감사인검토내역(PAJE)"/>
      <sheetName val="손익합산"/>
      <sheetName val="compare2"/>
      <sheetName val="취득 처분명세_반기"/>
      <sheetName val="SUMMARY"/>
      <sheetName val="매출채권"/>
      <sheetName val="기타당좌자산"/>
      <sheetName val="5300"/>
      <sheetName val="5500"/>
      <sheetName val="3110-2"/>
      <sheetName val="유형자산증가"/>
      <sheetName val="관세"/>
      <sheetName val="한세A4PL"/>
      <sheetName val="인건비 내역서"/>
      <sheetName val="부외부채"/>
      <sheetName val="손익"/>
      <sheetName val="매입채무"/>
      <sheetName val="SS10"/>
      <sheetName val="손익계산서"/>
      <sheetName val="유형자산증감"/>
      <sheetName val="RESULT"/>
      <sheetName val="5400-재고자산Lead"/>
      <sheetName val="시산표"/>
      <sheetName val="lead"/>
      <sheetName val="감가상각LS"/>
      <sheetName val="LS "/>
      <sheetName val="감가상각"/>
      <sheetName val="Sheet1"/>
      <sheetName val="기타의투자자산"/>
      <sheetName val="장기대여금"/>
      <sheetName val="600-4"/>
      <sheetName val="D620"/>
      <sheetName val="xxxxxx"/>
      <sheetName val="시산표(매출조정전)"/>
      <sheetName val="고정자산원본"/>
      <sheetName val="감액검토_x_"/>
      <sheetName val="6120"/>
      <sheetName val="보증금"/>
      <sheetName val="만기"/>
      <sheetName val="99발견사항"/>
      <sheetName val="발견사항"/>
      <sheetName val="wbs"/>
      <sheetName val="wpl"/>
      <sheetName val="대차대조표"/>
      <sheetName val="정산표"/>
      <sheetName val="영원bs"/>
      <sheetName val="영원is"/>
      <sheetName val="SDF"/>
      <sheetName val="YSS"/>
      <sheetName val="연결분개99"/>
      <sheetName val="Sheet6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Sheet5"/>
      <sheetName val="Sheet4"/>
      <sheetName val="Sheet3"/>
      <sheetName val="Sheet2"/>
      <sheetName val="수정분개"/>
      <sheetName val="대차"/>
      <sheetName val="잉여금"/>
      <sheetName val="현금흐름표"/>
      <sheetName val="현금흐름표검증조서"/>
      <sheetName val="만기 (2)"/>
      <sheetName val="TB"/>
      <sheetName val="00'미수"/>
      <sheetName val="She_x0000__x0000_2"/>
      <sheetName val="꺐윂"/>
      <sheetName val="2.직영공사"/>
      <sheetName val="총괄(회사)"/>
      <sheetName val="무형자산"/>
      <sheetName val="전산기기최종"/>
      <sheetName val="집기비품최종"/>
      <sheetName val="만기0701"/>
      <sheetName val="99지분법평가ﾐ쟿"/>
      <sheetName val="자료"/>
      <sheetName val="INFO"/>
      <sheetName val="외환차손익"/>
      <sheetName val="VXXXXX"/>
      <sheetName val="XXXX"/>
      <sheetName val="계정code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TOTAL"/>
      <sheetName val="BA"/>
      <sheetName val="BB"/>
      <sheetName val="BC"/>
      <sheetName val="BD"/>
      <sheetName val="BE"/>
      <sheetName val="Module"/>
      <sheetName val="MARCH 25"/>
      <sheetName val="상품매출원가"/>
      <sheetName val="회사제시"/>
      <sheetName val="거래처별매출비율_Interim"/>
      <sheetName val="1998 P &amp; L"/>
      <sheetName val="총괄"/>
      <sheetName val="Template"/>
      <sheetName val="PdmDesigner"/>
      <sheetName val="FN"/>
      <sheetName val="0.총괄"/>
      <sheetName val="통계자료"/>
      <sheetName val="Menu_Link"/>
      <sheetName val="감소Test"/>
      <sheetName val="3"/>
      <sheetName val="분양미수금"/>
      <sheetName val="TB(BS)"/>
      <sheetName val="TB(PL)"/>
      <sheetName val="PAJE"/>
      <sheetName val="PRJE"/>
      <sheetName val="무형"/>
      <sheetName val="1_외주공사"/>
      <sheetName val="비품(94이전)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front"/>
      <sheetName val="재료비"/>
      <sheetName val="가공비"/>
      <sheetName val="판관비"/>
      <sheetName val="생판계획"/>
      <sheetName val="5100-현금"/>
      <sheetName val="9월제조원가"/>
      <sheetName val="Tickmarks"/>
      <sheetName val="종합_SP"/>
      <sheetName val="종합_MP"/>
      <sheetName val="무림SP_상세"/>
      <sheetName val="무림페이퍼_상세"/>
      <sheetName val="종합"/>
      <sheetName val="매출채권(집계)"/>
      <sheetName val="외상매출금 합계표(조회서 refer) "/>
      <sheetName val="대체적인 절차 refer(외상매출금)"/>
      <sheetName val="국내외상매출금(S)"/>
      <sheetName val="국내외상매출금(P)"/>
      <sheetName val="국내외상매출(B)"/>
      <sheetName val="외화외상매출금"/>
      <sheetName val="받을어음 합계표(조회서 refer)"/>
      <sheetName val="받을어음(S)"/>
      <sheetName val="받을어음(P)"/>
      <sheetName val="받을어음(B)"/>
      <sheetName val="구매카드"/>
      <sheetName val="부도어음"/>
      <sheetName val="memo"/>
      <sheetName val="DATA"/>
      <sheetName val="BS"/>
      <sheetName val="PL"/>
      <sheetName val="MCS"/>
      <sheetName val="CF"/>
      <sheetName val="RE"/>
      <sheetName val="리드"/>
      <sheetName val="Start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9월"/>
      <sheetName val="채권9월"/>
      <sheetName val="입금9월"/>
      <sheetName val="10월"/>
      <sheetName val="채권10월"/>
      <sheetName val="입금10월"/>
      <sheetName val="11월"/>
      <sheetName val="채권11월"/>
      <sheetName val="입금11월"/>
      <sheetName val="12월"/>
      <sheetName val="12월채권"/>
      <sheetName val="입금12월"/>
      <sheetName val="당좌자산"/>
      <sheetName val="재고자산"/>
      <sheetName val="투자자산"/>
      <sheetName val="유형자산"/>
      <sheetName val="건설가계정명세서"/>
      <sheetName val="감가상각비"/>
      <sheetName val="감가상각충당금"/>
      <sheetName val="현금과예금"/>
      <sheetName val="현금명세서"/>
      <sheetName val="예금명세서"/>
      <sheetName val="외상매출금"/>
      <sheetName val="받을어음"/>
      <sheetName val="단기대여금&amp;주임종단기대여금"/>
      <sheetName val="미수금"/>
      <sheetName val="미수수익"/>
      <sheetName val="미착원재료"/>
      <sheetName val="선급금&amp;지사관리비"/>
      <sheetName val="선급비용"/>
      <sheetName val="지급보증금"/>
      <sheetName val="선급법인세"/>
      <sheetName val="투자유가증권&amp;출자금&amp;출자주식"/>
      <sheetName val="특정현금과 예금"/>
      <sheetName val="가입권"/>
      <sheetName val="전신전화가입권"/>
      <sheetName val="임차보증금"/>
      <sheetName val="상표권"/>
      <sheetName val="96상입"/>
      <sheetName val="전체"/>
      <sheetName val="매출1"/>
      <sheetName val="입금1"/>
      <sheetName val="채권1"/>
      <sheetName val="기일1"/>
      <sheetName val="매출2"/>
      <sheetName val="입금2"/>
      <sheetName val="채권2"/>
      <sheetName val="기일2"/>
      <sheetName val="매출3"/>
      <sheetName val="입금3"/>
      <sheetName val="채권3"/>
      <sheetName val="기일3"/>
      <sheetName val="매출4"/>
      <sheetName val="입금4"/>
      <sheetName val="채권4"/>
      <sheetName val="기일4"/>
      <sheetName val="매출5"/>
      <sheetName val="입금5"/>
      <sheetName val="채권5"/>
      <sheetName val="기일5"/>
      <sheetName val="매출6"/>
      <sheetName val="입금6"/>
      <sheetName val="채권6"/>
      <sheetName val="기일6"/>
      <sheetName val="매출7"/>
      <sheetName val="입금7"/>
      <sheetName val="채권7"/>
      <sheetName val="기일7"/>
      <sheetName val="07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비교"/>
      <sheetName val="2차분"/>
      <sheetName val="피벗"/>
      <sheetName val="기본데이터"/>
      <sheetName val="양식(최종)"/>
      <sheetName val="양식(최종) (2)"/>
      <sheetName val="매출"/>
      <sheetName val="1.LEAD"/>
      <sheetName val="FS96"/>
      <sheetName val="8월현금흐름표"/>
      <sheetName val="basic_info"/>
      <sheetName val="조회총괄"/>
      <sheetName val="XLUTIL"/>
      <sheetName val="차수"/>
      <sheetName val="96수표어음"/>
      <sheetName val="로케션"/>
      <sheetName val="master"/>
      <sheetName val="Estrazione"/>
      <sheetName val="Links"/>
      <sheetName val="Macro1"/>
      <sheetName val="COND"/>
      <sheetName val="5600"/>
      <sheetName val="Macro2"/>
      <sheetName val="영업"/>
      <sheetName val="종합일지"/>
      <sheetName val="대환취급"/>
      <sheetName val="분당임차변경"/>
      <sheetName val="Macro4"/>
      <sheetName val="Gen Assumptions"/>
      <sheetName val="관리대장(2001장비)"/>
      <sheetName val="4b Consolidated PL"/>
      <sheetName val="전체현황"/>
      <sheetName val="발생집계"/>
      <sheetName val="을"/>
      <sheetName val="INMD1198"/>
      <sheetName val="INFG1198"/>
      <sheetName val="Korea Sign-Internal"/>
      <sheetName val="pre-anal손익계산서"/>
      <sheetName val="pre-anal대차대조표"/>
      <sheetName val="calendar"/>
      <sheetName val="HEADER"/>
      <sheetName val="language"/>
      <sheetName val="Borrower"/>
      <sheetName val="Property"/>
      <sheetName val="공문"/>
      <sheetName val="Cover"/>
      <sheetName val="Priorities"/>
      <sheetName val="Rate"/>
      <sheetName val="Date"/>
      <sheetName val="월별수입"/>
      <sheetName val="유통망계획"/>
      <sheetName val="Index"/>
      <sheetName val="선수금"/>
      <sheetName val="폐토수익화 "/>
      <sheetName val="Com-Button"/>
      <sheetName val="총괄KD"/>
      <sheetName val="공통부대비"/>
      <sheetName val="TEL"/>
      <sheetName val="지분법(AK) (2)"/>
      <sheetName val="한일자야(감액손실) (2)"/>
      <sheetName val="원판매입"/>
      <sheetName val="Secured Master"/>
      <sheetName val="1_當期시산표"/>
      <sheetName val="손익분석"/>
      <sheetName val="정부노임단가"/>
      <sheetName val="3분기"/>
      <sheetName val="구동"/>
      <sheetName val="PLarp"/>
      <sheetName val="9703"/>
      <sheetName val="801000"/>
      <sheetName val="Köpfe"/>
      <sheetName val="BAL.(TTL)"/>
      <sheetName val="총괄표"/>
      <sheetName val="MetaData"/>
      <sheetName val="9811 YTD"/>
      <sheetName val="流资汇总"/>
      <sheetName val=" 견적서"/>
      <sheetName val="제조원가"/>
      <sheetName val="001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118.세금과공과"/>
      <sheetName val="1.MDF1공장"/>
      <sheetName val="손익계산"/>
      <sheetName val="w't table"/>
      <sheetName val="000000"/>
      <sheetName val="당년매출"/>
      <sheetName val="당년매출집계"/>
      <sheetName val="전년매출"/>
      <sheetName val="전년매출집계"/>
      <sheetName val="당년예산"/>
      <sheetName val="당년예산집계"/>
      <sheetName val="예산실적비교"/>
      <sheetName val="관계매출 (2)"/>
      <sheetName val="관계매출"/>
      <sheetName val="관계회사"/>
      <sheetName val="tax1"/>
      <sheetName val="GENERAL"/>
      <sheetName val="Inv "/>
      <sheetName val="++++"/>
      <sheetName val="1"/>
      <sheetName val="시나리오"/>
      <sheetName val="순수통장"/>
      <sheetName val="적립수신"/>
      <sheetName val="TBclosing"/>
      <sheetName val="재무가정"/>
      <sheetName val="#REF"/>
      <sheetName val="Æo°¡±aAØ"/>
      <sheetName val="2.대외공문"/>
      <sheetName val="중요성(출)"/>
      <sheetName val="전부인쇄"/>
      <sheetName val="경비분류(1)"/>
      <sheetName val="Oper Amount"/>
      <sheetName val="WBS98"/>
      <sheetName val="급여이체(농) (2)"/>
      <sheetName val="AL"/>
      <sheetName val="m_COA"/>
      <sheetName val="06년예상보험료 (2)"/>
      <sheetName val="1~10월실적"/>
      <sheetName val="에스피"/>
      <sheetName val="페이퍼"/>
      <sheetName val="코드Mapping"/>
      <sheetName val="신무림1"/>
      <sheetName val="DB"/>
      <sheetName val="급여"/>
      <sheetName val="Base"/>
      <sheetName val="기타주식-명세"/>
      <sheetName val="libor"/>
      <sheetName val="투자유가증권"/>
      <sheetName val="1-KUNDE.XLS"/>
      <sheetName val="main"/>
      <sheetName val="요약"/>
      <sheetName val="Serial"/>
      <sheetName val="Data Sheet"/>
      <sheetName val="DS-최종"/>
      <sheetName val="인천_계획"/>
      <sheetName val="고정자산-회사제시"/>
      <sheetName val="JUYO"/>
      <sheetName val="Intercompany AR &amp; AP"/>
      <sheetName val="Ctrl"/>
      <sheetName val="환율-LIBOR"/>
      <sheetName val="2_직영공사"/>
      <sheetName val="Korea_Sign-Internal"/>
      <sheetName val="4b_Consolidated_PL"/>
      <sheetName val="Gen_Assumptions"/>
      <sheetName val="1998_P_&amp;_L"/>
      <sheetName val="정의"/>
      <sheetName val="변제"/>
      <sheetName val="이자"/>
      <sheetName val="상환대상"/>
      <sheetName val="가정"/>
      <sheetName val="여신현황"/>
      <sheetName val="소비자가"/>
      <sheetName val="argl(1)"/>
      <sheetName val="재고"/>
      <sheetName val="2-2.매출분석"/>
      <sheetName val="Worksheet in 5760 감가상각비(누계액)명세서"/>
      <sheetName val="F12"/>
      <sheetName val="A4 BS"/>
      <sheetName val="X3"/>
      <sheetName val="경기연합"/>
      <sheetName val="2.지분법적용주식Leadsheet(회사제시)"/>
      <sheetName val="4.지분법평가요약"/>
      <sheetName val="5.지분법분개"/>
      <sheetName val="동해title"/>
      <sheetName val="수정사항summary(반기)"/>
      <sheetName val="매출LS"/>
      <sheetName val="신기술(비상장)0412"/>
      <sheetName val="후순위채05.01.20"/>
      <sheetName val="재무비율분석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건물"/>
      <sheetName val="MatchCode"/>
      <sheetName val="LS"/>
      <sheetName val="제품분류코드"/>
      <sheetName val="Seasonality"/>
      <sheetName val="Balances"/>
      <sheetName val="WI"/>
      <sheetName val="대외공문"/>
      <sheetName val="분석적검토"/>
      <sheetName val="경영현황"/>
      <sheetName val="F3"/>
      <sheetName val="T&amp;C"/>
      <sheetName val="Code"/>
      <sheetName val="수출제비"/>
      <sheetName val="용역비"/>
      <sheetName val="교제비"/>
      <sheetName val="graph data1"/>
      <sheetName val="graph data2"/>
      <sheetName val="일보_생산"/>
      <sheetName val="P6.작업선박시간표"/>
      <sheetName val="P2.breakdown"/>
      <sheetName val="원데이타(1)"/>
      <sheetName val="여담"/>
      <sheetName val="99년(원본) "/>
      <sheetName val="A(1)"/>
      <sheetName val="A (3)"/>
      <sheetName val="불량Database"/>
      <sheetName val="차액보증"/>
      <sheetName val="사업부별"/>
      <sheetName val="3.1수율첨부"/>
      <sheetName val="Income Statement"/>
      <sheetName val="Ratios"/>
      <sheetName val="P.L"/>
      <sheetName val="Walsei"/>
      <sheetName val="7.31연체현황"/>
      <sheetName val="Rent Roll"/>
      <sheetName val="Budget"/>
      <sheetName val="Initial Input Variable"/>
      <sheetName val="R(BS-PL-RE)"/>
      <sheetName val="감가상각비재계산_08"/>
      <sheetName val="cable-data"/>
      <sheetName val="CTEMCOST"/>
      <sheetName val="Sheet14"/>
      <sheetName val="Sheet13"/>
      <sheetName val="F456"/>
      <sheetName val="She"/>
      <sheetName val="mm10"/>
      <sheetName val="지분법평가"/>
      <sheetName val="기초데이타"/>
      <sheetName val="공정가치"/>
      <sheetName val="이자율"/>
      <sheetName val=""/>
      <sheetName val="토지"/>
      <sheetName val="개인별_최종"/>
      <sheetName val="Revenue Link"/>
      <sheetName val="BASIS(Pre)"/>
      <sheetName val="enums"/>
      <sheetName val="설계명세서"/>
      <sheetName val="예산명세서"/>
      <sheetName val="자료입력"/>
      <sheetName val="교육계획"/>
      <sheetName val="Profile"/>
      <sheetName val="Values"/>
      <sheetName val="Parameters"/>
      <sheetName val="내역서1"/>
      <sheetName val="제안서입력"/>
      <sheetName val="97(US,EP,PCT,KR)"/>
      <sheetName val="SS20"/>
      <sheetName val="PC%계산"/>
      <sheetName val="CAUDIT"/>
      <sheetName val="126.255"/>
      <sheetName val="JT3.0견적-구1"/>
      <sheetName val="제조부문배부"/>
    </sheetNames>
    <sheetDataSet>
      <sheetData sheetId="0"/>
      <sheetData sheetId="1">
        <row r="2">
          <cell r="A2">
            <v>120195</v>
          </cell>
        </row>
      </sheetData>
      <sheetData sheetId="2">
        <row r="2">
          <cell r="A2">
            <v>140236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무형"/>
      <sheetName val="연구비상각"/>
      <sheetName val="산업재산권상각"/>
      <sheetName val="TWT예수금관련"/>
      <sheetName val="XREF"/>
      <sheetName val="Tickmarks"/>
      <sheetName val="개발비상각"/>
      <sheetName val="대차"/>
      <sheetName val="감가상각누계액"/>
      <sheetName val="1.외주공사"/>
      <sheetName val="2.직영공사"/>
      <sheetName val="감가상각"/>
      <sheetName val="6120"/>
      <sheetName val="lead"/>
      <sheetName val="F4_PAJE(6월)"/>
      <sheetName val="취득 처분명세_반기"/>
      <sheetName val="SUMMARY"/>
      <sheetName val="시산표"/>
      <sheetName val="Lease Details"/>
      <sheetName val="공사손실충당금(3분기)"/>
      <sheetName val="TOT"/>
      <sheetName val="제조원가(제조-양산)"/>
      <sheetName val="매입채무"/>
      <sheetName val="한세A4PL"/>
      <sheetName val="9811 YTD"/>
      <sheetName val="6.STIC"/>
      <sheetName val="취득test"/>
      <sheetName val="퇴충 LS"/>
      <sheetName val="유형자산 LS"/>
      <sheetName val="신기술(비상장)0412"/>
      <sheetName val="리드"/>
      <sheetName val="후순위채05.01.20"/>
      <sheetName val="WPL"/>
      <sheetName val="손익"/>
      <sheetName val="INFO"/>
      <sheetName val="외환차손익"/>
      <sheetName val="Leadsheet"/>
      <sheetName val="부외부채"/>
      <sheetName val="정산표"/>
      <sheetName val="선수금(29)"/>
      <sheetName val="laroux"/>
      <sheetName val="겉표지"/>
      <sheetName val="결산공고97"/>
      <sheetName val="결산공고96"/>
      <sheetName val="TB"/>
      <sheetName val="BS"/>
      <sheetName val="PL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비율분석"/>
      <sheetName val="현금흐름"/>
      <sheetName val="수정분개"/>
      <sheetName val="잉여금"/>
      <sheetName val="현금흐름표"/>
      <sheetName val="현금흐름표검증조서"/>
      <sheetName val="97년제4기재무제표(출력)"/>
      <sheetName val="108_수선비"/>
      <sheetName val="수정시산표"/>
      <sheetName val="TABLE01"/>
      <sheetName val="원본"/>
      <sheetName val="회사정보"/>
      <sheetName val="손익계산서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대환취급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정기적금"/>
      <sheetName val="변수"/>
      <sheetName val="IJABUNRI"/>
      <sheetName val="Sheet1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TOTAL"/>
      <sheetName val="BA"/>
      <sheetName val="BB"/>
      <sheetName val="BC"/>
      <sheetName val="BD"/>
      <sheetName val="BE"/>
      <sheetName val="Module"/>
      <sheetName val="U"/>
      <sheetName val="F12"/>
      <sheetName val="F3"/>
      <sheetName val="회의자료"/>
      <sheetName val="P&amp;P펄프 집계"/>
      <sheetName val="변동비 분석"/>
      <sheetName val="원단위분석BOM"/>
      <sheetName val="연기"/>
      <sheetName val="생산량차이"/>
      <sheetName val="변동비_울산"/>
      <sheetName val="P"/>
      <sheetName val="data집계"/>
      <sheetName val="사업계획"/>
      <sheetName val="실적"/>
      <sheetName val="예산"/>
      <sheetName val="펄프(제조원가명세서)"/>
      <sheetName val="잡이익원장"/>
      <sheetName val="영업외비용"/>
      <sheetName val="F12_BS"/>
      <sheetName val="F3_PL"/>
      <sheetName val="지급보증금"/>
      <sheetName val="지분법평가"/>
      <sheetName val="prov locales"/>
      <sheetName val="유형자산증가"/>
      <sheetName val="재무가정"/>
      <sheetName val="통계자료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카메라"/>
      <sheetName val="집계표"/>
      <sheetName val="전체"/>
      <sheetName val="수금기일초과"/>
      <sheetName val="담보가치율50%미만"/>
      <sheetName val="전체 (2)"/>
      <sheetName val="업종별제조원가"/>
      <sheetName val="조치원제조"/>
      <sheetName val="Tickmarks "/>
      <sheetName val="감사인검토내역(PAJE)"/>
      <sheetName val="관세"/>
      <sheetName val="조회서"/>
      <sheetName val="3110-2"/>
      <sheetName val="인건비 내역서"/>
      <sheetName val="유형"/>
      <sheetName val="고정부채"/>
      <sheetName val="만기"/>
      <sheetName val="99발견사항"/>
      <sheetName val="발견사항"/>
      <sheetName val="wbs"/>
      <sheetName val="대차대조표"/>
      <sheetName val="영원bs"/>
      <sheetName val="영원is"/>
      <sheetName val="SDF"/>
      <sheetName val="YSS"/>
      <sheetName val="연결분개99"/>
      <sheetName val="Sheet6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Sheet5"/>
      <sheetName val="Sheet4"/>
      <sheetName val="Sheet3"/>
      <sheetName val="Sheet2"/>
      <sheetName val="만기 (2)"/>
      <sheetName val="00'미수"/>
      <sheetName val="She_x0000__x0000_2"/>
      <sheetName val="꺐윂"/>
      <sheetName val="총괄(회사)"/>
      <sheetName val="무형자산"/>
      <sheetName val="전산기기최종"/>
      <sheetName val="집기비품최종"/>
      <sheetName val="만기0701"/>
      <sheetName val="99지분법평가ﾐ쟿"/>
      <sheetName val="공사미수금"/>
      <sheetName val="xxxxxx"/>
      <sheetName val="시산표(매출조정전)"/>
      <sheetName val="고정자산원본"/>
      <sheetName val="감액검토_x_"/>
      <sheetName val="감가상각LS"/>
      <sheetName val="LS "/>
      <sheetName val="기타의투자자산"/>
      <sheetName val="장기대여금"/>
      <sheetName val="600-4"/>
      <sheetName val="D620"/>
      <sheetName val="매출채권"/>
      <sheetName val="기타당좌자산"/>
      <sheetName val="5300"/>
      <sheetName val="5500"/>
      <sheetName val="SS10"/>
      <sheetName val="유형자산증감"/>
      <sheetName val="RESULT"/>
      <sheetName val="보증금"/>
      <sheetName val="5400-재고자산Lead"/>
      <sheetName val="자료"/>
      <sheetName val="손익합산"/>
      <sheetName val="compare2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상품매출원가"/>
      <sheetName val="front"/>
      <sheetName val="재료비"/>
      <sheetName val="가공비"/>
      <sheetName val="판관비"/>
      <sheetName val="생판계획"/>
      <sheetName val="9월제조원가"/>
      <sheetName val="6월 내수"/>
      <sheetName val="6월 내수_편집"/>
      <sheetName val="차수"/>
      <sheetName val="TEL"/>
      <sheetName val="보증금(전신전화가입권)"/>
      <sheetName val="관계회사거래내역및 채권채무잔액 99"/>
      <sheetName val="제조경비"/>
      <sheetName val="부재료입고"/>
      <sheetName val="Input"/>
      <sheetName val="Co"/>
      <sheetName val="123"/>
      <sheetName val="5"/>
      <sheetName val="cover"/>
      <sheetName val="content"/>
      <sheetName val="1.0 - 5.0"/>
      <sheetName val="6.Data"/>
      <sheetName val="7.Calculation"/>
      <sheetName val="HGL"/>
      <sheetName val="Sys. Curve"/>
      <sheetName val="8.Summary"/>
      <sheetName val="9.Attach"/>
      <sheetName val="DATA"/>
      <sheetName val="MCS"/>
      <sheetName val="CF"/>
      <sheetName val="RE"/>
      <sheetName val="EQCOVER"/>
      <sheetName val="MOTLISTCOVER"/>
      <sheetName val="MOTLIST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생산3파트"/>
      <sheetName val="초지3호기"/>
      <sheetName val="종합_SP"/>
      <sheetName val="종합_MP"/>
      <sheetName val="무림SP_상세"/>
      <sheetName val="무림페이퍼_상세"/>
      <sheetName val="종합"/>
      <sheetName val="Start"/>
      <sheetName val="Inputs"/>
      <sheetName val="AcqIS"/>
      <sheetName val="AcqBSCF"/>
      <sheetName val="비품(94이전)"/>
      <sheetName val="감소Test"/>
      <sheetName val="TB(BS)"/>
      <sheetName val="TB(PL)"/>
      <sheetName val="PAJE"/>
      <sheetName val="PRJE"/>
      <sheetName val="자본금"/>
      <sheetName val="주석"/>
      <sheetName val="간이연락"/>
      <sheetName val="FN"/>
      <sheetName val="공통비"/>
      <sheetName val="현금&amp;현금등가(K)"/>
      <sheetName val="퇴충(K)"/>
      <sheetName val="상용_mp"/>
      <sheetName val="현금및예치금집계표"/>
      <sheetName val="현금및등가물명세서"/>
      <sheetName val="FS96"/>
      <sheetName val="8월현금흐름표"/>
      <sheetName val="매출"/>
      <sheetName val="basic_info"/>
      <sheetName val="조회총괄"/>
      <sheetName val="XLUTIL"/>
      <sheetName val="96수표어음"/>
      <sheetName val="로케션"/>
      <sheetName val="master"/>
      <sheetName val="Estrazione"/>
      <sheetName val="Links"/>
      <sheetName val="COND"/>
      <sheetName val="5600"/>
      <sheetName val="Macro2"/>
      <sheetName val="영업"/>
      <sheetName val="종합일지"/>
      <sheetName val="분당임차변경"/>
      <sheetName val="Macro4"/>
      <sheetName val="Gen Assumptions"/>
      <sheetName val="관리대장(2001장비)"/>
      <sheetName val="4b Consolidated PL"/>
      <sheetName val="전체현황"/>
      <sheetName val="1998 P &amp; L"/>
      <sheetName val="을"/>
      <sheetName val="INMD1198"/>
      <sheetName val="INFG1198"/>
      <sheetName val="Korea Sign-Internal"/>
      <sheetName val="pre-anal손익계산서"/>
      <sheetName val="pre-anal대차대조표"/>
      <sheetName val="calendar"/>
      <sheetName val="HEADER"/>
      <sheetName val="language"/>
      <sheetName val="Borrower"/>
      <sheetName val="공문"/>
      <sheetName val="Priorities"/>
      <sheetName val="Rate"/>
      <sheetName val="Date"/>
      <sheetName val="월별수입"/>
      <sheetName val="유통망계획"/>
      <sheetName val="미수수익"/>
      <sheetName val="Index"/>
      <sheetName val="폐토수익화 "/>
      <sheetName val="Com-Button"/>
      <sheetName val="총괄KD"/>
      <sheetName val="공통부대비"/>
      <sheetName val="지분법(AK) (2)"/>
      <sheetName val="한일자야(감액손실) (2)"/>
      <sheetName val="원판매입"/>
      <sheetName val="Secured Master"/>
      <sheetName val="1_當期시산표"/>
      <sheetName val="손익분석"/>
      <sheetName val="정부노임단가"/>
      <sheetName val="3분기"/>
      <sheetName val="구동"/>
      <sheetName val="PLarp"/>
      <sheetName val="9703"/>
      <sheetName val="801000"/>
      <sheetName val="Köpfe"/>
      <sheetName val="BAL.(TTL)"/>
      <sheetName val="MetaData"/>
      <sheetName val="流资汇总"/>
      <sheetName val=" 견적서"/>
      <sheetName val="제조원가"/>
      <sheetName val="001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118.세금과공과"/>
      <sheetName val="1.MDF1공장"/>
      <sheetName val="손익계산"/>
      <sheetName val="w't table"/>
      <sheetName val="000000"/>
      <sheetName val="당년매출"/>
      <sheetName val="당년매출집계"/>
      <sheetName val="전년매출"/>
      <sheetName val="전년매출집계"/>
      <sheetName val="당년예산"/>
      <sheetName val="당년예산집계"/>
      <sheetName val="예산실적비교"/>
      <sheetName val="관계매출 (2)"/>
      <sheetName val="관계매출"/>
      <sheetName val="관계회사"/>
      <sheetName val="tax1"/>
      <sheetName val="GENERAL"/>
      <sheetName val="Inv "/>
      <sheetName val="++++"/>
      <sheetName val="1"/>
      <sheetName val="시나리오"/>
      <sheetName val="순수통장"/>
      <sheetName val="적립수신"/>
      <sheetName val="TBclosing"/>
      <sheetName val="#REF"/>
      <sheetName val="07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2차분"/>
      <sheetName val="Æo°¡±aAØ"/>
      <sheetName val="2.대외공문"/>
      <sheetName val="중요성(출)"/>
      <sheetName val="전부인쇄"/>
      <sheetName val="경비분류(1)"/>
      <sheetName val="Oper Amount"/>
      <sheetName val="WBS98"/>
      <sheetName val="급여이체(농) (2)"/>
      <sheetName val="AL"/>
      <sheetName val="m_COA"/>
      <sheetName val="06년예상보험료 (2)"/>
      <sheetName val="1~10월실적"/>
      <sheetName val="에스피"/>
      <sheetName val="페이퍼"/>
      <sheetName val="코드Mapping"/>
      <sheetName val="신무림1"/>
      <sheetName val="DB"/>
      <sheetName val="급여"/>
      <sheetName val="Base"/>
      <sheetName val="기타주식-명세"/>
      <sheetName val="libor"/>
      <sheetName val="투자유가증권"/>
      <sheetName val="1-KUNDE.XLS"/>
      <sheetName val="Serial"/>
      <sheetName val="Data Sheet"/>
      <sheetName val="DS-최종"/>
      <sheetName val="인천_계획"/>
      <sheetName val="고정자산-회사제시"/>
      <sheetName val="JUYO"/>
      <sheetName val="Intercompany AR &amp; AP"/>
      <sheetName val="Ctrl"/>
      <sheetName val="환율-LIBOR"/>
      <sheetName val="1_외주공사"/>
      <sheetName val="2_직영공사"/>
      <sheetName val="Korea_Sign-Internal"/>
      <sheetName val="4b_Consolidated_PL"/>
      <sheetName val="Gen_Assumptions"/>
      <sheetName val="1998_P_&amp;_L"/>
      <sheetName val="변제"/>
      <sheetName val="이자"/>
      <sheetName val="상환대상"/>
      <sheetName val="가정"/>
      <sheetName val="여신현황"/>
      <sheetName val="소비자가"/>
      <sheetName val="argl(1)"/>
      <sheetName val="재고"/>
      <sheetName val="2-2.매출분석"/>
      <sheetName val="▶판가Trend(수정안)"/>
      <sheetName val="▶판매량Trend(수정안)"/>
      <sheetName val="집계2"/>
      <sheetName val="교정용 시트 (9)"/>
      <sheetName val="TCA"/>
      <sheetName val="3. BSC NC ratio"/>
      <sheetName val="Sheet6 (3)"/>
      <sheetName val="원본 data"/>
      <sheetName val="1차 가공"/>
      <sheetName val="다이스"/>
      <sheetName val="분석data"/>
      <sheetName val="불량집계"/>
      <sheetName val="서식 옵션"/>
      <sheetName val="대비"/>
      <sheetName val="AR"/>
      <sheetName val="due from HO"/>
      <sheetName val="AP"/>
      <sheetName val="IS"/>
      <sheetName val="Prepaid"/>
      <sheetName val="Accrued exp"/>
      <sheetName val="Head office"/>
      <sheetName val="세목별"/>
      <sheetName val="결산비용"/>
      <sheetName val="적용환율"/>
      <sheetName val="지급보증금74"/>
      <sheetName val="Controls"/>
      <sheetName val="INTRODUCTION"/>
      <sheetName val="97LGG"/>
      <sheetName val="TV법인별"/>
      <sheetName val="  한국 AMP ASP-23 판매가격  "/>
      <sheetName val="계정그룹"/>
      <sheetName val="페이퍼2010년사업계획20091107"/>
      <sheetName val="승인"/>
      <sheetName val="r1"/>
      <sheetName val="s0"/>
      <sheetName val="Sheet1 (2)"/>
      <sheetName val="Sheet1 (3)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제품별 MC"/>
      <sheetName val="営業以外 評価賞与"/>
      <sheetName val="받을어음"/>
      <sheetName val="채권(하반기)"/>
      <sheetName val="신고서.전"/>
      <sheetName val="협조전"/>
      <sheetName val="FRC"/>
      <sheetName val="950801"/>
      <sheetName val="비상각자산분류"/>
      <sheetName val="범한여행"/>
      <sheetName val="Krw"/>
      <sheetName val="ST"/>
      <sheetName val="DISTTB"/>
      <sheetName val="INOBTB"/>
      <sheetName val="입력자료"/>
      <sheetName val="수처리사업"/>
      <sheetName val="차종별"/>
      <sheetName val="반기_유가증권"/>
      <sheetName val="기초데이타"/>
      <sheetName val="분개장·원장"/>
      <sheetName val="95WBS"/>
      <sheetName val="사원명부"/>
      <sheetName val="인원계획-미화"/>
      <sheetName val="노무비"/>
      <sheetName val="울산"/>
      <sheetName val="매출매입"/>
      <sheetName val="Intro2"/>
      <sheetName val="Id"/>
      <sheetName val="Dim Lists"/>
      <sheetName val="Lists"/>
      <sheetName val="Fixed Asset 2203 (2)"/>
      <sheetName val="BAU-ITEMLIST"/>
      <sheetName val="LIST"/>
      <sheetName val="시실누(모) "/>
      <sheetName val="자본금99(수)"/>
      <sheetName val="Price Summary (Before &amp; After)"/>
      <sheetName val="Non-Statistical Sampling Master"/>
      <sheetName val="조정명세서"/>
      <sheetName val="97년추정손익계산서"/>
      <sheetName val="일일붙여라"/>
      <sheetName val="인원기초(M)"/>
      <sheetName val="95TOTREV"/>
      <sheetName val="98종합"/>
      <sheetName val="09.01퇴직"/>
      <sheetName val="Bank charge"/>
      <sheetName val="Cover sheet"/>
      <sheetName val="작업장"/>
      <sheetName val="DATE변환"/>
      <sheetName val="MEXICO-C"/>
      <sheetName val="Sheet16"/>
      <sheetName val="지분법(AK)_(2)"/>
      <sheetName val="한일자야(감액손실)_(2)"/>
      <sheetName val="Secured_Master"/>
      <sheetName val="9811_YTD"/>
      <sheetName val="폐토수익화_"/>
      <sheetName val="w't_table"/>
      <sheetName val="Inv_"/>
      <sheetName val="급여이체(농)_(2)"/>
      <sheetName val="1_MDF1공장"/>
      <sheetName val="2_대외공문"/>
      <sheetName val="BAL_(TTL)"/>
      <sheetName val="118_세금과공과"/>
      <sheetName val="Oper_Amount"/>
      <sheetName val="Data_Sheet"/>
      <sheetName val="_견적서"/>
      <sheetName val="1-KUNDE_XLS"/>
      <sheetName val="Intercompany_AR_&amp;_AP"/>
      <sheetName val="관계매출_(2)"/>
      <sheetName val="due_from_HO"/>
      <sheetName val="Accrued_exp"/>
      <sheetName val="Head_office"/>
      <sheetName val="__한국_AMP_ASP-23_판매가격__"/>
      <sheetName val="営業以外_評価賞与"/>
      <sheetName val="신고서_전"/>
      <sheetName val="제품별_MC"/>
      <sheetName val="1월--7월"/>
      <sheetName val="8월--12월"/>
      <sheetName val="p2-1"/>
      <sheetName val="생산계획"/>
      <sheetName val="G3-1"/>
      <sheetName val="data5"/>
      <sheetName val="125PIECE"/>
      <sheetName val="MOTOR"/>
      <sheetName val="ITEM"/>
      <sheetName val="5월17일"/>
      <sheetName val="받check"/>
      <sheetName val="DS-장비"/>
      <sheetName val="NW-장비"/>
      <sheetName val="원시데이타"/>
      <sheetName val="O  1.0 Leadsheet of income tax"/>
      <sheetName val="분석적검토(대차)"/>
      <sheetName val="출자한도"/>
      <sheetName val="한계원가"/>
      <sheetName val="9612서울"/>
      <sheetName val=".1 memo"/>
      <sheetName val="Summary (1)"/>
      <sheetName val="집계"/>
      <sheetName val="연료사용"/>
      <sheetName val="합계잔액시산표"/>
      <sheetName val="She"/>
      <sheetName val="퇴직금추계ot"/>
      <sheetName val="차입금LS"/>
      <sheetName val="F-4,5"/>
      <sheetName val="수출가격"/>
      <sheetName val="원가분석"/>
      <sheetName val="CMA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건물"/>
      <sheetName val="Page 1A - Proposal Strategy "/>
      <sheetName val="2001"/>
      <sheetName val="기타유동LS"/>
      <sheetName val="감가상각비재계산_08"/>
      <sheetName val="지분법평가1분기"/>
      <sheetName val="검토사항"/>
      <sheetName val="계실5-1"/>
      <sheetName val="LS"/>
      <sheetName val="매출채권 lead"/>
      <sheetName val="금융보증부채"/>
      <sheetName val="F1,2"/>
      <sheetName val="F45"/>
      <sheetName val="프랜트면허"/>
      <sheetName val="토목주소"/>
      <sheetName val="MYENGBU"/>
      <sheetName val="중기일위대가"/>
      <sheetName val="방배동내역(리라)"/>
      <sheetName val="현장경비"/>
      <sheetName val="건축공사집계표"/>
      <sheetName val="부대공사총괄"/>
      <sheetName val="노임단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주식"/>
      <sheetName val="갑지(추정)"/>
      <sheetName val="투자효율분석"/>
      <sheetName val="설계명세서"/>
      <sheetName val="음료실행"/>
      <sheetName val="ELECTRIC"/>
      <sheetName val="SCHEDULE"/>
      <sheetName val="CTEMCOST"/>
      <sheetName val="매립"/>
      <sheetName val="일위대가"/>
      <sheetName val="FORM-0"/>
      <sheetName val="물량표"/>
      <sheetName val="EJ"/>
      <sheetName val="경비"/>
      <sheetName val="마감사양"/>
      <sheetName val="금액내역서"/>
      <sheetName val="실행내역"/>
      <sheetName val="갑지"/>
      <sheetName val="내역서"/>
      <sheetName val="인사자료총집계"/>
      <sheetName val="경영상태"/>
      <sheetName val="Man Hole"/>
      <sheetName val="0226"/>
      <sheetName val="갑지1"/>
      <sheetName val="1ST"/>
      <sheetName val="표준건축비"/>
      <sheetName val="환율"/>
      <sheetName val="DATA2000"/>
      <sheetName val="TEST1"/>
      <sheetName val="입출재고현황 (2)"/>
      <sheetName val="A"/>
      <sheetName val="공사내역"/>
      <sheetName val="차액보증"/>
      <sheetName val="archi(본사)"/>
      <sheetName val="금융비용"/>
      <sheetName val="연돌일위집계"/>
      <sheetName val="배명(단가)"/>
      <sheetName val="결제"/>
      <sheetName val="할증 "/>
      <sheetName val="CAL1"/>
      <sheetName val="내역"/>
      <sheetName val="변경내역대비표(2)"/>
      <sheetName val="개요"/>
      <sheetName val="부속동"/>
      <sheetName val="수량3"/>
      <sheetName val="도급"/>
      <sheetName val="지급자재"/>
      <sheetName val="ENE-CAL"/>
      <sheetName val="중기사용료"/>
      <sheetName val="실행"/>
      <sheetName val="기안"/>
      <sheetName val="개산공사비"/>
      <sheetName val="단가표 "/>
      <sheetName val="부하계산서"/>
      <sheetName val="연결임시"/>
      <sheetName val="을지 (2)"/>
      <sheetName val="을지"/>
      <sheetName val="방배동내역 (총괄)"/>
      <sheetName val="조명시설"/>
      <sheetName val="선로정수계산"/>
      <sheetName val="설산1.나"/>
      <sheetName val="본사S"/>
      <sheetName val="설계명세"/>
      <sheetName val="공통가설"/>
      <sheetName val="내역표지"/>
      <sheetName val="입고현황(전체)"/>
      <sheetName val="부하(성남)"/>
      <sheetName val="대갑기성내역"/>
      <sheetName val="설계조건"/>
      <sheetName val="00년"/>
      <sheetName val="일위_파일"/>
      <sheetName val="날개벽"/>
      <sheetName val="암거단위-1련"/>
      <sheetName val="1,2,3,4,5단위수량"/>
      <sheetName val="아파트기별"/>
      <sheetName val="공리일"/>
      <sheetName val="계수시트"/>
      <sheetName val="원가계산서"/>
      <sheetName val="SAKUB"/>
      <sheetName val="영동(D)"/>
      <sheetName val="의뢰서"/>
      <sheetName val="가격조사서"/>
      <sheetName val="TYPE-A"/>
      <sheetName val="EQT-ESTN"/>
      <sheetName val="자금흐름표_SAC_작업"/>
      <sheetName val="일위"/>
      <sheetName val="일위대가(여기까지)"/>
      <sheetName val="품셈"/>
      <sheetName val="BID"/>
      <sheetName val="화전내"/>
      <sheetName val="경비2내역"/>
      <sheetName val="찍기"/>
      <sheetName val="골조시행"/>
      <sheetName val="구체"/>
      <sheetName val="좌측날개벽"/>
      <sheetName val="우측날개벽"/>
      <sheetName val="FFU 물량"/>
      <sheetName val="대공종"/>
      <sheetName val="F4-F7"/>
      <sheetName val="cable-data"/>
      <sheetName val="산거각호표"/>
      <sheetName val="6PILE  (돌출)"/>
      <sheetName val="IW-LIST"/>
      <sheetName val="L형옹벽"/>
      <sheetName val="3.공통공사대비"/>
      <sheetName val="비교1"/>
      <sheetName val="은행"/>
      <sheetName val=" 공장동 건설공사 견적서 R5.xlsx"/>
      <sheetName val="공사예산하조서(O.K)"/>
      <sheetName val="투입집계표"/>
      <sheetName val="단가표"/>
      <sheetName val="FOB발"/>
      <sheetName val="실행(ALT1)"/>
      <sheetName val="실행철강하도"/>
      <sheetName val="견적서"/>
      <sheetName val="14.1&quot; Cst 변화"/>
      <sheetName val="98비정기소모"/>
      <sheetName val="설비2차"/>
      <sheetName val="9GNG운반"/>
      <sheetName val="포장절단"/>
      <sheetName val="토목내역"/>
      <sheetName val="1호맨홀토공"/>
      <sheetName val="Sight n M.H"/>
      <sheetName val="__"/>
      <sheetName val="신우"/>
      <sheetName val="정산내역"/>
      <sheetName val="VS P-Q"/>
      <sheetName val="G.R300경비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CAPVC"/>
      <sheetName val="1,2공구원가계산서"/>
      <sheetName val="2공구산출내역"/>
      <sheetName val="1공구산출내역서"/>
      <sheetName val="TTL"/>
      <sheetName val="單價表단가표"/>
      <sheetName val="잡철물"/>
      <sheetName val="설계내역서"/>
      <sheetName val="예가표"/>
      <sheetName val="견적대비표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121220_14라인 분석실 개조공사_정산내역서_최종취합"/>
      <sheetName val="BA "/>
      <sheetName val="DRUM"/>
      <sheetName val="Supplement2"/>
      <sheetName val="장비명"/>
      <sheetName val="36+45-113-18+19+20I"/>
      <sheetName val="G2설비도급"/>
      <sheetName val="참조"/>
      <sheetName val="장비내역서"/>
      <sheetName val="수선계획표"/>
      <sheetName val="WORK"/>
      <sheetName val="건축공사"/>
      <sheetName val="40총괄"/>
      <sheetName val="40집계"/>
      <sheetName val="전계가"/>
      <sheetName val="공틀공사"/>
      <sheetName val="건축내역서"/>
      <sheetName val="설비내역서"/>
      <sheetName val="전기내역서"/>
      <sheetName val="건축내역"/>
      <sheetName val="Ⅴ-2.공종별내역"/>
      <sheetName val="을 2"/>
      <sheetName val="을 1"/>
      <sheetName val="dg"/>
      <sheetName val="결과조달"/>
      <sheetName val="c_balju"/>
      <sheetName val="품의"/>
      <sheetName val="공예을"/>
      <sheetName val="방배동내역(한영)"/>
      <sheetName val="SPC노임(5월)"/>
      <sheetName val="물량산출근거"/>
      <sheetName val="P.M 별"/>
      <sheetName val="수목데이타 "/>
      <sheetName val="증감분석"/>
      <sheetName val="단면 (2)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FB25JN"/>
      <sheetName val="납부서"/>
      <sheetName val="노무비단가"/>
      <sheetName val="중기조종사 단위단가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CONCRETE"/>
      <sheetName val="감가상각비"/>
      <sheetName val="대외공문"/>
      <sheetName val="She_x005f_x0000__x005f_x0000_2"/>
      <sheetName val="현금"/>
      <sheetName val="97손익계획"/>
      <sheetName val="사발차"/>
      <sheetName val="시설이용권명세서"/>
      <sheetName val="감독원보고기준_차기배당금액"/>
      <sheetName val="PC%계산"/>
      <sheetName val="Template"/>
      <sheetName val="5810-1 무형자산subleed의 워크시트"/>
    </sheetNames>
    <sheetDataSet>
      <sheetData sheetId="0">
        <row r="7">
          <cell r="D7">
            <v>39311</v>
          </cell>
        </row>
      </sheetData>
      <sheetData sheetId="1">
        <row r="2">
          <cell r="B2" t="str">
            <v>한일산업주식회사</v>
          </cell>
        </row>
      </sheetData>
      <sheetData sheetId="2">
        <row r="6">
          <cell r="G6">
            <v>94.894984797714471</v>
          </cell>
        </row>
      </sheetData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>
        <row r="2">
          <cell r="G2">
            <v>38883.173000000003</v>
          </cell>
        </row>
      </sheetData>
      <sheetData sheetId="182">
        <row r="2">
          <cell r="G2">
            <v>38883.173000000003</v>
          </cell>
        </row>
      </sheetData>
      <sheetData sheetId="183">
        <row r="2">
          <cell r="G2">
            <v>38883.173000000003</v>
          </cell>
        </row>
      </sheetData>
      <sheetData sheetId="184">
        <row r="2">
          <cell r="G2">
            <v>38883.173000000003</v>
          </cell>
        </row>
      </sheetData>
      <sheetData sheetId="185">
        <row r="2">
          <cell r="G2">
            <v>38883.173000000003</v>
          </cell>
        </row>
      </sheetData>
      <sheetData sheetId="186">
        <row r="2">
          <cell r="G2">
            <v>38883.173000000003</v>
          </cell>
        </row>
      </sheetData>
      <sheetData sheetId="187">
        <row r="2">
          <cell r="G2">
            <v>38883.173000000003</v>
          </cell>
        </row>
      </sheetData>
      <sheetData sheetId="188">
        <row r="2">
          <cell r="G2">
            <v>38883.173000000003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 refreshError="1"/>
      <sheetData sheetId="585"/>
      <sheetData sheetId="586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LEAD"/>
      <sheetName val="유형명세서"/>
      <sheetName val="건설중인자산대체현황"/>
      <sheetName val="건설중인자산명세서"/>
      <sheetName val="자산처분세부명세서"/>
      <sheetName val="XREF"/>
      <sheetName val="Tickmarks"/>
      <sheetName val="무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채권"/>
      <sheetName val="매출채권(집계)"/>
      <sheetName val="외상매출금 합계표(조회서 refer) "/>
      <sheetName val="대체적인 절차 refer(외상매출금)"/>
      <sheetName val="국내외상매출금(S)"/>
      <sheetName val="국내외상매출금(P)"/>
      <sheetName val="국내외상매출(B)"/>
      <sheetName val="외화외상매출금"/>
      <sheetName val="받을어음 합계표(조회서 refer)"/>
      <sheetName val="받을어음(S)"/>
      <sheetName val="받을어음(P)"/>
      <sheetName val="받을어음(B)"/>
      <sheetName val="구매카드"/>
      <sheetName val="부도어음"/>
      <sheetName val="Sheet1"/>
      <sheetName val="XREF"/>
      <sheetName val="Tickmarks"/>
      <sheetName val="lead"/>
      <sheetName val="memo"/>
      <sheetName val="9월제조원가"/>
      <sheetName val="리드"/>
      <sheetName val="DATA"/>
      <sheetName val="시산표"/>
      <sheetName val="BS"/>
      <sheetName val="PL"/>
      <sheetName val="MCS"/>
      <sheetName val="TB"/>
      <sheetName val="CF"/>
      <sheetName val="RE"/>
      <sheetName val="무형"/>
      <sheetName val="5600"/>
      <sheetName val="채권조회서 Roll-forward test"/>
      <sheetName val="만기"/>
      <sheetName val="정산표"/>
      <sheetName val="영원bs"/>
      <sheetName val="영원is"/>
      <sheetName val="SDF"/>
      <sheetName val="YSS"/>
      <sheetName val="연결분개99"/>
      <sheetName val="Sheet6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Sheet5"/>
      <sheetName val="Sheet4"/>
      <sheetName val="Sheet3"/>
      <sheetName val="Sheet2"/>
      <sheetName val="99발견사항"/>
      <sheetName val="발견사항"/>
      <sheetName val="wbs"/>
      <sheetName val="wpl"/>
      <sheetName val="대차대조표"/>
      <sheetName val="손익계산서"/>
      <sheetName val="수정분개"/>
      <sheetName val="대차"/>
      <sheetName val="손익"/>
      <sheetName val="잉여금"/>
      <sheetName val="현금흐름표"/>
      <sheetName val="현금흐름표검증조서"/>
      <sheetName val="만기 (2)"/>
      <sheetName val="00'미수"/>
      <sheetName val="She_x0000__x0000_2"/>
      <sheetName val="꺐윂"/>
      <sheetName val="감가상각"/>
      <sheetName val="1.외주공사"/>
      <sheetName val="2.직영공사"/>
      <sheetName val="총괄(회사)"/>
      <sheetName val="무형자산"/>
      <sheetName val="전산기기최종"/>
      <sheetName val="집기비품최종"/>
      <sheetName val="만기0701"/>
      <sheetName val="99지분법평가ﾐ쟿"/>
      <sheetName val="정기적금"/>
      <sheetName val="COMBINED"/>
      <sheetName val="VALSTAT"/>
      <sheetName val="인건비예산(정규직)"/>
      <sheetName val="인건비예산(용역)"/>
      <sheetName val="부재료입고집계"/>
      <sheetName val="xxxxxx"/>
      <sheetName val="000000"/>
      <sheetName val="Start"/>
      <sheetName val="당년매출"/>
      <sheetName val="당년매출집계"/>
      <sheetName val="전년매출"/>
      <sheetName val="전년매출집계"/>
      <sheetName val="당년예산"/>
      <sheetName val="당년예산집계"/>
      <sheetName val="예산실적비교"/>
      <sheetName val="관계매출 (2)"/>
      <sheetName val="관계매출"/>
      <sheetName val="관계회사"/>
      <sheetName val="06년예상보험료 (2)"/>
      <sheetName val="1~10월실적"/>
      <sheetName val="에스피"/>
      <sheetName val="페이퍼"/>
      <sheetName val="코드Mapping"/>
      <sheetName val="신무림1"/>
      <sheetName val="총제품수불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Links"/>
      <sheetName val="유형명세서"/>
      <sheetName val="건설중인자산대체현황"/>
      <sheetName val="건설중인자산명세서"/>
      <sheetName val="자산처분세부명세서"/>
      <sheetName val="EQCOVER"/>
      <sheetName val="MOTLISTCOVER"/>
      <sheetName val="MOTLIST"/>
      <sheetName val="MOTORTABLECOVER"/>
      <sheetName val="INST.TABLECOVER"/>
      <sheetName val="INSTTABLE"/>
      <sheetName val="MOTORTABLE"/>
      <sheetName val="MCCBASIC"/>
      <sheetName val="TOTAL"/>
      <sheetName val="BA"/>
      <sheetName val="BB"/>
      <sheetName val="BC"/>
      <sheetName val="BD"/>
      <sheetName val="BE"/>
      <sheetName val="Module"/>
      <sheetName val="회의자료"/>
      <sheetName val="P&amp;P제지 집계"/>
      <sheetName val="원단위"/>
      <sheetName val="연기"/>
      <sheetName val="ZCO0221"/>
      <sheetName val="계정그룹"/>
      <sheetName val="실적"/>
      <sheetName val="수선비"/>
      <sheetName val="매입채무"/>
      <sheetName val="상품수불(합산)"/>
      <sheetName val="표지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영업"/>
      <sheetName val="국내영업"/>
      <sheetName val="대구"/>
      <sheetName val="진주"/>
      <sheetName val="진주생산"/>
      <sheetName val="평가표대상"/>
      <sheetName val="진주총무"/>
      <sheetName val="평가방법 (2)"/>
      <sheetName val="피벗"/>
      <sheetName val="기본데이터"/>
      <sheetName val="양식(최종)"/>
      <sheetName val="양식(최종) (2)"/>
      <sheetName val="종합_SP"/>
      <sheetName val="종합_MP"/>
      <sheetName val="무림SP_상세"/>
      <sheetName val="무림페이퍼_상세"/>
      <sheetName val="종합"/>
      <sheetName val="F12"/>
      <sheetName val="제품불량율"/>
      <sheetName val="Template"/>
      <sheetName val="이자비용Overall"/>
      <sheetName val="리드시트"/>
      <sheetName val="외주가공비"/>
      <sheetName val="소모공구비"/>
      <sheetName val="TOT"/>
      <sheetName val="월별제조경비"/>
      <sheetName val="제조원가"/>
      <sheetName val="관계회사거래내역및 채권채무잔액 99"/>
      <sheetName val="Refresh 계약 금액"/>
      <sheetName val="집계"/>
      <sheetName val="6개월평균(무림)"/>
      <sheetName val="6개월평균(신무림)"/>
      <sheetName val="3개월평균(무림)"/>
      <sheetName val="3개월평균(신무림)"/>
      <sheetName val="06.1월(무림)"/>
      <sheetName val="06.1월(신무림)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비율분석"/>
      <sheetName val="재무제표검토"/>
      <sheetName val="주요경영지표계산"/>
      <sheetName val="최종분석"/>
      <sheetName val="ASM"/>
      <sheetName val="최종재무제표분석"/>
      <sheetName val="Analytical(대차)"/>
      <sheetName val="Analytical(손익)"/>
      <sheetName val="주요계정(대차)"/>
      <sheetName val="주요계정(손익)"/>
      <sheetName val="주요대차"/>
      <sheetName val="주요손익"/>
      <sheetName val="대차대조표 (2)"/>
      <sheetName val="손익계산서 (2)"/>
      <sheetName val="제표최종"/>
      <sheetName val="주요경영지표계산 (2)"/>
      <sheetName val="잉여금, 현금흐름"/>
      <sheetName val="IS정산표"/>
      <sheetName val="대차분석"/>
      <sheetName val="손익분석"/>
      <sheetName val="손익계산서 (3)"/>
      <sheetName val="폐토수익화 "/>
      <sheetName val="#REF"/>
      <sheetName val="보고"/>
      <sheetName val="수처리사업"/>
      <sheetName val="Sheet1 (3)"/>
      <sheetName val="1995년 섹터별 매출"/>
      <sheetName val="대출금"/>
      <sheetName val="건물"/>
      <sheetName val="2311 재무제표검토 Worksheet의 워크시트"/>
      <sheetName val="Inputs"/>
      <sheetName val="단기차입금"/>
      <sheetName val="StandAlne"/>
      <sheetName val="수정시산표"/>
      <sheetName val="Update"/>
      <sheetName val="P&amp;L"/>
      <sheetName val="백암비스타내역"/>
      <sheetName val="대차대조표-공시형"/>
      <sheetName val="Excess Calc"/>
      <sheetName val="경수97.02"/>
      <sheetName val="0-Basics"/>
      <sheetName val="수익증권명세서(매도가능)"/>
      <sheetName val="COMPS"/>
      <sheetName val="분석mast"/>
      <sheetName val="Cust"/>
      <sheetName val="적용환율"/>
      <sheetName val="C-Lead"/>
      <sheetName val="WACC"/>
      <sheetName val="8220"/>
      <sheetName val="97년추정손익계산서"/>
      <sheetName val="Assumption"/>
      <sheetName val="A"/>
      <sheetName val="Balance Sheet"/>
      <sheetName val="Income Statement"/>
      <sheetName val="확인서"/>
      <sheetName val="SALE&amp;COST"/>
      <sheetName val="FTE"/>
      <sheetName val="손익1월"/>
      <sheetName val="공통비"/>
      <sheetName val="원자재수불(최종)"/>
      <sheetName val="Asset9809CAK"/>
      <sheetName val="C100 LEAD"/>
      <sheetName val="39기"/>
      <sheetName val="Variables"/>
      <sheetName val="월 Capa"/>
      <sheetName val="00.08계정"/>
      <sheetName val="forecasted_BS"/>
      <sheetName val="forecasted_IS"/>
      <sheetName val="108.수선비"/>
      <sheetName val="목차 (1월)"/>
      <sheetName val="목차"/>
      <sheetName val="1.SP"/>
      <sheetName val="2.∑SP"/>
      <sheetName val="3.vs계획"/>
      <sheetName val="4.vs전월"/>
      <sheetName val="5.평가손익"/>
      <sheetName val="6.판관비"/>
      <sheetName val="7_영업외 수지 증감현황"/>
      <sheetName val="8.BS"/>
      <sheetName val="9.CF"/>
      <sheetName val="10-11.채권_재고_보고서용_받을어음할인포함"/>
      <sheetName val="12.제조"/>
      <sheetName val="13.수익성분석"/>
      <sheetName val="14.영업사원"/>
      <sheetName val="15.지종별수익성분석"/>
      <sheetName val="16.수출고객"/>
      <sheetName val="17.지종별 수익성(수출)"/>
      <sheetName val="18.한계이익 "/>
      <sheetName val="19-20.한계이익"/>
      <sheetName val="21-23.한계이익"/>
      <sheetName val="24.파지발생 현황"/>
      <sheetName val="원단위 차이 분석"/>
      <sheetName val="1page 부속자료"/>
      <sheetName val="camera"/>
      <sheetName val="매출액,원가 차이분석"/>
      <sheetName val="카메라 2"/>
      <sheetName val="물류비"/>
      <sheetName val="(숫자만)"/>
      <sheetName val="월할금액반영"/>
      <sheetName val="매출(05.1~05.9)"/>
      <sheetName val="메이커업체,관계사및관공서제외"/>
      <sheetName val="담보현황"/>
      <sheetName val="여신한도"/>
      <sheetName val="매출"/>
      <sheetName val="2002년"/>
      <sheetName val="2003년"/>
      <sheetName val="2004년"/>
      <sheetName val="공무"/>
      <sheetName val="laroux"/>
      <sheetName val="겉표지"/>
      <sheetName val="결산공고97"/>
      <sheetName val="결산공고96"/>
      <sheetName val="제조"/>
      <sheetName val="이익이여금"/>
      <sheetName val="제조요약"/>
      <sheetName val="BS요약"/>
      <sheetName val="손익요약"/>
      <sheetName val="제조부서별"/>
      <sheetName val="현금흐름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발생집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대환취급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전"/>
      <sheetName val="부산"/>
      <sheetName val="정의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pre-anal손익계산서"/>
      <sheetName val="pre-anal대차대조표"/>
      <sheetName val="Cover"/>
      <sheetName val="krsec08"/>
      <sheetName val="Customer"/>
      <sheetName val="10월 급여"/>
      <sheetName val="소매_신용"/>
      <sheetName val="특정상품(비소매)"/>
      <sheetName val="비소매신용"/>
      <sheetName val="직공비"/>
      <sheetName val="신전산소항목시산표(5월)"/>
      <sheetName val="관세구분시트"/>
      <sheetName val="노무비"/>
      <sheetName val="종합일지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내역서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송전기본"/>
      <sheetName val="미수금 (O)"/>
      <sheetName val="F3"/>
      <sheetName val="1_當期시산표"/>
      <sheetName val="Borrower"/>
      <sheetName val="보험금"/>
      <sheetName val="T진도"/>
      <sheetName val="세부"/>
      <sheetName val="COM"/>
      <sheetName val="HK-I"/>
      <sheetName val="INT-I"/>
      <sheetName val="RSCH"/>
      <sheetName val="TR"/>
      <sheetName val="K-Lead"/>
      <sheetName val="Sales"/>
      <sheetName val="Code"/>
      <sheetName val="Condition"/>
      <sheetName val="General Assumptions"/>
      <sheetName val="Reference2"/>
      <sheetName val="KeyMultInputs"/>
      <sheetName val="Vega"/>
      <sheetName val="Heading"/>
      <sheetName val="sap`04.7.14"/>
      <sheetName val="AKL"/>
      <sheetName val="Accts"/>
      <sheetName val="Menu data"/>
      <sheetName val="FY0201"/>
      <sheetName val="국외감가상각내역0103"/>
      <sheetName val="신기술(비상장)0412"/>
      <sheetName val="후순위채05.01.20"/>
      <sheetName val="카"/>
      <sheetName val="She"/>
      <sheetName val="대손충당금설정의 적정성"/>
      <sheetName val="대손처리list"/>
      <sheetName val="외상매출금 연령분석표"/>
      <sheetName val="외화외상매출금 연령분석표"/>
      <sheetName val="회사대손충당금"/>
      <sheetName val="지점부실채권"/>
      <sheetName val="전체"/>
      <sheetName val="매출1"/>
      <sheetName val="입금1"/>
      <sheetName val="채권1"/>
      <sheetName val="기일1"/>
      <sheetName val="매출2"/>
      <sheetName val="입금2"/>
      <sheetName val="채권2"/>
      <sheetName val="기일2"/>
      <sheetName val="매출3"/>
      <sheetName val="입금3"/>
      <sheetName val="채권3"/>
      <sheetName val="기일3"/>
      <sheetName val="매출4"/>
      <sheetName val="입금4"/>
      <sheetName val="채권4"/>
      <sheetName val="기일4"/>
      <sheetName val="매출5"/>
      <sheetName val="입금5"/>
      <sheetName val="채권5"/>
      <sheetName val="기일5"/>
      <sheetName val="매출6"/>
      <sheetName val="입금6"/>
      <sheetName val="채권6"/>
      <sheetName val="기일6"/>
      <sheetName val="매출7"/>
      <sheetName val="입금7"/>
      <sheetName val="채권7"/>
      <sheetName val="기일7"/>
      <sheetName val="FS96"/>
      <sheetName val="8월현금흐름표"/>
      <sheetName val="basic_info"/>
      <sheetName val="조회총괄"/>
      <sheetName val="XLUTIL"/>
      <sheetName val="차수"/>
      <sheetName val="96수표어음"/>
      <sheetName val="로케션"/>
      <sheetName val="master"/>
      <sheetName val="Estrazione"/>
      <sheetName val="COND"/>
      <sheetName val="Macro2"/>
      <sheetName val="분당임차변경"/>
      <sheetName val="Macro4"/>
      <sheetName val="Gen Assumptions"/>
      <sheetName val="관리대장(2001장비)"/>
      <sheetName val="4b Consolidated PL"/>
      <sheetName val="전체현황"/>
      <sheetName val="1998 P &amp; L"/>
      <sheetName val="을"/>
      <sheetName val="INMD1198"/>
      <sheetName val="INFG1198"/>
      <sheetName val="Korea Sign-Internal"/>
      <sheetName val="calendar"/>
      <sheetName val="HEADER"/>
      <sheetName val="language"/>
      <sheetName val="공문"/>
      <sheetName val="compare2"/>
      <sheetName val="Priorities"/>
      <sheetName val="Rate"/>
      <sheetName val="Date"/>
      <sheetName val="월별수입"/>
      <sheetName val="유통망계획"/>
      <sheetName val="미수수익"/>
      <sheetName val="Index"/>
      <sheetName val="INFO"/>
      <sheetName val="Com-Button"/>
      <sheetName val="총괄KD"/>
      <sheetName val="공통부대비"/>
      <sheetName val="TEL"/>
      <sheetName val="지분법(AK) (2)"/>
      <sheetName val="한일자야(감액손실) (2)"/>
      <sheetName val="원판매입"/>
      <sheetName val="Secured Master"/>
      <sheetName val="정부노임단가"/>
      <sheetName val="3분기"/>
      <sheetName val="구동"/>
      <sheetName val="PLarp"/>
      <sheetName val="9703"/>
      <sheetName val="801000"/>
      <sheetName val="Köpfe"/>
      <sheetName val="BAL.(TTL)"/>
      <sheetName val="MetaData"/>
      <sheetName val="9811 YTD"/>
      <sheetName val="流资汇总"/>
      <sheetName val="6120"/>
      <sheetName val=" 견적서"/>
      <sheetName val="001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118.세금과공과"/>
      <sheetName val="1.MDF1공장"/>
      <sheetName val="손익계산"/>
      <sheetName val="w't table"/>
      <sheetName val="tax1"/>
      <sheetName val="GENERAL"/>
      <sheetName val="Inv "/>
      <sheetName val="++++"/>
      <sheetName val="1"/>
      <sheetName val="시나리오"/>
      <sheetName val="순수통장"/>
      <sheetName val="적립수신"/>
      <sheetName val="TBclosing"/>
      <sheetName val="재무가정"/>
      <sheetName val="front"/>
      <sheetName val="재료비"/>
      <sheetName val="가공비"/>
      <sheetName val="판관비"/>
      <sheetName val="생판계획"/>
      <sheetName val="07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2차분"/>
      <sheetName val="Æo°¡±aAØ"/>
      <sheetName val="2.대외공문"/>
      <sheetName val="중요성(출)"/>
      <sheetName val="전부인쇄"/>
      <sheetName val="경비분류(1)"/>
      <sheetName val="Oper Amount"/>
      <sheetName val="WBS98"/>
      <sheetName val="급여이체(농) (2)"/>
      <sheetName val="AL"/>
      <sheetName val="m_COA"/>
      <sheetName val="DB"/>
      <sheetName val="급여"/>
      <sheetName val="Base"/>
      <sheetName val="기타주식-명세"/>
      <sheetName val="libor"/>
      <sheetName val="투자유가증권"/>
      <sheetName val="1-KUNDE.XLS"/>
      <sheetName val="Serial"/>
      <sheetName val="Data Sheet"/>
      <sheetName val="DS-최종"/>
      <sheetName val="인천_계획"/>
      <sheetName val="고정자산-회사제시"/>
      <sheetName val="JUYO"/>
      <sheetName val="Intercompany AR &amp; AP"/>
      <sheetName val="Ctrl"/>
      <sheetName val="환율-LIBOR"/>
      <sheetName val="1_외주공사"/>
      <sheetName val="2_직영공사"/>
      <sheetName val="Korea_Sign-Internal"/>
      <sheetName val="4b_Consolidated_PL"/>
      <sheetName val="Gen_Assumptions"/>
      <sheetName val="1998_P_&amp;_L"/>
      <sheetName val="변제"/>
      <sheetName val="이자"/>
      <sheetName val="상환대상"/>
      <sheetName val="가정"/>
      <sheetName val="여신현황"/>
      <sheetName val="소비자가"/>
      <sheetName val="argl(1)"/>
      <sheetName val="재고"/>
      <sheetName val="2-2.매출분석"/>
      <sheetName val="▶판가Trend(수정안)"/>
      <sheetName val="▶판매량Trend(수정안)"/>
      <sheetName val="집계2"/>
      <sheetName val="교정용 시트 (9)"/>
      <sheetName val="TCA"/>
      <sheetName val="3. BSC NC ratio"/>
      <sheetName val="Sheet6 (3)"/>
      <sheetName val="지급보증금"/>
      <sheetName val="원본 data"/>
      <sheetName val="1차 가공"/>
      <sheetName val="다이스"/>
      <sheetName val="분석data"/>
      <sheetName val="불량집계"/>
      <sheetName val="서식 옵션"/>
      <sheetName val="5400"/>
      <sheetName val="LS"/>
      <sheetName val="배당금수입"/>
      <sheetName val="H. 1 투자자산L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1">
          <cell r="I21">
            <v>623420723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21">
          <cell r="I21">
            <v>623420723</v>
          </cell>
        </row>
      </sheetData>
      <sheetData sheetId="69">
        <row r="21">
          <cell r="I21">
            <v>623420723</v>
          </cell>
        </row>
      </sheetData>
      <sheetData sheetId="70">
        <row r="21">
          <cell r="I21">
            <v>623420723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>
        <row r="3">
          <cell r="AA3">
            <v>100</v>
          </cell>
        </row>
      </sheetData>
      <sheetData sheetId="177"/>
      <sheetData sheetId="178">
        <row r="3">
          <cell r="AA3">
            <v>100</v>
          </cell>
        </row>
      </sheetData>
      <sheetData sheetId="179">
        <row r="3">
          <cell r="AA3">
            <v>100</v>
          </cell>
        </row>
      </sheetData>
      <sheetData sheetId="180">
        <row r="3">
          <cell r="AA3">
            <v>100</v>
          </cell>
        </row>
      </sheetData>
      <sheetData sheetId="181">
        <row r="3">
          <cell r="AA3">
            <v>100</v>
          </cell>
        </row>
      </sheetData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>
        <row r="2">
          <cell r="A2">
            <v>110010</v>
          </cell>
        </row>
      </sheetData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>
        <row r="5">
          <cell r="E5">
            <v>73818</v>
          </cell>
        </row>
      </sheetData>
      <sheetData sheetId="234">
        <row r="5">
          <cell r="E5">
            <v>73818</v>
          </cell>
        </row>
      </sheetData>
      <sheetData sheetId="235" refreshError="1"/>
      <sheetData sheetId="236">
        <row r="5">
          <cell r="E5">
            <v>73818</v>
          </cell>
        </row>
      </sheetData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>
        <row r="5">
          <cell r="E5">
            <v>73818</v>
          </cell>
        </row>
      </sheetData>
      <sheetData sheetId="289">
        <row r="5">
          <cell r="E5">
            <v>73818</v>
          </cell>
        </row>
      </sheetData>
      <sheetData sheetId="290">
        <row r="5">
          <cell r="E5">
            <v>73818</v>
          </cell>
        </row>
      </sheetData>
      <sheetData sheetId="291">
        <row r="5">
          <cell r="E5">
            <v>73818</v>
          </cell>
        </row>
      </sheetData>
      <sheetData sheetId="292">
        <row r="5">
          <cell r="E5">
            <v>73818</v>
          </cell>
        </row>
      </sheetData>
      <sheetData sheetId="293">
        <row r="5">
          <cell r="E5">
            <v>73818</v>
          </cell>
        </row>
      </sheetData>
      <sheetData sheetId="294">
        <row r="5">
          <cell r="E5">
            <v>73818</v>
          </cell>
        </row>
      </sheetData>
      <sheetData sheetId="295">
        <row r="5">
          <cell r="E5">
            <v>73818</v>
          </cell>
        </row>
      </sheetData>
      <sheetData sheetId="296">
        <row r="5">
          <cell r="E5">
            <v>73818</v>
          </cell>
        </row>
      </sheetData>
      <sheetData sheetId="297">
        <row r="5">
          <cell r="E5">
            <v>73818</v>
          </cell>
        </row>
      </sheetData>
      <sheetData sheetId="298">
        <row r="5">
          <cell r="E5">
            <v>73818</v>
          </cell>
        </row>
      </sheetData>
      <sheetData sheetId="299">
        <row r="5">
          <cell r="E5">
            <v>73818</v>
          </cell>
        </row>
      </sheetData>
      <sheetData sheetId="300">
        <row r="5">
          <cell r="E5">
            <v>73818</v>
          </cell>
        </row>
      </sheetData>
      <sheetData sheetId="301">
        <row r="5">
          <cell r="E5">
            <v>73818</v>
          </cell>
        </row>
      </sheetData>
      <sheetData sheetId="302">
        <row r="5">
          <cell r="E5">
            <v>73818</v>
          </cell>
        </row>
      </sheetData>
      <sheetData sheetId="303">
        <row r="5">
          <cell r="E5">
            <v>73818</v>
          </cell>
        </row>
      </sheetData>
      <sheetData sheetId="304">
        <row r="5">
          <cell r="E5">
            <v>73818</v>
          </cell>
        </row>
      </sheetData>
      <sheetData sheetId="305">
        <row r="5">
          <cell r="E5">
            <v>73818</v>
          </cell>
        </row>
      </sheetData>
      <sheetData sheetId="306">
        <row r="5">
          <cell r="E5">
            <v>73818</v>
          </cell>
        </row>
      </sheetData>
      <sheetData sheetId="307">
        <row r="5">
          <cell r="E5">
            <v>73818</v>
          </cell>
        </row>
      </sheetData>
      <sheetData sheetId="308">
        <row r="5">
          <cell r="E5">
            <v>73818</v>
          </cell>
        </row>
      </sheetData>
      <sheetData sheetId="309">
        <row r="5">
          <cell r="E5">
            <v>73818</v>
          </cell>
        </row>
      </sheetData>
      <sheetData sheetId="310">
        <row r="5">
          <cell r="E5">
            <v>73818</v>
          </cell>
        </row>
      </sheetData>
      <sheetData sheetId="311">
        <row r="5">
          <cell r="E5">
            <v>73818</v>
          </cell>
        </row>
      </sheetData>
      <sheetData sheetId="312">
        <row r="5">
          <cell r="E5">
            <v>73818</v>
          </cell>
        </row>
      </sheetData>
      <sheetData sheetId="313">
        <row r="5">
          <cell r="E5">
            <v>73818</v>
          </cell>
        </row>
      </sheetData>
      <sheetData sheetId="314">
        <row r="5">
          <cell r="E5">
            <v>73818</v>
          </cell>
        </row>
      </sheetData>
      <sheetData sheetId="315">
        <row r="5">
          <cell r="E5">
            <v>73818</v>
          </cell>
        </row>
      </sheetData>
      <sheetData sheetId="316">
        <row r="5">
          <cell r="E5">
            <v>73818</v>
          </cell>
        </row>
      </sheetData>
      <sheetData sheetId="317">
        <row r="5">
          <cell r="E5">
            <v>73818</v>
          </cell>
        </row>
      </sheetData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>
        <row r="2">
          <cell r="A2">
            <v>110001</v>
          </cell>
        </row>
      </sheetData>
      <sheetData sheetId="473" refreshError="1"/>
      <sheetData sheetId="474">
        <row r="2">
          <cell r="A2">
            <v>110001</v>
          </cell>
        </row>
      </sheetData>
      <sheetData sheetId="475">
        <row r="2">
          <cell r="A2">
            <v>210032</v>
          </cell>
        </row>
      </sheetData>
      <sheetData sheetId="476">
        <row r="2">
          <cell r="A2">
            <v>140142</v>
          </cell>
        </row>
      </sheetData>
      <sheetData sheetId="477">
        <row r="2">
          <cell r="A2">
            <v>120195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/>
      <sheetData sheetId="596"/>
      <sheetData sheetId="597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12"/>
      <sheetName val="f3"/>
      <sheetName val="f4"/>
      <sheetName val="f5"/>
      <sheetName val="회사수정분개"/>
      <sheetName val="현금흐름표정산표"/>
      <sheetName val="현금흐름표"/>
      <sheetName val="Test"/>
      <sheetName val="Bs. de Uso 2002"/>
      <sheetName val="prov locales"/>
      <sheetName val="8340"/>
      <sheetName val="용역비"/>
      <sheetName val="한세A4PL"/>
      <sheetName val="C.Code"/>
      <sheetName val="Menu_Link"/>
      <sheetName val="TDTKP"/>
      <sheetName val="DK-KH"/>
      <sheetName val="KH-Q1,Q2,01"/>
      <sheetName val="심마니지분법평가"/>
      <sheetName val="투자자산감액손실"/>
      <sheetName val="투자유가증권증감분석"/>
      <sheetName val="배당금수익"/>
      <sheetName val="장기투자증권"/>
      <sheetName val="지분법(회사장부)"/>
      <sheetName val="투자자산처분손익"/>
      <sheetName val="98VS99(EL)"/>
      <sheetName val="고정자산원본"/>
      <sheetName val="기타고정부채"/>
      <sheetName val="감가상각비"/>
      <sheetName val="유형자산"/>
      <sheetName val="5300"/>
      <sheetName val="5500"/>
      <sheetName val="8310"/>
      <sheetName val="8221"/>
      <sheetName val="Reconciliation"/>
      <sheetName val="XREF"/>
      <sheetName val="DATA"/>
      <sheetName val="2资负"/>
      <sheetName val="4集团"/>
      <sheetName val="2002년급여반납분 지급"/>
      <sheetName val="매출피벗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품입고집계"/>
      <sheetName val="공통"/>
      <sheetName val="당초"/>
      <sheetName val="산업은행 경영지표"/>
      <sheetName val="잉여금"/>
      <sheetName val="집계표"/>
      <sheetName val="현금"/>
      <sheetName val="108.수선비"/>
      <sheetName val="95WBS"/>
      <sheetName val="현금흐름표"/>
      <sheetName val="B"/>
      <sheetName val="JOB Assign"/>
      <sheetName val="Krw"/>
      <sheetName val="건물"/>
      <sheetName val="조회서"/>
      <sheetName val="주소"/>
      <sheetName val="수정시산표"/>
      <sheetName val="현금및현금등가물"/>
      <sheetName val="부재료입고집계"/>
      <sheetName val="상품매출"/>
      <sheetName val="재고 "/>
      <sheetName val="2010년"/>
      <sheetName val="주beam"/>
      <sheetName val="9월누계해외"/>
      <sheetName val="년말집계"/>
      <sheetName val="9-1차이내역"/>
      <sheetName val="정산표"/>
      <sheetName val="보고"/>
      <sheetName val="TEMP2"/>
      <sheetName val="TEMP1"/>
      <sheetName val="기본"/>
      <sheetName val="시험연구비상각"/>
      <sheetName val="XREF"/>
      <sheetName val="유효성검사"/>
      <sheetName val="RAW9701"/>
      <sheetName val="세율"/>
      <sheetName val="붙임2-1  지급조서명세서(2001년분)"/>
      <sheetName val="홍원식"/>
      <sheetName val="24.보증금(전신전화가입권)"/>
      <sheetName val="99급여표"/>
      <sheetName val="기계기구"/>
      <sheetName val="#3-1 保有 有價證券 評價 及び 評價(X-23)"/>
      <sheetName val="Config"/>
      <sheetName val="work"/>
      <sheetName val="CC"/>
      <sheetName val="Sheet1"/>
      <sheetName val="경영비율 "/>
      <sheetName val="업무연락"/>
      <sheetName val="월별매출"/>
      <sheetName val="1995년 섹터별 매출"/>
      <sheetName val="경비공통"/>
      <sheetName val="급여표"/>
      <sheetName val="공제"/>
      <sheetName val="1안98Billing"/>
      <sheetName val="관리1"/>
      <sheetName val="공정코드"/>
      <sheetName val="첨1.2"/>
      <sheetName val="공통부대비"/>
      <sheetName val="#REF"/>
      <sheetName val="STAND20"/>
      <sheetName val="내역"/>
      <sheetName val="2.예금"/>
      <sheetName val="보험금"/>
      <sheetName val="F3"/>
      <sheetName val="F12"/>
      <sheetName val="회사정보"/>
      <sheetName val="7.3 DY팀"/>
      <sheetName val="기타코드"/>
      <sheetName val="기성이력현황"/>
      <sheetName val="9609Aß"/>
      <sheetName val="출입자명단"/>
      <sheetName val="매출"/>
      <sheetName val="1997"/>
      <sheetName val="LIST"/>
      <sheetName val="수입수불"/>
      <sheetName val="3.판관비명세서"/>
      <sheetName val="3_판관비명세서"/>
      <sheetName val="산업은행_경영지표"/>
      <sheetName val="108_수선비"/>
      <sheetName val="JOB_Assign"/>
      <sheetName val="재고_"/>
      <sheetName val="24_보증금(전신전화가입권)"/>
      <sheetName val="YOEMAGUM"/>
      <sheetName val="표준대차대조표(1)"/>
      <sheetName val="교통대책내역"/>
      <sheetName val="IDONG"/>
      <sheetName val="송전기본"/>
      <sheetName val="부서실적"/>
      <sheetName val="10월판관"/>
      <sheetName val="3공장_Lot_Card"/>
      <sheetName val="금액집계(리포트)"/>
      <sheetName val="95년12월말"/>
      <sheetName val="유림골조"/>
      <sheetName val="실행철강하도"/>
      <sheetName val="Eq. Mobilization"/>
      <sheetName val="98지급계획"/>
      <sheetName val="자료입력"/>
      <sheetName val="건축"/>
      <sheetName val="포장공사"/>
      <sheetName val="손익계산서"/>
      <sheetName val="지급이자"/>
      <sheetName val="환율"/>
      <sheetName val="외상매출금현황-수정분 A2"/>
      <sheetName val="직무급테이블"/>
      <sheetName val="49평형15층이하"/>
      <sheetName val="항목"/>
      <sheetName val="수입비용1021"/>
      <sheetName val="현장코드"/>
      <sheetName val="채널별"/>
      <sheetName val="CJE집계"/>
      <sheetName val="공사내역"/>
      <sheetName val="의왕F사"/>
      <sheetName val="가공사"/>
      <sheetName val="표지"/>
      <sheetName val="토목"/>
      <sheetName val="유형고정"/>
      <sheetName val="대환취급"/>
      <sheetName val="Major Shareholder"/>
      <sheetName val="시산표"/>
      <sheetName val="분개장·원장"/>
      <sheetName val="#2 BSPL"/>
      <sheetName val="외화"/>
      <sheetName val="업무분장 "/>
      <sheetName val="대차대조표-공시형"/>
      <sheetName val="발생집계"/>
      <sheetName val="대차"/>
      <sheetName val="PIPE(UG)내역"/>
      <sheetName val="CAUDIT"/>
      <sheetName val="p2-1"/>
      <sheetName val="Reckitt"/>
      <sheetName val="기초코드"/>
      <sheetName val="108_수선비1"/>
      <sheetName val="산업은행_경영지표1"/>
      <sheetName val="JOB_Assign1"/>
      <sheetName val="재고_1"/>
      <sheetName val="붙임2-1__지급조서명세서(2001년분)"/>
      <sheetName val="경영비율_"/>
      <sheetName val="#3-1_保有_有價證券_評價_及び_評價(X-23)"/>
      <sheetName val="1995년_섹터별_매출"/>
      <sheetName val="첨1_2"/>
      <sheetName val="2_예금"/>
      <sheetName val="7_3_DY팀"/>
      <sheetName val="Eq__Mobilization"/>
      <sheetName val="간접비 총괄표"/>
      <sheetName val="Summary"/>
      <sheetName val="지급자재"/>
      <sheetName val="부문별재고 (상품)"/>
      <sheetName val="2.대외공문"/>
      <sheetName val="Sheet4"/>
      <sheetName val="조명시설"/>
      <sheetName val="공통(20-91)"/>
      <sheetName val="실적분석"/>
      <sheetName val="감가상각"/>
      <sheetName val="공사별5 "/>
      <sheetName val="입금액"/>
      <sheetName val="tsuga"/>
      <sheetName val="장기차입금"/>
      <sheetName val="A"/>
      <sheetName val="A1"/>
      <sheetName val="보험계리보고서"/>
      <sheetName val="10한빛"/>
      <sheetName val="요약BS"/>
      <sheetName val="major"/>
      <sheetName val="HWGSI"/>
      <sheetName val="data"/>
      <sheetName val="Mar"/>
      <sheetName val="분양가"/>
      <sheetName val="삭제하지마세요!!"/>
      <sheetName val="지사인원사무실"/>
      <sheetName val="일위대가목차"/>
      <sheetName val="최종전사PL"/>
      <sheetName val="총내용"/>
      <sheetName val="24_보증금(전신전화가입권)1"/>
      <sheetName val="3_판관비명세서1"/>
      <sheetName val="업무분장_"/>
      <sheetName val="외상매출금현황-수정분_A2"/>
      <sheetName val="#2_BSPL"/>
      <sheetName val="Major_Shareholder"/>
      <sheetName val="공사별5_"/>
      <sheetName val="설계내역서"/>
      <sheetName val="내역서"/>
      <sheetName val="CHECK"/>
      <sheetName val="코드"/>
      <sheetName val="진천"/>
      <sheetName val="매출채권"/>
      <sheetName val="레포트"/>
      <sheetName val="당기추가완료"/>
      <sheetName val="Sheet2"/>
      <sheetName val="퇴직금"/>
      <sheetName val="간접비_총괄표"/>
      <sheetName val="부문별재고_(상품)"/>
      <sheetName val="2_대외공문"/>
      <sheetName val="산업은행_경영지표2"/>
      <sheetName val="108_수선비2"/>
      <sheetName val="JOB_Assign2"/>
      <sheetName val="재고_2"/>
      <sheetName val="첨1_21"/>
      <sheetName val="경영비율_1"/>
      <sheetName val="2_예금1"/>
      <sheetName val="Eq__Mobilization1"/>
      <sheetName val="붙임2-1__지급조서명세서(2001년분)1"/>
      <sheetName val="간접비_총괄표1"/>
      <sheetName val="1995년_섹터별_매출1"/>
      <sheetName val="부문별재고_(상품)1"/>
      <sheetName val="2_대외공문1"/>
      <sheetName val="24_보증금(전신전화가입권)2"/>
      <sheetName val="#3-1_保有_有價證券_評價_及び_評價(X-23)1"/>
      <sheetName val="7_3_DY팀1"/>
      <sheetName val="3_판관비명세서2"/>
      <sheetName val="업무분장_1"/>
      <sheetName val="외상매출금현황-수정분_A21"/>
      <sheetName val="Major_Shareholder1"/>
      <sheetName val="#2_BSPL1"/>
      <sheetName val="공사별5_1"/>
      <sheetName val="00'미수"/>
      <sheetName val="수탁현황"/>
      <sheetName val="부서자료"/>
      <sheetName val="참조"/>
      <sheetName val="생산매출 (3)"/>
      <sheetName val="생산현황"/>
      <sheetName val="선비명세2"/>
      <sheetName val="추정손익"/>
      <sheetName val="투자총괄"/>
      <sheetName val="수정용피벗"/>
      <sheetName val="용접집계"/>
      <sheetName val="정상 출하집계"/>
      <sheetName val="$bhp"/>
      <sheetName val="⑤항목별1"/>
      <sheetName val="리스(CIF)산출"/>
      <sheetName val="***********************00"/>
      <sheetName val="생산직"/>
      <sheetName val="토공사"/>
      <sheetName val="민감도"/>
      <sheetName val="출금실적"/>
      <sheetName val="일반물자(한국통신)"/>
      <sheetName val="투자효율분석"/>
      <sheetName val="설계명세서"/>
      <sheetName val="과거실적"/>
      <sheetName val="SI100600"/>
      <sheetName val="재무가정"/>
      <sheetName val="상가매매0115"/>
      <sheetName val="상가임대0115"/>
      <sheetName val="인원계획-미화"/>
      <sheetName val="노무비"/>
      <sheetName val="정상_출하집계"/>
      <sheetName val="_______________________00"/>
      <sheetName val="받을어음"/>
      <sheetName val="98CKL"/>
      <sheetName val="A2"/>
      <sheetName val="안전보호구98"/>
      <sheetName val="현장"/>
      <sheetName val="도기류"/>
      <sheetName val="열받는소급분"/>
      <sheetName val="입찰"/>
      <sheetName val="현경"/>
      <sheetName val="계열사현황종합"/>
      <sheetName val="미정산비용(원유)"/>
      <sheetName val="미정산비용(수입상품)"/>
      <sheetName val="원유입고집계"/>
      <sheetName val="공사별5"/>
      <sheetName val="가. 2006년 사업계획서"/>
      <sheetName val="예총"/>
      <sheetName val="제조98"/>
      <sheetName val="금형비"/>
      <sheetName val="수리결과"/>
      <sheetName val="99년하반기"/>
      <sheetName val="Core CPI"/>
      <sheetName val="5- 2"/>
      <sheetName val="9.1 Lease Type"/>
      <sheetName val="FAB별"/>
      <sheetName val="대구파크쿨링타워"/>
      <sheetName val="A230 수정사항집계표"/>
      <sheetName val="갑지(추정)"/>
      <sheetName val="목동세대 산출근거"/>
      <sheetName val="차입금상환표"/>
      <sheetName val="입찰보고"/>
      <sheetName val="FOOD&amp;BEVERAGE"/>
      <sheetName val="갑지"/>
      <sheetName val="신구계정대사표"/>
      <sheetName val="BLGR"/>
      <sheetName val="영업점별목표산출"/>
      <sheetName val="특수채 2"/>
      <sheetName val="주재원연락처"/>
      <sheetName val="주주명부&lt;끝&gt;"/>
      <sheetName val="CASH"/>
      <sheetName val="기본자료"/>
      <sheetName val="업무용유지비실적"/>
      <sheetName val="賃料等一覧"/>
      <sheetName val="설-원가"/>
      <sheetName val="설치자재"/>
      <sheetName val="단중"/>
      <sheetName val="조정내역"/>
      <sheetName val="프로젝트관리대장"/>
      <sheetName val="순매출액"/>
      <sheetName val="서류합격_기본사항"/>
      <sheetName val="1월"/>
      <sheetName val="산업은행_경영지표3"/>
      <sheetName val="108_수선비3"/>
      <sheetName val="JOB_Assign3"/>
      <sheetName val="업무분장_2"/>
      <sheetName val="경영비율_2"/>
      <sheetName val="재고_3"/>
      <sheetName val="24_보증금(전신전화가입권)3"/>
      <sheetName val="붙임2-1__지급조서명세서(2001년분)2"/>
      <sheetName val="7_3_DY팀2"/>
      <sheetName val="1995년_섹터별_매출2"/>
      <sheetName val="3_판관비명세서3"/>
      <sheetName val="#3-1_保有_有價證券_評價_及び_評價(X-23)2"/>
      <sheetName val="첨1_22"/>
      <sheetName val="2_예금2"/>
      <sheetName val="Eq__Mobilization2"/>
      <sheetName val="외상매출금현황-수정분_A22"/>
      <sheetName val="Major_Shareholder2"/>
      <sheetName val="#2_BSPL2"/>
      <sheetName val="간접비_총괄표2"/>
      <sheetName val="부문별재고_(상품)2"/>
      <sheetName val="2_대외공문2"/>
      <sheetName val="공사별5_2"/>
      <sheetName val="생산매출_(3)"/>
      <sheetName val="Lead"/>
      <sheetName val="2.호선별예상실적"/>
      <sheetName val="isbg"/>
      <sheetName val="Cover"/>
      <sheetName val="T&amp;E-2019FCST2"/>
      <sheetName val="T&amp;E-2020ABP"/>
      <sheetName val="Other Expenses"/>
      <sheetName val="2019FCST"/>
      <sheetName val="2020ABP"/>
      <sheetName val="J"/>
      <sheetName val="개인법인구분"/>
      <sheetName val="빌딩코드"/>
      <sheetName val="단기차입금(200006)"/>
      <sheetName val="リスト"/>
      <sheetName val="SH_work"/>
      <sheetName val="京王井の頭線"/>
      <sheetName val="王子一覧"/>
      <sheetName val="(Monthly)"/>
      <sheetName val="A-General"/>
      <sheetName val="4. Leverage - out"/>
      <sheetName val="抽出／ビル実績データ"/>
      <sheetName val="7月入出金（西洞院）"/>
      <sheetName val="入力準備"/>
      <sheetName val="选择报表"/>
      <sheetName val="②現行契約・潜在総収益"/>
      <sheetName val="収支"/>
      <sheetName val="償却資産税"/>
      <sheetName val="土地ﾃﾞｰﾀ"/>
      <sheetName val="기준"/>
      <sheetName val="상불"/>
      <sheetName val="주요재무비율"/>
      <sheetName val="2C1"/>
      <sheetName val="科目名称表"/>
      <sheetName val="미지급비용"/>
      <sheetName val="범한여행"/>
      <sheetName val="실적"/>
      <sheetName val="총요약"/>
      <sheetName val="下조건"/>
      <sheetName val="fwd"/>
      <sheetName val="수익분배율"/>
      <sheetName val="산전수불집계표"/>
      <sheetName val="CODE"/>
      <sheetName val="2007년"/>
      <sheetName val="일반사항"/>
      <sheetName val="SSPB(입력)"/>
      <sheetName val="월별수입"/>
      <sheetName val="세무서코드"/>
      <sheetName val="여의도점"/>
      <sheetName val="신부서코드"/>
      <sheetName val="지수"/>
      <sheetName val="15100"/>
      <sheetName val="WORKER"/>
      <sheetName val="정상_출하집계1"/>
      <sheetName val="9_1_Lease_Type"/>
      <sheetName val="가__2006년_사업계획서"/>
      <sheetName val="Core_CPI"/>
      <sheetName val="5-_2"/>
      <sheetName val="A230_수정사항집계표"/>
      <sheetName val="목동세대_산출근거"/>
      <sheetName val="TA10"/>
      <sheetName val="화폐별"/>
      <sheetName val="총괄표"/>
      <sheetName val="23.보증금(전신전화가입권)"/>
      <sheetName val="SCFP94"/>
      <sheetName val="당좌차월"/>
      <sheetName val="대차대조표"/>
      <sheetName val="TEMP"/>
      <sheetName val="재고"/>
      <sheetName val="2.개발부서별"/>
      <sheetName val="95-96매출액등"/>
      <sheetName val="XLUTIL"/>
      <sheetName val="借積IQ"/>
      <sheetName val="XL4Poppy"/>
      <sheetName val="투자자산명세서"/>
      <sheetName val="보험"/>
      <sheetName val="backdata"/>
      <sheetName val="Main"/>
      <sheetName val="2014현금수납"/>
      <sheetName val="사업실적"/>
      <sheetName val="09.적용환율"/>
      <sheetName val="3-4현"/>
      <sheetName val="3-3현"/>
      <sheetName val="수수료"/>
      <sheetName val="누TB"/>
      <sheetName val="삼양사"/>
      <sheetName val="사장단"/>
      <sheetName val="예산총괄"/>
      <sheetName val="220 (2)"/>
      <sheetName val="실행(1)"/>
      <sheetName val="전체지분도"/>
      <sheetName val="CHECK LIST"/>
      <sheetName val="수정안"/>
      <sheetName val="CF(M)"/>
      <sheetName val="111"/>
      <sheetName val="Sum"/>
      <sheetName val="경비96(장항)"/>
      <sheetName val="미착품"/>
      <sheetName val="유형고정자산 명세"/>
      <sheetName val="지점장"/>
      <sheetName val="数量金额总账"/>
      <sheetName val="표지 (2)"/>
      <sheetName val="종합"/>
      <sheetName val="종합(상세현황)수정"/>
      <sheetName val="종합(상세현황)수정 (2)"/>
      <sheetName val="종합(상세현황)"/>
      <sheetName val="2월 사업계획 미달내용"/>
      <sheetName val="2월 월계획 미달내용"/>
      <sheetName val="주행"/>
      <sheetName val="외주현황.wq1"/>
      <sheetName val="3.일반사상"/>
      <sheetName val="PC%계산"/>
      <sheetName val="ORIGN"/>
      <sheetName val="건설중인자산(기타)"/>
      <sheetName val="2001생산"/>
      <sheetName val="BS"/>
      <sheetName val="위스키3"/>
      <sheetName val="주류전체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/>
      <sheetData sheetId="422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T02"/>
      <sheetName val="T03"/>
      <sheetName val="T04"/>
      <sheetName val="T12"/>
      <sheetName val="NY"/>
      <sheetName val="DATA"/>
      <sheetName val="T13"/>
      <sheetName val="f3"/>
      <sheetName val="Reconciliation"/>
      <sheetName val="f12"/>
      <sheetName val="8310"/>
      <sheetName val="5500"/>
      <sheetName val="5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4">
          <cell r="D34">
            <v>0</v>
          </cell>
        </row>
        <row r="35">
          <cell r="D35">
            <v>0</v>
          </cell>
        </row>
        <row r="36">
          <cell r="D36">
            <v>0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0</v>
          </cell>
        </row>
        <row r="48">
          <cell r="D48">
            <v>0</v>
          </cell>
        </row>
        <row r="49">
          <cell r="D49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T02"/>
      <sheetName val="T03"/>
      <sheetName val="T04"/>
      <sheetName val="T12"/>
      <sheetName val="NY"/>
      <sheetName val="DATA"/>
      <sheetName val="T13"/>
      <sheetName val="f3"/>
      <sheetName val="f12"/>
      <sheetName val="8310"/>
      <sheetName val="5500"/>
    </sheetNames>
    <sheetDataSet>
      <sheetData sheetId="0" refreshError="1"/>
      <sheetData sheetId="1" refreshError="1">
        <row r="48">
          <cell r="F48">
            <v>22429633.600000001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</sheetNames>
    <sheetDataSet>
      <sheetData sheetId="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표지"/>
      <sheetName val="목차"/>
      <sheetName val="회사개요"/>
      <sheetName val="등록요건검토"/>
      <sheetName val="가치산정 요약"/>
      <sheetName val="자산가치"/>
      <sheetName val="수익가치"/>
      <sheetName val="대차대조표"/>
      <sheetName val="대차대조표추정"/>
      <sheetName val="손익계산서"/>
      <sheetName val="매출액 추정"/>
      <sheetName val="제조원가명세서"/>
      <sheetName val="재료비"/>
      <sheetName val="추정제조경비"/>
      <sheetName val="제조경비추정"/>
      <sheetName val="운용리스"/>
      <sheetName val="판관집계"/>
      <sheetName val="판관비추정"/>
      <sheetName val="인건비추정"/>
      <sheetName val="급여추정집계"/>
      <sheetName val="인원추정"/>
      <sheetName val="평균급여추정"/>
      <sheetName val="급여실적"/>
      <sheetName val="퇴충배분"/>
      <sheetName val="퇴충추정"/>
      <sheetName val="감가상각비배분"/>
      <sheetName val="감가상각추정"/>
      <sheetName val="증감액추정"/>
      <sheetName val="상각율추정"/>
      <sheetName val="감가상각실적"/>
      <sheetName val="영업외수익추정"/>
      <sheetName val="영업외비용추정"/>
      <sheetName val="지급이자추정"/>
      <sheetName val="차입금집계"/>
      <sheetName val="차입금명세"/>
      <sheetName val="매출할인"/>
      <sheetName val="이연자산상각"/>
      <sheetName val="구          분           선"/>
      <sheetName val="신일월별매출"/>
      <sheetName val="매출"/>
      <sheetName val=""/>
      <sheetName val="Sheet2"/>
      <sheetName val="Sheet3"/>
      <sheetName val="Sheet4"/>
      <sheetName val="신일매출액추정"/>
      <sheetName val="재료비1"/>
      <sheetName val="추정영업외수익"/>
      <sheetName val="제예금평잔추정"/>
      <sheetName val="추정단기지급이자"/>
      <sheetName val="단기차입평잔추정"/>
      <sheetName val="장기차입금이자"/>
      <sheetName val="매출실적"/>
      <sheetName val="추정영업외비용"/>
      <sheetName val="Sheet1"/>
      <sheetName val="취득자산"/>
      <sheetName val="WPL"/>
      <sheetName val="Company list"/>
      <sheetName val="계산정보"/>
      <sheetName val="계산DATA입력"/>
      <sheetName val="매출(영업 VS 경리)"/>
      <sheetName val="list"/>
      <sheetName val="3"/>
      <sheetName val="대외공문"/>
      <sheetName val="Sheet1 (2)"/>
      <sheetName val="국내계열회사"/>
      <sheetName val="개발담당자 "/>
      <sheetName val="종합2"/>
      <sheetName val="May."/>
      <sheetName val="공통비"/>
      <sheetName val="2월"/>
      <sheetName val="NPS"/>
      <sheetName val="일별자금"/>
      <sheetName val="Stock Div Accural"/>
      <sheetName val="통계설정 (1차평가 S)"/>
      <sheetName val="06공장근태원천"/>
      <sheetName val="Base Info"/>
      <sheetName val="TLCF"/>
      <sheetName val="조서"/>
      <sheetName val="항목별"/>
      <sheetName val="XREF"/>
      <sheetName val="Lead"/>
      <sheetName val="성적표96"/>
      <sheetName val="소매_신용"/>
      <sheetName val="특정상품(비소매)"/>
      <sheetName val="비소매신용"/>
      <sheetName val="가결산정리"/>
      <sheetName val="공사기성"/>
      <sheetName val="MatchCode"/>
      <sheetName val="TB(PL)"/>
      <sheetName val="P&amp;L"/>
      <sheetName val="1.3売上"/>
      <sheetName val="2.1(1)高齢化の進展"/>
      <sheetName val="2.1(2)健康食品市場"/>
      <sheetName val="2.1(3)販売チャネルの動向"/>
      <sheetName val="2.2.(1)ヒアルロン酸"/>
      <sheetName val="3.2(1)顧客属性"/>
      <sheetName val="5.1(2)インアウト商品別計画"/>
      <sheetName val="5.1(2)インアウト商品別計画N"/>
      <sheetName val="商品構成 (2)２００７"/>
      <sheetName val="商品構成２００８"/>
      <sheetName val="IN (商品別媒体効果)"/>
      <sheetName val="IN (商品別媒体効果)N"/>
      <sheetName val="収支明細(千円)"/>
      <sheetName val="収支明細(千円)N"/>
      <sheetName val="OUT (売上 件数)"/>
      <sheetName val="商品構成２００６"/>
      <sheetName val="3.2(1)固定率・購入単価"/>
      <sheetName val="２．顧客購入単価"/>
      <sheetName val="3.2(1)分散比"/>
      <sheetName val="3.2(2)広告宣伝の効率性"/>
      <sheetName val="3.2(2)県別イン売上"/>
      <sheetName val="3.2(2)県別総売上"/>
      <sheetName val="3.2(2)地域別CM売上"/>
      <sheetName val="3.3(2)社員人口ピラミッド"/>
      <sheetName val="県別イン売上(総人口)"/>
      <sheetName val="県別総売上(総人口)"/>
      <sheetName val="H20年3月31日現在"/>
      <sheetName val="H21年3月 31日現在"/>
      <sheetName val="5.1(1)売上高・利益"/>
      <sheetName val="地域別集計"/>
      <sheetName val="第10表"/>
      <sheetName val="人口データ"/>
      <sheetName val="消費傾向"/>
      <sheetName val="市場分析"/>
      <sheetName val="売上（千円）"/>
      <sheetName val="収支明細(千円)旧"/>
      <sheetName val="１．顧客数推移"/>
      <sheetName val="３．定期購入率"/>
      <sheetName val="１．商品別媒体別実績"/>
      <sheetName val="商品構成２００８旧"/>
      <sheetName val="財務指標比較"/>
      <sheetName val="財務状況比較"/>
      <sheetName val="都道府県別0810"/>
      <sheetName val="都道府県別0811"/>
      <sheetName val="都道府県別0812"/>
      <sheetName val="10月6300円全体"/>
      <sheetName val="11月6300円全体"/>
      <sheetName val="12月6300円全体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주간계획"/>
      <sheetName val="Sheet1"/>
      <sheetName val="월간계획"/>
      <sheetName val="주간계획 (3)"/>
      <sheetName val="Sheet1 (2)"/>
      <sheetName val="신월간계획"/>
      <sheetName val="신주간계획"/>
      <sheetName val="1번"/>
      <sheetName val="지시내용"/>
      <sheetName val="1번 (3)"/>
      <sheetName val="일반"/>
      <sheetName val="control shee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2CAR"/>
      <sheetName val="90톤전기"/>
      <sheetName val="영창악기"/>
      <sheetName val="공장대비"/>
      <sheetName val="공장대비2"/>
      <sheetName val="정공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2CAR"/>
      <sheetName val="90톤전기"/>
      <sheetName val="영창악기"/>
      <sheetName val="공장대비"/>
      <sheetName val="공장대비2"/>
      <sheetName val="정공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채"/>
      <sheetName val="카드채"/>
      <sheetName val="미수금"/>
      <sheetName val="선급비용"/>
      <sheetName val="본점"/>
      <sheetName val="재고"/>
      <sheetName val="저장품"/>
      <sheetName val="전화"/>
      <sheetName val="임차보"/>
      <sheetName val="영업보"/>
      <sheetName val="고정자산"/>
      <sheetName val="무형자산"/>
      <sheetName val="매입채무"/>
      <sheetName val="미지급금"/>
      <sheetName val="선수금"/>
      <sheetName val="예수금"/>
      <sheetName val="예수보"/>
      <sheetName val="상품매출액"/>
      <sheetName val="에누리"/>
      <sheetName val="매출액"/>
      <sheetName val="매출원가"/>
      <sheetName val="세금공과"/>
      <sheetName val="영업외수익"/>
      <sheetName val="영업외비용"/>
      <sheetName val="앤비계정명세(0412)"/>
      <sheetName val="5.정리(상거래)채권 -변제계획"/>
      <sheetName val="급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_x0000_ÿ"/>
      <sheetName val="기본입력사항"/>
      <sheetName val="시산표"/>
      <sheetName val="수정사항"/>
      <sheetName val="대차대조표"/>
      <sheetName val="손익계산서"/>
      <sheetName val="잉여금"/>
      <sheetName val="현금흐름표"/>
      <sheetName val="현금 "/>
      <sheetName val="현금흐름표작성조서"/>
      <sheetName val="대차총괄"/>
      <sheetName val="유형총괄"/>
      <sheetName val="손익총괄"/>
      <sheetName val="매출원가명세"/>
      <sheetName val="수정사항요약표"/>
      <sheetName val="수정대차대차표"/>
      <sheetName val="수정손익계산서"/>
      <sheetName val="경영분석지표"/>
      <sheetName val="주석"/>
      <sheetName val="Sheet11"/>
      <sheetName val="Sheet12"/>
      <sheetName val="Sheet13"/>
      <sheetName val="Sheet14"/>
      <sheetName val="Sheet15"/>
      <sheetName val="Sheet16"/>
      <sheetName val="주간계획"/>
      <sheetName val="SHEET5"/>
      <sheetName val="****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건비"/>
      <sheetName val="코드"/>
      <sheetName val="토지"/>
      <sheetName val="전체내역"/>
      <sheetName val="부대공Ⅱ"/>
      <sheetName val="Sheet1"/>
      <sheetName val="골조시행"/>
      <sheetName val="도급"/>
      <sheetName val="데이타"/>
      <sheetName val="식재인부"/>
      <sheetName val="개인별"/>
      <sheetName val="980731"/>
      <sheetName val="건강보험data"/>
      <sheetName val="고용보험data"/>
      <sheetName val="국민연금data"/>
      <sheetName val="급여data(서울)"/>
      <sheetName val="상여data(서울)"/>
      <sheetName val="6호기"/>
      <sheetName val="감독1130"/>
      <sheetName val="원가계산서"/>
      <sheetName val="환율 및 참고"/>
      <sheetName val="HG"/>
      <sheetName val="계정code"/>
      <sheetName val="OALFINAL"/>
      <sheetName val="시장성초안camera"/>
      <sheetName val="첨부1"/>
      <sheetName val="현장"/>
      <sheetName val="TTL"/>
      <sheetName val="(99)-상품제품수불 -본지점"/>
      <sheetName val="제일은행"/>
      <sheetName val="간접원가원장"/>
      <sheetName val="매출TTL"/>
      <sheetName val="판관비TTL"/>
      <sheetName val="Ⅲ.6.2)매출채권"/>
      <sheetName val="출금실적"/>
      <sheetName val="#REF"/>
      <sheetName val="96LIBOR"/>
      <sheetName val="8월--12월"/>
      <sheetName val="1월--7월"/>
      <sheetName val="시황"/>
      <sheetName val="표지"/>
      <sheetName val="현관관리비"/>
      <sheetName val="dom freq"/>
      <sheetName val="intl freq"/>
      <sheetName val="intl cgo"/>
      <sheetName val="간접"/>
      <sheetName val="정공공사"/>
      <sheetName val="견적"/>
      <sheetName val="회사정보"/>
      <sheetName val="변동인원"/>
      <sheetName val="부문인원3"/>
      <sheetName val="원Data"/>
      <sheetName val="RECIMAKE"/>
      <sheetName val="assign"/>
      <sheetName val="Temp_DEMAND___SALES"/>
      <sheetName val="RE9604"/>
      <sheetName val="외화채권"/>
      <sheetName val="환경기계공정표 (3)"/>
      <sheetName val="환경기계공정표_(3)"/>
      <sheetName val="dom_freq"/>
      <sheetName val="intl_freq"/>
      <sheetName val="intl_cgo"/>
      <sheetName val="표준단가"/>
      <sheetName val="FORMURA만두"/>
      <sheetName val="F냉동면"/>
      <sheetName val="F스프"/>
      <sheetName val="F냉장면"/>
      <sheetName val="수량계획"/>
      <sheetName val="포장재"/>
    </sheetNames>
    <sheetDataSet>
      <sheetData sheetId="0" refreshError="1">
        <row r="22">
          <cell r="D22">
            <v>322600000</v>
          </cell>
        </row>
        <row r="55">
          <cell r="D55">
            <v>322600000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"/>
      <sheetName val="결산일정표"/>
      <sheetName val="결산지침 (4장)"/>
      <sheetName val="결-1"/>
      <sheetName val="결-1-1"/>
      <sheetName val="결-2"/>
      <sheetName val="결-3"/>
      <sheetName val="결-3-1"/>
      <sheetName val="결-4"/>
      <sheetName val="결-4-1"/>
      <sheetName val="결-5"/>
      <sheetName val="결-6"/>
      <sheetName val="결-7"/>
      <sheetName val="결-8"/>
      <sheetName val="결-8-1"/>
      <sheetName val="결-8-2"/>
      <sheetName val="결-9-1"/>
      <sheetName val="결-9 -2"/>
      <sheetName val="결-10"/>
      <sheetName val="결-11"/>
      <sheetName val="결-12"/>
      <sheetName val="결-13"/>
      <sheetName val="결-14 "/>
      <sheetName val="결-14-1"/>
      <sheetName val="결-15"/>
      <sheetName val="결-16"/>
      <sheetName val="결-17"/>
      <sheetName val="결-18"/>
      <sheetName val="결-19"/>
      <sheetName val="결-20"/>
      <sheetName val="결-21"/>
      <sheetName val="결-22"/>
      <sheetName val="결-23"/>
      <sheetName val="결-24"/>
      <sheetName val="결-25"/>
      <sheetName val="결-26-1"/>
      <sheetName val="결-26-2"/>
      <sheetName val="결-27-1"/>
      <sheetName val="결-27-2"/>
      <sheetName val="결-27-3"/>
      <sheetName val="결-27-4"/>
      <sheetName val="결28"/>
      <sheetName val="결-29"/>
      <sheetName val="결-30"/>
      <sheetName val="결-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Pending"/>
      <sheetName val="ASSIGN"/>
      <sheetName val="총괄"/>
      <sheetName val="정리미팅"/>
      <sheetName val="기타"/>
      <sheetName val="계속기업"/>
      <sheetName val="Gauge"/>
      <sheetName val="전기수정bs"/>
      <sheetName val="전기수정pl"/>
      <sheetName val="전기FS-B3 "/>
      <sheetName val="재무분석"/>
      <sheetName val="A1"/>
      <sheetName val="A2"/>
      <sheetName val="B3"/>
      <sheetName val="현금흐름표"/>
      <sheetName val="PF"/>
      <sheetName val="비교B.S"/>
      <sheetName val="비교P.L"/>
      <sheetName val="이익잉여금-수정후"/>
      <sheetName val="이익잉여금-수정전"/>
      <sheetName val="해운업원가"/>
      <sheetName val="해운업원가 (2)"/>
      <sheetName val="이연법인세-세양"/>
      <sheetName val="3"/>
      <sheetName val="4"/>
      <sheetName val="소득금액조정합계표"/>
      <sheetName val="Sheet1"/>
      <sheetName val="임대업원가"/>
    </sheetNames>
    <sheetDataSet>
      <sheetData sheetId="0"/>
      <sheetData sheetId="1"/>
      <sheetData sheetId="2"/>
      <sheetData sheetId="3"/>
      <sheetData sheetId="4" refreshError="1">
        <row r="2">
          <cell r="D2" t="str">
            <v>세양선박㈜</v>
          </cell>
        </row>
        <row r="4">
          <cell r="D4" t="str">
            <v>2000/12/31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재공품(10월)"/>
      <sheetName val="재공품(10월감액대상분류)"/>
      <sheetName val="재공품(9월)"/>
      <sheetName val="제품수불부(10월)"/>
      <sheetName val="재고보유자산"/>
      <sheetName val="JDP 현황"/>
      <sheetName val="비용화대상자산"/>
      <sheetName val="확인필요자산"/>
      <sheetName val="감액대상LIST"/>
      <sheetName val="경상연구개발비"/>
      <sheetName val="잉여금"/>
      <sheetName val="대차대조표"/>
    </sheetNames>
    <sheetDataSet>
      <sheetData sheetId="0"/>
      <sheetData sheetId="1"/>
      <sheetData sheetId="2">
        <row r="13">
          <cell r="A13" t="str">
            <v>06MT007R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B3" t="str">
            <v>JOB.NO</v>
          </cell>
        </row>
      </sheetData>
      <sheetData sheetId="9"/>
      <sheetData sheetId="10" refreshError="1"/>
      <sheetData sheetId="1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총괄표(12월)"/>
      <sheetName val="채권조회서"/>
      <sheetName val="총괄표(10월)"/>
      <sheetName val="채권채무차이분석"/>
      <sheetName val="미지급금"/>
      <sheetName val="재공품(9월)"/>
      <sheetName val="감액대상LIST"/>
      <sheetName val="8월--12월"/>
      <sheetName val="1월--7월"/>
      <sheetName val="시황"/>
      <sheetName val="표지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장기투자증권"/>
      <sheetName val="투자자산처분손익"/>
      <sheetName val="자본조정"/>
      <sheetName val="지분법요약(주석)"/>
      <sheetName val="CICK"/>
      <sheetName val="DC"/>
      <sheetName val="KIDC"/>
      <sheetName val="DMI"/>
      <sheetName val="DA"/>
      <sheetName val="POWERCOM"/>
      <sheetName val="DIA"/>
      <sheetName val="BSI"/>
      <sheetName val="미실현손익상각schedule"/>
      <sheetName val="Sheet5"/>
      <sheetName val="Sheet4"/>
      <sheetName val="Sheet2"/>
      <sheetName val="Sheet1"/>
      <sheetName val="Sheet3"/>
      <sheetName val="99선급비용"/>
      <sheetName val="24.보증금(전신전화가입권)"/>
      <sheetName val="경비예산"/>
      <sheetName val="생산성(2차)"/>
      <sheetName val="요약(1차)"/>
      <sheetName val="경기남부"/>
      <sheetName val="이익잉여금"/>
      <sheetName val="대차대조표"/>
      <sheetName val="현금흐름표"/>
      <sheetName val="정의"/>
      <sheetName val="기초자료"/>
      <sheetName val="테이블"/>
      <sheetName val="J"/>
      <sheetName val="각주"/>
      <sheetName val="성적표96"/>
      <sheetName val="E_B_L"/>
      <sheetName val="f3"/>
      <sheetName val="2-1.제품군별계획대비실적(B.A)"/>
      <sheetName val="f12"/>
      <sheetName val="N-1"/>
      <sheetName val="F-1"/>
      <sheetName val="5300"/>
      <sheetName val="5500"/>
      <sheetName val="Test"/>
      <sheetName val="Bs. de Uso 2002"/>
      <sheetName val="prov locales"/>
      <sheetName val="8340"/>
      <sheetName val="용역비"/>
      <sheetName val="한세A4PL"/>
      <sheetName val="C.Code"/>
      <sheetName val="Menu_Link"/>
      <sheetName val="TDTKP"/>
      <sheetName val="DK-KH"/>
      <sheetName val="KH-Q1,Q2,01"/>
      <sheetName val="심마니지분법평가"/>
      <sheetName val="투자자산감액손실"/>
      <sheetName val="투자유가증권증감분석"/>
      <sheetName val="배당금수익"/>
      <sheetName val="계수원본(99.2.28)"/>
    </sheetNames>
    <sheetDataSet>
      <sheetData sheetId="0"/>
      <sheetData sheetId="1"/>
      <sheetData sheetId="2">
        <row r="6">
          <cell r="H6">
            <v>1275984570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인건비예산(정규직)"/>
      <sheetName val="인건비예산(용역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货币资金 1-1至2"/>
      <sheetName val="应收帐款明细表(表2)"/>
      <sheetName val="应收帐款帐龄分析(表3)"/>
      <sheetName val="预付款明细及帐龄分析(表4)"/>
      <sheetName val="其他应收款明细及帐龄分析(表5)"/>
      <sheetName val="存货分类明细表"/>
      <sheetName val="存货帐龄"/>
      <sheetName val="待摊费用明细(表7-1至2)"/>
      <sheetName val="固定资产(表9-1至4)"/>
      <sheetName val="新购入固定资产清单(9-5)"/>
      <sheetName val="长期投资明细(表10)"/>
      <sheetName val="递延无形及无形资产(表11)"/>
      <sheetName val="短期投资明细(表12)"/>
      <sheetName val="应付帐款明细(表13)"/>
      <sheetName val="预收帐款明细(表14)"/>
      <sheetName val="其他应付款明细(表15)"/>
      <sheetName val="短期借款明细(16-1至4)"/>
      <sheetName val="应付工资及应付福利(表17-1至2)"/>
      <sheetName val="应交税金变动(表18)"/>
      <sheetName val="其他未交款变动(表19)"/>
      <sheetName val="权益变动表(表20)"/>
      <sheetName val="수정시산표"/>
      <sheetName val="T02"/>
      <sheetName val="99선급비용"/>
      <sheetName val="txt(손익)"/>
      <sheetName val="fxrate"/>
      <sheetName val="Cares-2004-12-31-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산표"/>
      <sheetName val="대차대조표"/>
      <sheetName val="손익계산서"/>
      <sheetName val="판관.비용수익"/>
      <sheetName val="인건비예산(정규직)"/>
      <sheetName val="인건비예산(용역)"/>
      <sheetName val="정의"/>
      <sheetName val="인력(정규직)"/>
      <sheetName val="페이지"/>
      <sheetName val="매월결산"/>
      <sheetName val="매월결산 (석탑반영)"/>
      <sheetName val="Sheet1"/>
      <sheetName val="Sheet2"/>
      <sheetName val="매월결산 (감사제시확정)"/>
      <sheetName val="부서직접비"/>
      <sheetName val="부재료재고"/>
      <sheetName val="재공품"/>
      <sheetName val="HOT MELT원재료"/>
      <sheetName val="제품재고"/>
      <sheetName val="공사건별집계표"/>
      <sheetName val="PL"/>
      <sheetName val="MC"/>
      <sheetName val="BS(1)"/>
      <sheetName val="BS (2003)"/>
      <sheetName val="중요성기준"/>
      <sheetName val="BS"/>
      <sheetName val="CF"/>
      <sheetName val="정산표BS(2003)"/>
      <sheetName val="정산표(IS)2003"/>
      <sheetName val="정산표PL(2003)"/>
      <sheetName val="외화평가"/>
      <sheetName val="Other Assets leadersheet"/>
      <sheetName val="Fixed Assets leadersheet"/>
      <sheetName val="Current Liabilities"/>
      <sheetName val="3.잉여금처분O"/>
      <sheetName val="4.현금흐름"/>
      <sheetName val="1.대차대조표"/>
      <sheetName val="2.손익계산서"/>
      <sheetName val="합계잔액"/>
      <sheetName val="58.제조원가"/>
      <sheetName val="81.전기대비추세표"/>
      <sheetName val="BS합산"/>
      <sheetName val="대차"/>
      <sheetName val="손익"/>
      <sheetName val="제조원가"/>
      <sheetName val="소제목"/>
      <sheetName val="9월현금등가물"/>
      <sheetName val="12월현금"/>
      <sheetName val="12월당좌예금"/>
      <sheetName val="12월보통예금"/>
      <sheetName val="12월외화예금"/>
      <sheetName val="9월단기금융상품"/>
      <sheetName val="9월유가증권"/>
      <sheetName val="9월외상매출"/>
      <sheetName val="실외상매출"/>
      <sheetName val="9월받을어음"/>
      <sheetName val="12월할인어음"/>
      <sheetName val="9월부도어음"/>
      <sheetName val="12월대손충당금"/>
      <sheetName val="9월미수금"/>
      <sheetName val="9월미수수익"/>
      <sheetName val="9월선급금"/>
      <sheetName val="6월가지급금"/>
      <sheetName val="9월선급비용"/>
      <sheetName val="9월선급법인세"/>
      <sheetName val="12월재고자산"/>
      <sheetName val="제품수불"/>
      <sheetName val="원재료수불"/>
      <sheetName val="9월미착원재료"/>
      <sheetName val="9월투자유가증권"/>
      <sheetName val="9월장기금융상품"/>
      <sheetName val="9월장기대여금"/>
      <sheetName val="9월임차보증금"/>
      <sheetName val="6월이연법인세차"/>
      <sheetName val="12월단기대여금"/>
      <sheetName val="01기타의투자자산"/>
      <sheetName val="6월유형자산"/>
      <sheetName val="9월건물(정액)"/>
      <sheetName val="9월구축물(정액)"/>
      <sheetName val="9월기계장치(정율)"/>
      <sheetName val="9월차량운반구(정율)"/>
      <sheetName val="3월시설장치"/>
      <sheetName val="9월공구와기구(정율)"/>
      <sheetName val="9월집기비품(정율)"/>
      <sheetName val="9월창업비"/>
      <sheetName val="당좌차월09"/>
      <sheetName val="9월개발비"/>
      <sheetName val="9월특허권"/>
      <sheetName val="6월매입채무"/>
      <sheetName val="9월외상매입"/>
      <sheetName val="9월지급어음"/>
      <sheetName val="9월단기차입금명세서"/>
      <sheetName val="9월당좌차월명세서"/>
      <sheetName val="9월일반대출금명세서"/>
      <sheetName val="9월구매자금차입금명세서"/>
      <sheetName val="9월단기차입금"/>
      <sheetName val="9월미지급금"/>
      <sheetName val="6월선수금"/>
      <sheetName val="9월예수금"/>
      <sheetName val="9월미지급비용"/>
      <sheetName val="12월가수금"/>
      <sheetName val="2000미지급법인세"/>
      <sheetName val="12월미지급배당금"/>
      <sheetName val="9월유동성장기부채"/>
      <sheetName val="9월전환사채"/>
      <sheetName val="9월장기미지급이자"/>
      <sheetName val="9월장기차입금"/>
      <sheetName val="9월퇴직충당"/>
      <sheetName val="9월국민연금전환금"/>
      <sheetName val="미지급부가세09"/>
      <sheetName val="6월자본금명세"/>
      <sheetName val="6월주식발행초과금"/>
      <sheetName val="6월기타자본잉여금 "/>
      <sheetName val="6월이익잉여금 "/>
      <sheetName val="6월자본조정"/>
      <sheetName val="12월매출액명세서"/>
      <sheetName val="판관비명세"/>
      <sheetName val="12월영업외수익명세"/>
      <sheetName val="영업외비용명세"/>
      <sheetName val="차입금상환일정표"/>
      <sheetName val="재무제표"/>
      <sheetName val="XXXXXX"/>
      <sheetName val="발견사항"/>
      <sheetName val="발견사항 (2)"/>
      <sheetName val="FINDING"/>
      <sheetName val="WBS"/>
      <sheetName val="WPL "/>
      <sheetName val="이익잉여금"/>
      <sheetName val="매출액명세서"/>
      <sheetName val="제조원가명세서 "/>
      <sheetName val="BSPL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잉여금"/>
      <sheetName val="품의서"/>
      <sheetName val="기안"/>
      <sheetName val="2차-PROTO-(1)"/>
      <sheetName val="제조원가명세서"/>
      <sheetName val="Sheet3"/>
      <sheetName val="Macro3"/>
      <sheetName val="합계잔액(1)"/>
      <sheetName val="합계잔액 (2)"/>
      <sheetName val="잉여금처분"/>
      <sheetName val="PL (3)"/>
      <sheetName val="MC (3)"/>
      <sheetName val="BS1"/>
      <sheetName val="BS2"/>
      <sheetName val="WTB"/>
      <sheetName val="F-4"/>
      <sheetName val="F-5"/>
      <sheetName val="2262"/>
      <sheetName val="2262-10"/>
      <sheetName val="WTB-BS"/>
      <sheetName val="WTB-IS"/>
      <sheetName val="COBS"/>
    </sheetNames>
    <sheetDataSet>
      <sheetData sheetId="0" refreshError="1"/>
      <sheetData sheetId="1" refreshError="1"/>
      <sheetData sheetId="2">
        <row r="68">
          <cell r="B68" t="str">
            <v xml:space="preserve"> Ⅶ. 營 　 業    外 　 費　  用</v>
          </cell>
        </row>
        <row r="69">
          <cell r="B69" t="str">
            <v xml:space="preserve"> 　　 1.利　　 子       費      用</v>
          </cell>
        </row>
        <row r="70">
          <cell r="B70" t="str">
            <v xml:space="preserve"> 　　 2.賣 出 債 權    處 分 損 失</v>
          </cell>
        </row>
        <row r="71">
          <cell r="B71" t="str">
            <v xml:space="preserve"> 　　 3.無  形  資  産  償  却  費　</v>
          </cell>
        </row>
        <row r="72">
          <cell r="B72" t="str">
            <v xml:space="preserve">   　 4.在 庫  資 産  減 耗  損 失</v>
          </cell>
        </row>
        <row r="73">
          <cell r="B73" t="str">
            <v xml:space="preserve"> 　　 5.外　　 換　　　 差　　  損</v>
          </cell>
        </row>
        <row r="74">
          <cell r="B74" t="str">
            <v xml:space="preserve"> 　　 6.奇　　　　  附　　　　  金</v>
          </cell>
        </row>
        <row r="75">
          <cell r="B75" t="str">
            <v xml:space="preserve">      7.有 形  資 産  處 分  損 失</v>
          </cell>
        </row>
        <row r="76">
          <cell r="B76" t="str">
            <v xml:space="preserve"> 　　 8.外　貨　  換　算　  損　失</v>
          </cell>
        </row>
        <row r="77">
          <cell r="B77" t="str">
            <v xml:space="preserve">   　 9.在 庫    資 産    賣 却 損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겉표지"/>
      <sheetName val="결산공고97"/>
      <sheetName val="결산공고96"/>
      <sheetName val="TB"/>
      <sheetName val="BS"/>
      <sheetName val="PL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비율분석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개인정책"/>
      <sheetName val="개인투자"/>
      <sheetName val="장기투자"/>
      <sheetName val="수정시산표"/>
      <sheetName val="일반정보"/>
      <sheetName val="1999"/>
      <sheetName val="삼호중공업"/>
      <sheetName val="SA"/>
      <sheetName val="퇴직급여02 (2)"/>
      <sheetName val="안강자재입고"/>
      <sheetName val="TABLE01"/>
      <sheetName val="원본"/>
      <sheetName val="회사정보"/>
      <sheetName val="대환취급"/>
      <sheetName val="발생집계"/>
      <sheetName val="손익계산서"/>
      <sheetName val="주채무"/>
      <sheetName val="매출매입"/>
      <sheetName val="생산2"/>
      <sheetName val="총괄"/>
      <sheetName val="절대지우지말것"/>
      <sheetName val="14.광주_원가배부Ⅲ"/>
      <sheetName val="Property"/>
      <sheetName val="2001급여"/>
      <sheetName val="코스모공장 (어음)"/>
      <sheetName val="7.31 (2)"/>
      <sheetName val="FixedIncome"/>
      <sheetName val="VaR"/>
      <sheetName val="회사BS"/>
      <sheetName val="구미"/>
      <sheetName val="수선비"/>
      <sheetName val="손익분기점 데이터"/>
      <sheetName val="Macro1"/>
      <sheetName val="손익계산서 raw data"/>
      <sheetName val="손익내역전년"/>
      <sheetName val="총괄표"/>
      <sheetName val="VXXXXX"/>
      <sheetName val="장기차입금"/>
      <sheetName val="선수금"/>
      <sheetName val="시산표"/>
      <sheetName val="요약"/>
      <sheetName val="신규구입자산"/>
      <sheetName val="부서별손익 (부)"/>
      <sheetName val="금리보조"/>
      <sheetName val="상품보조수불"/>
      <sheetName val="제조원가계산서 (2)"/>
      <sheetName val="제품입고(생산)"/>
      <sheetName val="IN"/>
      <sheetName val="24.보증금(전신전화가입권)"/>
      <sheetName val="control"/>
      <sheetName val="WELDING"/>
      <sheetName val="종합(PD,FD,RS)"/>
      <sheetName val="매입매출(입력)"/>
      <sheetName val="conclusion"/>
      <sheetName val="결정단가"/>
      <sheetName val="comparables"/>
      <sheetName val="Deduction"/>
      <sheetName val="other"/>
      <sheetName val="매도주식"/>
      <sheetName val="XREF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9902"/>
      <sheetName val="건축매출명세-2008년"/>
      <sheetName val="공장"/>
      <sheetName val="인건비예산(정규직)"/>
      <sheetName val="인건비예산(용역)"/>
      <sheetName val="basic_info"/>
      <sheetName val="MCS"/>
      <sheetName val="T6-6(7)"/>
      <sheetName val="테이블"/>
      <sheetName val="비교"/>
      <sheetName val="판매98"/>
      <sheetName val="IJABUNRI"/>
      <sheetName val="Sheet1"/>
      <sheetName val="대차대조표"/>
      <sheetName val="공사현황표"/>
      <sheetName val="1차 매출원가"/>
      <sheetName val="입력"/>
      <sheetName val="현장경상비"/>
      <sheetName val="2000제조1"/>
      <sheetName val="경락률"/>
      <sheetName val="법원비용"/>
      <sheetName val="항고구분"/>
      <sheetName val="경매회차하락률"/>
      <sheetName val="예산"/>
      <sheetName val="코드부여방법도"/>
      <sheetName val="PLarp"/>
      <sheetName val="년간데이타"/>
      <sheetName val="유가증권현황"/>
      <sheetName val="상환익(2001년도)"/>
      <sheetName val="통합건전성별분류(0201)"/>
      <sheetName val="통합지보건전성(0201)"/>
      <sheetName val="성적표96"/>
      <sheetName val="환율시트"/>
      <sheetName val="계정과목"/>
      <sheetName val="01"/>
      <sheetName val="department"/>
      <sheetName val="6 국내BW"/>
      <sheetName val="KGAAP(0912)_안성혁"/>
      <sheetName val="96원가"/>
      <sheetName val="A410~A420.검토정산표"/>
      <sheetName val="2001-FTE-Standard"/>
      <sheetName val="E LEAD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4290채권채무조회총괄표"/>
      <sheetName val="정기적금"/>
      <sheetName val="기초수불"/>
      <sheetName val="수선비MATRIX"/>
      <sheetName val="차량소요량-년간주행거리"/>
      <sheetName val="변수"/>
      <sheetName val="설치공사비"/>
      <sheetName val="99계획"/>
      <sheetName val="매채조회"/>
      <sheetName val="Sheet2 (2)"/>
      <sheetName val="월별수입"/>
      <sheetName val="현장관리비"/>
      <sheetName val="장비비"/>
      <sheetName val="Cover"/>
      <sheetName val="투자유가증권"/>
      <sheetName val="Sheet3"/>
      <sheetName val="CRUDE"/>
      <sheetName val="J"/>
      <sheetName val="25.보증금(임차보증금외)"/>
      <sheetName val="보조부문비배부"/>
      <sheetName val="교환국"/>
      <sheetName val="기지국"/>
      <sheetName val="기타"/>
      <sheetName val="원격국"/>
      <sheetName val="주장비"/>
      <sheetName val="중계국"/>
      <sheetName val="TABLE"/>
      <sheetName val="계좌번호"/>
      <sheetName val="급여0601"/>
      <sheetName val="급여0602"/>
      <sheetName val="급여0603"/>
      <sheetName val="상여0601"/>
      <sheetName val="0512월기준"/>
      <sheetName val="평가데이터"/>
      <sheetName val="업무연락"/>
      <sheetName val="월별매출"/>
      <sheetName val="페이지"/>
      <sheetName val="민감도"/>
      <sheetName val="各月细目"/>
      <sheetName val="Analysis WR 1"/>
      <sheetName val="#REF"/>
      <sheetName val="3. BSC NC ratio"/>
      <sheetName val="2003손익"/>
      <sheetName val="계정"/>
      <sheetName val="데이터4"/>
      <sheetName val="기초데이타"/>
      <sheetName val="사원명단"/>
      <sheetName val="2"/>
      <sheetName val="지급보증금74"/>
      <sheetName val="Korea Sign-Internal"/>
      <sheetName val="0201"/>
      <sheetName val="00년 계획전망"/>
      <sheetName val="비교원RD-S"/>
      <sheetName val="손익분기점_데이터"/>
      <sheetName val="14_광주_원가배부Ⅲ"/>
      <sheetName val="24_보증금(전신전화가입권)"/>
      <sheetName val="지점장"/>
      <sheetName val="개인정보"/>
      <sheetName val="급여상여"/>
      <sheetName val="연차수당계산"/>
      <sheetName val="CodeTable"/>
      <sheetName val="공사미수금"/>
      <sheetName val="분양미수금"/>
      <sheetName val="받을어음"/>
      <sheetName val="대외공문"/>
      <sheetName val="씨티-세아1"/>
      <sheetName val="하나-세아"/>
      <sheetName val="회계처리요약"/>
      <sheetName val="LS"/>
      <sheetName val="MatchCode"/>
      <sheetName val="2.대외공문"/>
      <sheetName val="list prices"/>
      <sheetName val="A-LINE"/>
      <sheetName val="기계"/>
      <sheetName val="인원"/>
      <sheetName val="A(1)"/>
      <sheetName val="A (3)"/>
      <sheetName val="INCOME"/>
      <sheetName val="채권(하반기)"/>
      <sheetName val="신고서.전"/>
      <sheetName val="차수"/>
      <sheetName val="견적의뢰"/>
      <sheetName val="코드"/>
      <sheetName val="8월"/>
      <sheetName val="Customer Databas"/>
      <sheetName val="R&amp;D"/>
      <sheetName val="통합생산일보"/>
      <sheetName val="산출기준(파견전산실)"/>
      <sheetName val="99선급비용"/>
      <sheetName val="00'미수"/>
      <sheetName val="진행률기표"/>
      <sheetName val="급여조견표"/>
      <sheetName val="자산별귀속부서"/>
      <sheetName val="감가상각"/>
      <sheetName val="고상실행"/>
      <sheetName val="코드목록"/>
      <sheetName val="급여관련자료"/>
      <sheetName val="1.외주공사"/>
      <sheetName val="2.직영공사"/>
      <sheetName val="TaxCalc"/>
      <sheetName val="협조전"/>
      <sheetName val="고정자산원본"/>
      <sheetName val="FRC"/>
      <sheetName val="Sheet2"/>
      <sheetName val="부대집계"/>
      <sheetName val="XXXX"/>
      <sheetName val="wbs"/>
      <sheetName val="현금흐름작성조서"/>
      <sheetName val="만기"/>
      <sheetName val="control sheet"/>
      <sheetName val="기본입력사항"/>
      <sheetName val="ACAMST"/>
      <sheetName val="성단물량"/>
      <sheetName val="데이타"/>
      <sheetName val="재1"/>
      <sheetName val="SIMULATION"/>
      <sheetName val="기계2"/>
      <sheetName val="주조부"/>
      <sheetName val="C-S"/>
      <sheetName val="기계1"/>
      <sheetName val="중형엔진"/>
      <sheetName val="생산현황"/>
      <sheetName val="노무비-TT"/>
      <sheetName val="8월--12월"/>
      <sheetName val="1월--7월"/>
      <sheetName val="시황"/>
      <sheetName val="보정전"/>
      <sheetName val="DATA"/>
      <sheetName val="CF"/>
      <sheetName val="RE"/>
      <sheetName val="무형"/>
      <sheetName val="EQCOVER"/>
      <sheetName val="MOTLISTCOVER"/>
      <sheetName val="MOTLIST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생산3파트"/>
      <sheetName val="초지3호기"/>
      <sheetName val="xxxxxx"/>
      <sheetName val="Start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총제품수불"/>
      <sheetName val="지종별원단위(기존)"/>
      <sheetName val="06년예상보험료 (2)"/>
      <sheetName val="1~10월실적"/>
      <sheetName val="에스피"/>
      <sheetName val="페이퍼"/>
      <sheetName val="코드Mapping"/>
      <sheetName val="신무림1"/>
      <sheetName val="차량운반구"/>
      <sheetName val="소프트웨어"/>
      <sheetName val="Initial Input Variable"/>
      <sheetName val="목록"/>
      <sheetName val="임직원 기본인사사항"/>
      <sheetName val="XLUTIL"/>
      <sheetName val="수철11월"/>
      <sheetName val="수철03년"/>
      <sheetName val="단지별수거량"/>
      <sheetName val="감가상각누계액"/>
      <sheetName val="Links"/>
      <sheetName val="업종별제조원가"/>
      <sheetName val="선급비용"/>
      <sheetName val="ZY100"/>
      <sheetName val="공통속성"/>
      <sheetName val="인력(정규직)"/>
      <sheetName val="수정재무제표-본사용"/>
      <sheetName val="선급비용재계산(AK)"/>
      <sheetName val="건물"/>
      <sheetName val="개발비"/>
      <sheetName val="외화환산손익"/>
      <sheetName val="산업재산권"/>
      <sheetName val="언양"/>
      <sheetName val="JUYO"/>
      <sheetName val="수정'매출매입_자료"/>
      <sheetName val="원가총"/>
      <sheetName val="국외점포"/>
      <sheetName val="월별관리"/>
      <sheetName val="경비예산"/>
      <sheetName val="생산성(2차)"/>
      <sheetName val="요약(1차)"/>
      <sheetName val="Ⅱ1-0타"/>
      <sheetName val="이익처분"/>
      <sheetName val="LoanList"/>
      <sheetName val="잔존년수"/>
      <sheetName val="F45"/>
      <sheetName val="F1,2"/>
      <sheetName val="F3"/>
      <sheetName val="구list"/>
      <sheetName val="08"/>
      <sheetName val=""/>
      <sheetName val="실행간접비용"/>
      <sheetName val="시실누(모) "/>
      <sheetName val="본부별매출"/>
      <sheetName val="리스트"/>
      <sheetName val="폐기(자본지출)"/>
      <sheetName val="Lead"/>
      <sheetName val="공통매입원장"/>
      <sheetName val="공무부"/>
      <sheetName val="수입2"/>
      <sheetName val="경비"/>
      <sheetName val="일반"/>
      <sheetName val="가족수당"/>
      <sheetName val="상조회"/>
      <sheetName val="소득세"/>
      <sheetName val="SALTAB97"/>
      <sheetName val="의보"/>
      <sheetName val="생산직잔업"/>
      <sheetName val="동원인원"/>
      <sheetName val="세부내역"/>
      <sheetName val="월건별"/>
      <sheetName val="수입"/>
      <sheetName val="C(재고)"/>
      <sheetName val="AA"/>
      <sheetName val="BSLA"/>
      <sheetName val="200811(법인)"/>
      <sheetName val="200811(해외현지법인)"/>
      <sheetName val="WPL"/>
      <sheetName val="14_광주_원가배부Ⅲ1"/>
      <sheetName val="손익분기점_데이터1"/>
      <sheetName val="24_보증금(전신전화가입권)1"/>
      <sheetName val="손익계산서_raw_data"/>
      <sheetName val="7_31_(2)"/>
      <sheetName val="부서별손익_(부)"/>
      <sheetName val="A410~A420_검토정산표"/>
      <sheetName val="퇴직급여02_(2)"/>
      <sheetName val="E_LEAD"/>
      <sheetName val="1차_매출원가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제조원가계산서_(2)"/>
      <sheetName val="코스모공장_(어음)"/>
      <sheetName val="Customer_Databas"/>
      <sheetName val="6_국내BW"/>
      <sheetName val="00년_계획전망"/>
      <sheetName val="2_대외공문"/>
      <sheetName val="list_prices"/>
      <sheetName val="A_(3)"/>
      <sheetName val="신고서_전"/>
      <sheetName val="Korea_Sign-Internal"/>
      <sheetName val="25_보증금(임차보증금외)"/>
      <sheetName val="임직원_기본인사사항"/>
      <sheetName val="control_sheet"/>
      <sheetName val="Analysis_WR_1"/>
      <sheetName val="3__BSC_NC_ratio"/>
      <sheetName val="Initial_Input_Variable"/>
      <sheetName val="1_외주공사"/>
      <sheetName val="2_직영공사"/>
      <sheetName val="14_광주_원가배부Ⅲ2"/>
      <sheetName val="손익분기점_데이터2"/>
      <sheetName val="24_보증금(전신전화가입권)2"/>
      <sheetName val="손익계산서_raw_data1"/>
      <sheetName val="7_31_(2)1"/>
      <sheetName val="부서별손익_(부)1"/>
      <sheetName val="A410~A420_검토정산표1"/>
      <sheetName val="퇴직급여02_(2)1"/>
      <sheetName val="E_LEAD1"/>
      <sheetName val="1차_매출원가1"/>
      <sheetName val="13_공제수익,_14__공제비용1"/>
      <sheetName val="4_대출금이자계산1"/>
      <sheetName val="2_부문별추정손익1"/>
      <sheetName val="9_신용기타비용1"/>
      <sheetName val="8_신용기타수익1"/>
      <sheetName val="1_연말추정사업1"/>
      <sheetName val="5_예수금이자계산1"/>
      <sheetName val="7_예치금이자계산1"/>
      <sheetName val="15__판매관리비1"/>
      <sheetName val="3_종합자금(신용-운용)1"/>
      <sheetName val="3-3_조달(일반)1"/>
      <sheetName val="17_교육지원__법인세1"/>
      <sheetName val="6_차입금이자계산1"/>
      <sheetName val="제조원가계산서_(2)1"/>
      <sheetName val="코스모공장_(어음)1"/>
      <sheetName val="Customer_Databas1"/>
      <sheetName val="6_국내BW1"/>
      <sheetName val="00년_계획전망1"/>
      <sheetName val="2_대외공문1"/>
      <sheetName val="list_prices1"/>
      <sheetName val="A_(3)1"/>
      <sheetName val="신고서_전1"/>
      <sheetName val="Korea_Sign-Internal1"/>
      <sheetName val="25_보증금(임차보증금외)1"/>
      <sheetName val="임직원_기본인사사항1"/>
      <sheetName val="control_sheet1"/>
      <sheetName val="Analysis_WR_11"/>
      <sheetName val="3__BSC_NC_ratio1"/>
      <sheetName val="Initial_Input_Variable1"/>
      <sheetName val="1_외주공사1"/>
      <sheetName val="2_직영공사1"/>
      <sheetName val="WI"/>
      <sheetName val="영화별rawdata"/>
      <sheetName val="17.공제수익비용"/>
      <sheetName val="20.교육지원비,법인세"/>
      <sheetName val="21.대손충당금"/>
      <sheetName val="4.매출액"/>
      <sheetName val="5.매출원가"/>
      <sheetName val="1.사업"/>
      <sheetName val="2-1.신용손익"/>
      <sheetName val="2-2.일반손익"/>
      <sheetName val="6.수탁수수료"/>
      <sheetName val="16.신용기타비용"/>
      <sheetName val="15.신용기타수익"/>
      <sheetName val="11.신용기타이자"/>
      <sheetName val="3.운용(신용)"/>
      <sheetName val="3-1.운용(일반)"/>
      <sheetName val="14.예치금유가증권이자"/>
      <sheetName val="9.일반기타비용"/>
      <sheetName val="8.일반기타수익"/>
      <sheetName val="7.일반수수료"/>
      <sheetName val="18.판관비"/>
      <sheetName val="19.판매경비"/>
      <sheetName val="108.수선비"/>
      <sheetName val="Macro4"/>
      <sheetName val="종합분석"/>
      <sheetName val="설비사양서B-1"/>
      <sheetName val="계획"/>
      <sheetName val="당년실적"/>
      <sheetName val="전년실적"/>
      <sheetName val="기초사항"/>
      <sheetName val="Sheet1 (3)"/>
      <sheetName val="과정별"/>
      <sheetName val="항목등록"/>
      <sheetName val="조정전"/>
      <sheetName val="비품(94이전)"/>
      <sheetName val="master"/>
      <sheetName val="임대장비현황"/>
      <sheetName val="2호맨홀공제수량"/>
      <sheetName val="125PIECE"/>
      <sheetName val="연결정보"/>
      <sheetName val="시장성초안camera"/>
      <sheetName val="본문1"/>
      <sheetName val="부외부채"/>
      <sheetName val="기계경비(시간당)"/>
      <sheetName val="램머"/>
      <sheetName val="공사원가계산서"/>
      <sheetName val="도급예산내역서총괄표"/>
      <sheetName val="보조"/>
      <sheetName val="단중_심_그레이드"/>
      <sheetName val="목표세부명세"/>
      <sheetName val="개정대차대조표"/>
      <sheetName val="Macro2"/>
      <sheetName val="시점수정"/>
      <sheetName val="이연법인세3월말"/>
      <sheetName val="이연법인세6월말"/>
      <sheetName val="지분법평가1분기"/>
      <sheetName val="검토사항"/>
      <sheetName val="호프"/>
      <sheetName val="내역서"/>
      <sheetName val="현장경비"/>
      <sheetName val="T&amp;C"/>
      <sheetName val="유형자산증가"/>
      <sheetName val="3"/>
      <sheetName val="검사표"/>
      <sheetName val="원가배분01년(등본)"/>
      <sheetName val="Back Data 1"/>
      <sheetName val="학습율"/>
      <sheetName val="수입부품-견적"/>
      <sheetName val="국내입고"/>
      <sheetName val="MSQ"/>
      <sheetName val="96갑지"/>
      <sheetName val="2002-03"/>
      <sheetName val="조회서송부 LIST"/>
      <sheetName val="Sheet2_(2)"/>
      <sheetName val="시실누(모)_"/>
      <sheetName val="환율"/>
      <sheetName val="결-9-1"/>
      <sheetName val="누적"/>
      <sheetName val="관리대장(2001장비)"/>
      <sheetName val="매출분석적검토"/>
      <sheetName val="기준수익률"/>
      <sheetName val="시장"/>
      <sheetName val="지종코드"/>
      <sheetName val="포장유형"/>
      <sheetName val="1.육계매출 Overall Test"/>
      <sheetName val="2.육가공매출 Overall Test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당좌자산"/>
      <sheetName val="재고자산"/>
      <sheetName val="투자자산"/>
      <sheetName val="유형자산"/>
      <sheetName val="건설가계정명세서"/>
      <sheetName val="감가상각비"/>
      <sheetName val="감가상각충당금"/>
      <sheetName val="무형자산"/>
      <sheetName val="현금과예금"/>
      <sheetName val="현금명세서"/>
      <sheetName val="예금명세서"/>
      <sheetName val="외상매출금"/>
      <sheetName val="외화외상매출금"/>
      <sheetName val="단기대여금&amp;주임종단기대여금"/>
      <sheetName val="미수금"/>
      <sheetName val="미수수익"/>
      <sheetName val="미착원재료"/>
      <sheetName val="선급금&amp;지사관리비"/>
      <sheetName val="지급보증금"/>
      <sheetName val="선급법인세"/>
      <sheetName val="투자유가증권&amp;출자금&amp;출자주식"/>
      <sheetName val="특정현금과 예금"/>
      <sheetName val="가입권"/>
      <sheetName val="전신전화가입권"/>
      <sheetName val="임차보증금"/>
      <sheetName val="부도어음"/>
      <sheetName val="상표권"/>
      <sheetName val="4b Consolidated PL"/>
      <sheetName val="9월손익"/>
      <sheetName val="4월손익"/>
      <sheetName val="10월손익"/>
      <sheetName val="11월분"/>
      <sheetName val="5월손익"/>
      <sheetName val="6월손익"/>
      <sheetName val="7월손익"/>
      <sheetName val="8월분"/>
      <sheetName val="공설코드"/>
      <sheetName val="ICB"/>
      <sheetName val="Reference2"/>
      <sheetName val="Ship Advice"/>
      <sheetName val="유통망계획"/>
      <sheetName val="기본사항"/>
      <sheetName val="관계사"/>
      <sheetName val="통화코드"/>
      <sheetName val="투자자산처분손익"/>
      <sheetName val="경기남부"/>
      <sheetName val="이익잉여금"/>
      <sheetName val="기초자료"/>
      <sheetName val="각주"/>
      <sheetName val="E_B_L"/>
      <sheetName val="2-1.제품군별계획대비실적(B.A)"/>
      <sheetName val="f12"/>
      <sheetName val="06년(예)"/>
      <sheetName val="N-1"/>
      <sheetName val="F-1"/>
      <sheetName val="5300"/>
      <sheetName val="5500"/>
      <sheetName val="Test"/>
      <sheetName val="Bs. de Uso 2002"/>
      <sheetName val="prov locales"/>
      <sheetName val="8340"/>
      <sheetName val="용역비"/>
      <sheetName val="계속+종전"/>
      <sheetName val="수h"/>
      <sheetName val="설계내역서"/>
      <sheetName val="10고객별 담당자"/>
      <sheetName val="07DATA"/>
      <sheetName val="FAB별"/>
      <sheetName val="제품(수출)매출"/>
      <sheetName val="총사업비명세"/>
      <sheetName val="요약&amp;결과"/>
      <sheetName val="총투자비산정"/>
      <sheetName val="본사업"/>
      <sheetName val="기업평가"/>
      <sheetName val="월별제조비용"/>
      <sheetName val="영업외수익비용"/>
      <sheetName val="월별판매비와일반관리비"/>
      <sheetName val="code"/>
      <sheetName val="재료비"/>
      <sheetName val="연체대출"/>
      <sheetName val="Köpfe"/>
      <sheetName val="其他应收款明细及帐龄分析(表5)"/>
      <sheetName val="txt(손익)"/>
      <sheetName val="fxrate"/>
      <sheetName val="부정형평가"/>
      <sheetName val="재공품평가"/>
      <sheetName val="견적공통"/>
      <sheetName val="덕성P"/>
      <sheetName val="11월출고"/>
      <sheetName val="1_05고객별 담당자"/>
      <sheetName val="1_05수익성대비표"/>
      <sheetName val="생산량"/>
      <sheetName val="가.인건비산출근거(관리직급여표)"/>
      <sheetName val="나.인건비산출근거(운영직급여표)"/>
      <sheetName val="구미2월"/>
      <sheetName val="안양2월"/>
      <sheetName val="입력자료"/>
      <sheetName val="97년제4기재무제표(출력).xls"/>
      <sheetName val="양식"/>
      <sheetName val="예비총괄"/>
      <sheetName val="자재및업무개선"/>
      <sheetName val="월별생산"/>
      <sheetName val="가격비"/>
      <sheetName val="계정분류"/>
      <sheetName val="Tickmarks"/>
      <sheetName val="종합_SP"/>
      <sheetName val="종합_MP"/>
      <sheetName val="무림SP_상세"/>
      <sheetName val="무림페이퍼_상세"/>
      <sheetName val="종합"/>
      <sheetName val="매출채권"/>
      <sheetName val="매출채권(집계)"/>
      <sheetName val="외상매출금 합계표(조회서 refer) "/>
      <sheetName val="대체적인 절차 refer(외상매출금)"/>
      <sheetName val="국내외상매출금(S)"/>
      <sheetName val="국내외상매출금(P)"/>
      <sheetName val="국내외상매출(B)"/>
      <sheetName val="받을어음 합계표(조회서 refer)"/>
      <sheetName val="받을어음(S)"/>
      <sheetName val="받을어음(P)"/>
      <sheetName val="받을어음(B)"/>
      <sheetName val="구매카드"/>
      <sheetName val="memo"/>
      <sheetName val="9월제조원가"/>
      <sheetName val="리드"/>
      <sheetName val="감사인검토내역(PAJE)"/>
      <sheetName val="팀별"/>
      <sheetName val="1월"/>
      <sheetName val="2월"/>
      <sheetName val="3월"/>
      <sheetName val="4월"/>
      <sheetName val="5월"/>
      <sheetName val="6월"/>
      <sheetName val="7월"/>
      <sheetName val="9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채권9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입금9월"/>
      <sheetName val="수금조건"/>
      <sheetName val="한도"/>
      <sheetName val="10월"/>
      <sheetName val="채권10월"/>
      <sheetName val="입금10월"/>
      <sheetName val="11월"/>
      <sheetName val="채권11월"/>
      <sheetName val="입금11월"/>
      <sheetName val="12월"/>
      <sheetName val="12월채권"/>
      <sheetName val="입금12월"/>
      <sheetName val="96상입"/>
      <sheetName val="전체"/>
      <sheetName val="매출1"/>
      <sheetName val="입금1"/>
      <sheetName val="채권1"/>
      <sheetName val="기일1"/>
      <sheetName val="매출2"/>
      <sheetName val="입금2"/>
      <sheetName val="채권2"/>
      <sheetName val="기일2"/>
      <sheetName val="매출3"/>
      <sheetName val="입금3"/>
      <sheetName val="채권3"/>
      <sheetName val="기일3"/>
      <sheetName val="매출4"/>
      <sheetName val="입금4"/>
      <sheetName val="채권4"/>
      <sheetName val="기일4"/>
      <sheetName val="매출5"/>
      <sheetName val="입금5"/>
      <sheetName val="채권5"/>
      <sheetName val="기일5"/>
      <sheetName val="매출6"/>
      <sheetName val="입금6"/>
      <sheetName val="채권6"/>
      <sheetName val="기일6"/>
      <sheetName val="매출7"/>
      <sheetName val="입금7"/>
      <sheetName val="채권7"/>
      <sheetName val="기일7"/>
      <sheetName val="현금및현금등가물 (총괄)"/>
      <sheetName val="현금및현금등가물 (서울)"/>
      <sheetName val="현금및현금등가물 (부산)"/>
      <sheetName val="유형자산총괄"/>
      <sheetName val="유형자산(서울)"/>
      <sheetName val="유형자산(부산)"/>
      <sheetName val="퇴충"/>
      <sheetName val="퇴충overall"/>
      <sheetName val="퇴충배부"/>
      <sheetName val="자본"/>
      <sheetName val="판관비"/>
      <sheetName val="TUL"/>
      <sheetName val="발행TEST"/>
      <sheetName val="발행TEST (2)"/>
      <sheetName val="발행TEST(부산)"/>
      <sheetName val="기타당좌자산(총괄)"/>
      <sheetName val="기타당좌자산(서울)"/>
      <sheetName val="기타당좌자산(부산)"/>
      <sheetName val="기타유동부채-총괄"/>
      <sheetName val="기타유동부채-서울"/>
      <sheetName val="기타유동부채-부산"/>
      <sheetName val="영원bs"/>
      <sheetName val="영원is"/>
      <sheetName val="SDF"/>
      <sheetName val="YSS"/>
      <sheetName val="연결분개99"/>
      <sheetName val="Sheet6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Sheet5"/>
      <sheetName val="Sheet4"/>
      <sheetName val="99발견사항"/>
      <sheetName val="발견사항"/>
      <sheetName val="만기 (2)"/>
      <sheetName val="She_x0000__x0000_2"/>
      <sheetName val="꺐윂"/>
      <sheetName val="총괄(회사)"/>
      <sheetName val="전산기기최종"/>
      <sheetName val="집기비품최종"/>
      <sheetName val="만기0701"/>
      <sheetName val="99지분법평가ﾐ쟿"/>
      <sheetName val="COMBINED"/>
      <sheetName val="VALSTAT"/>
      <sheetName val="부재료입고집계"/>
      <sheetName val="7 _2_"/>
      <sheetName val="7 (2)"/>
      <sheetName val="P50.subsequent"/>
      <sheetName val="손익합산"/>
      <sheetName val="118.세금과공과"/>
      <sheetName val="지분법적용투자주식"/>
      <sheetName val="연결분개(거래.Ʉ_x0000_₎㔀"/>
      <sheetName val="ʉ_x0000_䀀"/>
      <sheetName val="(참고)개인별 임금인상안"/>
      <sheetName val="(참고)DC형 선택자 퇴직금 추계"/>
      <sheetName val="제품별원가분석"/>
      <sheetName val="안산기계장치"/>
      <sheetName val="할증 "/>
      <sheetName val="原价计算表"/>
      <sheetName val="Significant Processes"/>
      <sheetName val="참고"/>
      <sheetName val="A"/>
      <sheetName val="0814_5만이하"/>
      <sheetName val="실사"/>
      <sheetName val="상품원가피벗"/>
      <sheetName val="She"/>
      <sheetName val="She??2"/>
      <sheetName val="연결분개(거래_채권채무)_(2)"/>
      <sheetName val="연결분개(거래_채권채무)"/>
      <sheetName val="만기_(2)"/>
      <sheetName val="재료수율"/>
      <sheetName val="원가분석"/>
      <sheetName val="원재료"/>
      <sheetName val="npv"/>
      <sheetName val="Sheet12"/>
      <sheetName val="Margins"/>
      <sheetName val="2.2"/>
      <sheetName val="2.2 Yrly Comparison"/>
      <sheetName val="5. BSC Developmt"/>
      <sheetName val="외화"/>
      <sheetName val="자금동향"/>
      <sheetName val="Configuration"/>
      <sheetName val="기본"/>
      <sheetName val="은행"/>
      <sheetName val="PL(일반)"/>
      <sheetName val="CAJE.CRJE"/>
      <sheetName val="Tickmarks "/>
      <sheetName val="관세"/>
      <sheetName val="취득 처분명세_반기"/>
      <sheetName val="SUMMARY"/>
      <sheetName val="한세A4PL"/>
      <sheetName val="3110-2"/>
      <sheetName val="인건비 내역서"/>
      <sheetName val="유형"/>
      <sheetName val="고정부채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재무제표검토"/>
      <sheetName val="주요경영지표계산"/>
      <sheetName val="최종분석"/>
      <sheetName val="ASM"/>
      <sheetName val="최종재무제표분석"/>
      <sheetName val="Analytical(대차)"/>
      <sheetName val="Analytical(손익)"/>
      <sheetName val="주요계정(대차)"/>
      <sheetName val="주요계정(손익)"/>
      <sheetName val="주요대차"/>
      <sheetName val="주요손익"/>
      <sheetName val="대차대조표 (2)"/>
      <sheetName val="손익계산서 (2)"/>
      <sheetName val="제표최종"/>
      <sheetName val="주요경영지표계산 (2)"/>
      <sheetName val="잉여금, 현금흐름"/>
      <sheetName val="IS정산표"/>
      <sheetName val="대차분석"/>
      <sheetName val="손익분석"/>
      <sheetName val="손익계산서 (3)"/>
      <sheetName val="폐토수익화 "/>
      <sheetName val="BA"/>
      <sheetName val="보고"/>
      <sheetName val="수처리사업"/>
      <sheetName val="1995년 섹터별 매출"/>
      <sheetName val="대출금"/>
      <sheetName val="2311 재무제표검토 Worksheet의 워크시트"/>
      <sheetName val="Inputs"/>
      <sheetName val="단기차입금"/>
      <sheetName val="StandAlne"/>
      <sheetName val="Update"/>
      <sheetName val="P&amp;L"/>
      <sheetName val="백암비스타내역"/>
      <sheetName val="대차대조표-공시형"/>
      <sheetName val="Excess Calc"/>
      <sheetName val="경수97.02"/>
      <sheetName val="0-Basics"/>
      <sheetName val="수익증권명세서(매도가능)"/>
      <sheetName val="COMPS"/>
      <sheetName val="분석mast"/>
      <sheetName val="Cust"/>
      <sheetName val="적용환율"/>
      <sheetName val="C-Lead"/>
      <sheetName val="WACC"/>
      <sheetName val="8220"/>
      <sheetName val="97년추정손익계산서"/>
      <sheetName val="Assumption"/>
      <sheetName val="Balance Sheet"/>
      <sheetName val="Income Statement"/>
      <sheetName val="확인서"/>
      <sheetName val="SALE&amp;COST"/>
      <sheetName val="FTE"/>
      <sheetName val="손익1월"/>
      <sheetName val="공통비"/>
      <sheetName val="원자재수불(최종)"/>
      <sheetName val="Asset9809CAK"/>
      <sheetName val="C100 LEAD"/>
      <sheetName val="39기"/>
      <sheetName val="Variables"/>
      <sheetName val="월 Capa"/>
      <sheetName val="00.08계정"/>
      <sheetName val="forecasted_BS"/>
      <sheetName val="forecasted_IS"/>
      <sheetName val="pre-anal손익계산서"/>
      <sheetName val="pre-anal대차대조표"/>
      <sheetName val="krsec08"/>
      <sheetName val="Customer"/>
      <sheetName val="10월 급여"/>
      <sheetName val="소매_신용"/>
      <sheetName val="특정상품(비소매)"/>
      <sheetName val="비소매신용"/>
      <sheetName val="직공비"/>
      <sheetName val="신전산소항목시산표(5월)"/>
      <sheetName val="관세구분시트"/>
      <sheetName val="노무비"/>
      <sheetName val="종합일지"/>
      <sheetName val="6월 내수"/>
      <sheetName val="6월 내수_편집"/>
      <sheetName val="단가산출"/>
      <sheetName val="사월"/>
      <sheetName val="삼월"/>
      <sheetName val="오월"/>
      <sheetName val="이월"/>
      <sheetName val="일월"/>
      <sheetName val="MM"/>
      <sheetName val="손익분기점_데이터3"/>
      <sheetName val="14_광주_원가배부Ⅲ3"/>
      <sheetName val="손익계산서_raw_data2"/>
      <sheetName val="7_31_(2)2"/>
      <sheetName val="퇴직급여02_(2)2"/>
      <sheetName val="제조원가계산서_(2)2"/>
      <sheetName val="부서별손익_(부)2"/>
      <sheetName val="24_보증금(전신전화가입권)3"/>
      <sheetName val="E_LEAD2"/>
      <sheetName val="1차_매출원가2"/>
      <sheetName val="13_공제수익,_14__공제비용2"/>
      <sheetName val="4_대출금이자계산2"/>
      <sheetName val="2_부문별추정손익2"/>
      <sheetName val="9_신용기타비용2"/>
      <sheetName val="8_신용기타수익2"/>
      <sheetName val="1_연말추정사업2"/>
      <sheetName val="5_예수금이자계산2"/>
      <sheetName val="7_예치금이자계산2"/>
      <sheetName val="15__판매관리비2"/>
      <sheetName val="3_종합자금(신용-운용)2"/>
      <sheetName val="3-3_조달(일반)2"/>
      <sheetName val="17_교육지원__법인세2"/>
      <sheetName val="6_차입금이자계산2"/>
      <sheetName val="6_국내BW2"/>
      <sheetName val="A410~A420_검토정산표2"/>
      <sheetName val="코스모공장_(어음)2"/>
      <sheetName val="2_대외공문2"/>
      <sheetName val="list_prices2"/>
      <sheetName val="A_(3)2"/>
      <sheetName val="신고서_전2"/>
      <sheetName val="25_보증금(임차보증금외)2"/>
      <sheetName val="Korea_Sign-Internal2"/>
      <sheetName val="control_sheet2"/>
      <sheetName val="Customer_Databas2"/>
      <sheetName val="1_외주공사2"/>
      <sheetName val="2_직영공사2"/>
      <sheetName val="Analysis_WR_12"/>
      <sheetName val="3__BSC_NC_ratio2"/>
      <sheetName val="00년_계획전망2"/>
      <sheetName val="임직원_기본인사사항2"/>
      <sheetName val="INST_TABLECOVER"/>
      <sheetName val="양식(최종)_(2)"/>
      <sheetName val="06년예상보험료_(2)"/>
      <sheetName val="Initial_Input_Variable2"/>
      <sheetName val="17_공제수익비용"/>
      <sheetName val="20_교육지원비,법인세"/>
      <sheetName val="21_대손충당금"/>
      <sheetName val="4_매출액"/>
      <sheetName val="5_매출원가"/>
      <sheetName val="1_사업"/>
      <sheetName val="2-1_신용손익"/>
      <sheetName val="2-2_일반손익"/>
      <sheetName val="6_수탁수수료"/>
      <sheetName val="16_신용기타비용"/>
      <sheetName val="15_신용기타수익"/>
      <sheetName val="11_신용기타이자"/>
      <sheetName val="3_운용(신용)"/>
      <sheetName val="3-1_운용(일반)"/>
      <sheetName val="14_예치금유가증권이자"/>
      <sheetName val="9_일반기타비용"/>
      <sheetName val="8_일반기타수익"/>
      <sheetName val="7_일반수수료"/>
      <sheetName val="18_판관비"/>
      <sheetName val="19_판매경비"/>
      <sheetName val="108_수선비1"/>
      <sheetName val="1_육계매출_Overall_Test"/>
      <sheetName val="2_육가공매출_Overall_Test"/>
      <sheetName val="조회서송부_LIST"/>
      <sheetName val="조회서_(2)"/>
      <sheetName val="조회서_(3)"/>
      <sheetName val="조회서_(4)"/>
      <sheetName val="조회서_(5)"/>
      <sheetName val="조회서_(6)"/>
      <sheetName val="특정현금과_예금"/>
      <sheetName val="4b_Consolidated_PL"/>
      <sheetName val="Sheet1_(3)"/>
      <sheetName val="Back_Data_1"/>
      <sheetName val="ttt"/>
      <sheetName val="미수이자"/>
      <sheetName val="Area"/>
      <sheetName val="Template"/>
      <sheetName val="급여대장(관리)"/>
      <sheetName val="g. Rent Roll"/>
      <sheetName val="Parameters"/>
      <sheetName val="공정자료"/>
      <sheetName val="STALL회전율"/>
      <sheetName val="보증MH"/>
      <sheetName val="유형자료"/>
      <sheetName val="개방형"/>
      <sheetName val="5600"/>
      <sheetName val="유림골조"/>
      <sheetName val="계수시트"/>
      <sheetName val="원료돈정산(거세)"/>
      <sheetName val="產能"/>
      <sheetName val="料費2"/>
      <sheetName val="分攤2"/>
      <sheetName val="比較2"/>
      <sheetName val="2-2.매출분석"/>
      <sheetName val="고수익"/>
      <sheetName val="명세서"/>
      <sheetName val="체불임금"/>
      <sheetName val="평균임금"/>
      <sheetName val="체불금품내역"/>
      <sheetName val="이연법인세차"/>
      <sheetName val="BAL.(TTL)"/>
      <sheetName val="설계예산서"/>
      <sheetName val="BOQ.vts"/>
      <sheetName val="당좌차월"/>
      <sheetName val="99판매상세"/>
      <sheetName val="2공구하도급내역서"/>
      <sheetName val="시험연구비상각"/>
      <sheetName val="관련부서"/>
      <sheetName val="Admin"/>
      <sheetName val="01Q4 RATE"/>
      <sheetName val="기감액자산"/>
      <sheetName val="설비-자산"/>
      <sheetName val="불용자산list"/>
      <sheetName val="미국"/>
      <sheetName val="14_광주_원가배부Ⅲ4"/>
      <sheetName val="7_31_(2)3"/>
      <sheetName val="손익분기점_데이터4"/>
      <sheetName val="손익계산서_raw_data3"/>
      <sheetName val="부서별손익_(부)3"/>
      <sheetName val="퇴직급여02_(2)3"/>
      <sheetName val="제조원가계산서_(2)3"/>
      <sheetName val="24_보증금(전신전화가입권)4"/>
      <sheetName val="1차_매출원가3"/>
      <sheetName val="6_국내BW3"/>
      <sheetName val="2_대외공문3"/>
      <sheetName val="list_prices3"/>
      <sheetName val="A_(3)3"/>
      <sheetName val="신고서_전3"/>
      <sheetName val="E_LEAD3"/>
      <sheetName val="A410~A420_검토정산표3"/>
      <sheetName val="13_공제수익,_14__공제비용3"/>
      <sheetName val="4_대출금이자계산3"/>
      <sheetName val="2_부문별추정손익3"/>
      <sheetName val="9_신용기타비용3"/>
      <sheetName val="8_신용기타수익3"/>
      <sheetName val="1_연말추정사업3"/>
      <sheetName val="5_예수금이자계산3"/>
      <sheetName val="7_예치금이자계산3"/>
      <sheetName val="15__판매관리비3"/>
      <sheetName val="3_종합자금(신용-운용)3"/>
      <sheetName val="3-3_조달(일반)3"/>
      <sheetName val="17_교육지원__법인세3"/>
      <sheetName val="6_차입금이자계산3"/>
      <sheetName val="1_외주공사3"/>
      <sheetName val="2_직영공사3"/>
      <sheetName val="Customer_Databas3"/>
      <sheetName val="코스모공장_(어음)3"/>
      <sheetName val="25_보증금(임차보증금외)3"/>
      <sheetName val="Korea_Sign-Internal3"/>
      <sheetName val="control_sheet3"/>
      <sheetName val="Analysis_WR_13"/>
      <sheetName val="3__BSC_NC_ratio3"/>
      <sheetName val="00년_계획전망3"/>
      <sheetName val="Initial_Input_Variable3"/>
      <sheetName val="시실누(모)_1"/>
      <sheetName val="Sheet2_(2)1"/>
      <sheetName val="임직원_기본인사사항3"/>
      <sheetName val="INST_TABLECOVER1"/>
      <sheetName val="양식(최종)_(2)1"/>
      <sheetName val="06년예상보험료_(2)1"/>
      <sheetName val="17_공제수익비용1"/>
      <sheetName val="20_교육지원비,법인세1"/>
      <sheetName val="21_대손충당금1"/>
      <sheetName val="4_매출액1"/>
      <sheetName val="5_매출원가1"/>
      <sheetName val="1_사업1"/>
      <sheetName val="2-1_신용손익1"/>
      <sheetName val="2-2_일반손익1"/>
      <sheetName val="6_수탁수수료1"/>
      <sheetName val="16_신용기타비용1"/>
      <sheetName val="15_신용기타수익1"/>
      <sheetName val="11_신용기타이자1"/>
      <sheetName val="3_운용(신용)1"/>
      <sheetName val="3-1_운용(일반)1"/>
      <sheetName val="14_예치금유가증권이자1"/>
      <sheetName val="9_일반기타비용1"/>
      <sheetName val="8_일반기타수익1"/>
      <sheetName val="7_일반수수료1"/>
      <sheetName val="18_판관비1"/>
      <sheetName val="19_판매경비1"/>
      <sheetName val="조회서송부_LIST1"/>
      <sheetName val="108_수선비2"/>
      <sheetName val="Sheet1_(3)1"/>
      <sheetName val="Ship_Advice"/>
      <sheetName val="1_육계매출_Overall_Test1"/>
      <sheetName val="2_육가공매출_Overall_Test1"/>
      <sheetName val="조회서_(2)1"/>
      <sheetName val="조회서_(3)1"/>
      <sheetName val="조회서_(4)1"/>
      <sheetName val="조회서_(5)1"/>
      <sheetName val="조회서_(6)1"/>
      <sheetName val="특정현금과_예금1"/>
      <sheetName val="4b_Consolidated_PL1"/>
      <sheetName val="Back_Data_11"/>
      <sheetName val="g__Rent_Roll"/>
      <sheetName val="인건비_내역서"/>
      <sheetName val="10고객별_담당자"/>
      <sheetName val="118_세금과공과"/>
      <sheetName val="2-1_제품군별계획대비실적(B_A)"/>
      <sheetName val="Bs__de_Uso_2002"/>
      <sheetName val="prov_locales"/>
      <sheetName val="외상매출금_합계표(조회서_refer)_"/>
      <sheetName val="대체적인_절차_refer(외상매출금)"/>
      <sheetName val="받을어음_합계표(조회서_refer)"/>
      <sheetName val="현금및현금등가물_(총괄)"/>
      <sheetName val="현금및현금등가물_(서울)"/>
      <sheetName val="현금및현금등가물_(부산)"/>
      <sheetName val="발행TEST_(2)"/>
      <sheetName val="연결분개(거래_채권채무)_(2)1"/>
      <sheetName val="연결분개(거래_채권채무)1"/>
      <sheetName val="만기_(2)1"/>
      <sheetName val="7__2_"/>
      <sheetName val="7_(2)"/>
      <sheetName val="P50_subsequent"/>
      <sheetName val="연결분개(거래_Ʉ₎㔀"/>
      <sheetName val="(참고)개인별_임금인상안"/>
      <sheetName val="(참고)DC형_선택자_퇴직금_추계"/>
      <sheetName val="할증_"/>
      <sheetName val="Significant_Processes"/>
      <sheetName val="2_2"/>
      <sheetName val="2_2_Yrly_Comparison"/>
      <sheetName val="5__BSC_Developmt"/>
      <sheetName val="CAJE_CRJE"/>
      <sheetName val="Tickmarks_"/>
      <sheetName val="취득_처분명세_반기"/>
      <sheetName val="대차대조표_(2)"/>
      <sheetName val="손익계산서_(2)"/>
      <sheetName val="주요경영지표계산_(2)"/>
      <sheetName val="잉여금,_현금흐름"/>
      <sheetName val="손익계산서_(3)"/>
      <sheetName val="폐토수익화_"/>
      <sheetName val="1995년_섹터별_매출"/>
      <sheetName val="2311_재무제표검토_Worksheet의_워크시트"/>
      <sheetName val="Excess_Calc"/>
      <sheetName val="경수97_02"/>
      <sheetName val="Balance_Sheet"/>
      <sheetName val="Income_Statement"/>
      <sheetName val="C100_LEAD"/>
      <sheetName val="월_Capa"/>
      <sheetName val="00_08계정"/>
      <sheetName val="10월_급여"/>
      <sheetName val="6월_내수"/>
      <sheetName val="6월_내수_편집"/>
      <sheetName val="01Q4_RATE"/>
      <sheetName val="97년제4기재무제표(출력)_xls"/>
      <sheetName val="가_인건비산출근거(관리직급여표)"/>
      <sheetName val="나_인건비산출근거(운영직급여표)"/>
      <sheetName val="1_05고객별_담당자"/>
      <sheetName val="용연"/>
      <sheetName val="제조원가"/>
      <sheetName val="TB(PL)"/>
      <sheetName val="TB(BS)"/>
      <sheetName val="자료"/>
      <sheetName val="scale &amp; Income"/>
      <sheetName val="경놡"/>
      <sheetName val="매출"/>
      <sheetName val="UNDELIVERED-FR WH-HK"/>
      <sheetName val="ThFilmRental"/>
      <sheetName val="Instructions"/>
      <sheetName val="07월"/>
      <sheetName val="03"/>
      <sheetName val="05"/>
      <sheetName val="외화금융(97-03)"/>
      <sheetName val="Local Purchase"/>
      <sheetName val="CaratPrévisions "/>
      <sheetName val="CaratRM99Division "/>
      <sheetName val="CaratRMDivision"/>
      <sheetName val="CaratRSBDivision"/>
      <sheetName val="pplay load"/>
      <sheetName val="GUDV- Aug"/>
      <sheetName val="NI"/>
      <sheetName val="ROI"/>
      <sheetName val="Budget"/>
      <sheetName val="NAMES by Mgr"/>
      <sheetName val="주간계획"/>
      <sheetName val="투자비"/>
      <sheetName val="조성원가DATA"/>
      <sheetName val="사업비"/>
      <sheetName val="과목코드"/>
      <sheetName val="부서코드"/>
      <sheetName val="입력자"/>
      <sheetName val="특정예금"/>
      <sheetName val="TOTAL"/>
      <sheetName val="BB"/>
      <sheetName val="BC"/>
      <sheetName val="BD"/>
      <sheetName val="BE"/>
      <sheetName val="Module"/>
      <sheetName val="과정코드용"/>
      <sheetName val="실시계획"/>
      <sheetName val="퍼라이트"/>
      <sheetName val="파라셀"/>
      <sheetName val="보증금"/>
      <sheetName val="계DATA"/>
      <sheetName val="실DATA "/>
      <sheetName val="신선데이터"/>
      <sheetName val="출금실적"/>
      <sheetName val="갑(전기)"/>
      <sheetName val="공통"/>
      <sheetName val="B-III"/>
      <sheetName val="배치1"/>
      <sheetName val="승격기준참조"/>
      <sheetName val="현금"/>
      <sheetName val="실행철강하도"/>
      <sheetName val="기초데이터"/>
      <sheetName val="1"/>
      <sheetName val="BOM"/>
      <sheetName val="기타의투자자산"/>
      <sheetName val="장기대여금"/>
      <sheetName val="2-2_매출분석"/>
      <sheetName val="대구은행"/>
      <sheetName val="97KJIST"/>
      <sheetName val="은행조회서"/>
      <sheetName val="투찰금액"/>
      <sheetName val="재무가정및요약"/>
      <sheetName val="공종단가"/>
      <sheetName val="Comp01"/>
      <sheetName val="손익추정(관리기준)"/>
      <sheetName val="ﾘｽﾄ"/>
      <sheetName val="재무가정"/>
      <sheetName val="계획시간"/>
      <sheetName val="1000"/>
      <sheetName val="Pile径1m･27"/>
      <sheetName val="CAL"/>
      <sheetName val="기본자료"/>
      <sheetName val="연차현황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파워월드"/>
      <sheetName val="TB"/>
    </sheetNames>
    <sheetDataSet>
      <sheetData sheetId="0" refreshError="1"/>
      <sheetData sheetId="1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산"/>
      <sheetName val="자료"/>
      <sheetName val="퇴직금중간정산(식)"/>
      <sheetName val="12"/>
      <sheetName val="1"/>
      <sheetName val="2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요손익현황 (2)"/>
      <sheetName val="매출현황 (2)"/>
      <sheetName val="접대비 (2)"/>
      <sheetName val="외주가공비 (2)"/>
      <sheetName val="차량유지비 (2)"/>
      <sheetName val="통신비 (2)"/>
      <sheetName val="여수신"/>
      <sheetName val="여신"/>
      <sheetName val="수신"/>
      <sheetName val="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과제시책"/>
      <sheetName val="세부경비-국내"/>
      <sheetName val="인원-국내"/>
      <sheetName val="원가시책-국내"/>
      <sheetName val="조직-국내"/>
      <sheetName val="여신"/>
      <sheetName val="수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대조표"/>
      <sheetName val="손익계산서"/>
      <sheetName val="제조원가"/>
      <sheetName val="대차대조표 리스료수정후(2)"/>
      <sheetName val="손익계산서 (2)"/>
      <sheetName val="제조원가 (2)"/>
      <sheetName val="대차대조표 감사후(3)"/>
      <sheetName val="손익계산서 (3)"/>
      <sheetName val="제조원가 (3)"/>
      <sheetName val="대차대조표 잉여금처분후(4)"/>
      <sheetName val="이익잉여금"/>
      <sheetName val="대차합동"/>
      <sheetName val="1002"/>
    </sheetNames>
    <sheetDataSet>
      <sheetData sheetId="0">
        <row r="24">
          <cell r="E24">
            <v>245601096</v>
          </cell>
        </row>
      </sheetData>
      <sheetData sheetId="1" refreshError="1"/>
      <sheetData sheetId="2">
        <row r="50">
          <cell r="C50">
            <v>463762916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대차대조표"/>
      <sheetName val="제조원가"/>
      <sheetName val="대차합동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영계획"/>
    </sheetNames>
    <sheetDataSet>
      <sheetData sheetId="0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서어음명세서"/>
      <sheetName val="출입자명단"/>
      <sheetName val="PAN"/>
      <sheetName val="Sheet1"/>
      <sheetName val="급여지급"/>
      <sheetName val="조견표"/>
      <sheetName val="입력항목"/>
      <sheetName val="INFORM"/>
      <sheetName val="25.보증금(임차보증금외)"/>
      <sheetName val="국산화"/>
      <sheetName val="지성학원"/>
      <sheetName val="ILBAN"/>
      <sheetName val="IJABUNRI"/>
      <sheetName val="TB"/>
      <sheetName val="101-116"/>
      <sheetName val="99선급비용"/>
      <sheetName val="WELDING"/>
      <sheetName val="요약"/>
      <sheetName val="보조부문비배부"/>
      <sheetName val="계정"/>
      <sheetName val="관계사"/>
      <sheetName val="통화코드"/>
      <sheetName val="투자자산처분손익"/>
      <sheetName val="24.보증금(전신전화가입권)"/>
      <sheetName val="수정시산표"/>
      <sheetName val="경비예산"/>
      <sheetName val="생산성(2차)"/>
      <sheetName val="요약(1차)"/>
      <sheetName val="경기남부"/>
      <sheetName val="E_B_L"/>
      <sheetName val="이익잉여금"/>
      <sheetName val="대차대조표"/>
      <sheetName val="현금흐름표"/>
      <sheetName val="정의"/>
      <sheetName val="기초자료"/>
      <sheetName val="테이블"/>
      <sheetName val="J"/>
      <sheetName val="각주"/>
      <sheetName val="제조부문배부"/>
      <sheetName val="員工資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1"/>
      <sheetName val="일정"/>
      <sheetName val="작성지침"/>
      <sheetName val="표지2"/>
      <sheetName val="목차"/>
      <sheetName val="중장기"/>
      <sheetName val="과제"/>
      <sheetName val="매출"/>
      <sheetName val="수금"/>
      <sheetName val="재료"/>
      <sheetName val="원가"/>
      <sheetName val="경비"/>
      <sheetName val="세목"/>
      <sheetName val="대표이사"/>
      <sheetName val="총괄임원"/>
      <sheetName val="담당임원"/>
      <sheetName val="경영지원"/>
      <sheetName val="기획"/>
      <sheetName val="재경"/>
      <sheetName val="환경"/>
      <sheetName val="인원"/>
      <sheetName val="조직"/>
      <sheetName val="투자"/>
      <sheetName val="행사(전사)"/>
      <sheetName val="행사(경지)"/>
      <sheetName val="교육"/>
      <sheetName val="별첨1"/>
      <sheetName val="별첨2"/>
      <sheetName val="96월별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원가계산서"/>
      <sheetName val="총괄내역서"/>
      <sheetName val="내역서"/>
      <sheetName val="수목표준대가"/>
      <sheetName val="시설구조일위대가 "/>
      <sheetName val="기초대가"/>
      <sheetName val="단가조사표"/>
      <sheetName val="지주,비료"/>
      <sheetName val="수량산출서"/>
      <sheetName val="Sheet3"/>
      <sheetName val="Sheet2 (4)"/>
      <sheetName val="Sheet2 (5)"/>
      <sheetName val="Sheet2 (6)"/>
      <sheetName val="Config"/>
      <sheetName val="비품(94이전)"/>
      <sheetName val="원천세납부"/>
      <sheetName val="수선비"/>
    </sheetNames>
    <sheetDataSet>
      <sheetData sheetId="0"/>
      <sheetData sheetId="1"/>
      <sheetData sheetId="2"/>
      <sheetData sheetId="3">
        <row r="2">
          <cell r="J2" t="str">
            <v>금 액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등손익"/>
      <sheetName val="공사손익"/>
      <sheetName val="분양사업손익"/>
      <sheetName val="교육사업손익"/>
      <sheetName val="사원 선급금"/>
      <sheetName val="가지급금"/>
      <sheetName val="어음.수표"/>
      <sheetName val="무형자산 상각내역서 "/>
      <sheetName val="고용보험 미지급비용"/>
      <sheetName val="이자미지급비용"/>
      <sheetName val="유가증권"/>
      <sheetName val="유가증권수불"/>
      <sheetName val="증안기금"/>
      <sheetName val="채권할인1"/>
      <sheetName val="채권할인2"/>
      <sheetName val="김보경-선수금"/>
      <sheetName val="사원 미지급금"/>
      <sheetName val="예수원천세"/>
      <sheetName val="예수보험료"/>
      <sheetName val="외화환산1"/>
      <sheetName val="미수수익"/>
      <sheetName val="주임종단기대여금"/>
      <sheetName val="선급비용 산출내역"/>
      <sheetName val="선급비용(이자등)"/>
      <sheetName val="퇴직충당금"/>
      <sheetName val="퇴직금지급내역 "/>
      <sheetName val="교육사업안분 "/>
      <sheetName val="교육사업월별매출"/>
      <sheetName val="교육사업월별원가 "/>
      <sheetName val="칩원가산출"/>
      <sheetName val="특장손익"/>
      <sheetName val="특장제조원가"/>
      <sheetName val="특장최종집계"/>
      <sheetName val="노무비배분"/>
      <sheetName val="특장재료비배분"/>
      <sheetName val="특장재료집계"/>
      <sheetName val="특장재료"/>
      <sheetName val="특장재료2"/>
      <sheetName val="특장경비 및 노무원장"/>
      <sheetName val="분양원가"/>
      <sheetName val="분양예정원가"/>
      <sheetName val="분양경비"/>
      <sheetName val="분양원장(경비 및 원가)"/>
      <sheetName val="Sheet1"/>
      <sheetName val="분양원장 (2)"/>
      <sheetName val="분양원장"/>
      <sheetName val="분양선수금내역서"/>
      <sheetName val="Sheet7"/>
      <sheetName val="대체분개"/>
      <sheetName val="투자유가증권"/>
      <sheetName val="수입임대"/>
      <sheetName val="잡이익"/>
      <sheetName val="주석"/>
      <sheetName val="사업안분"/>
      <sheetName val="합잔 관련"/>
      <sheetName val="이스타빌1"/>
      <sheetName val="Sheet8"/>
      <sheetName val="Sheet9"/>
      <sheetName val="Sheet10"/>
      <sheetName val="Sheet11"/>
      <sheetName val="Sheet12"/>
      <sheetName val="공시지가"/>
      <sheetName val="유형자산매각"/>
      <sheetName val="집계표"/>
      <sheetName val="총계정"/>
      <sheetName val="강사"/>
      <sheetName val="학원미수"/>
      <sheetName val="학원선수"/>
      <sheetName val="Sheet3"/>
      <sheetName val="사업부별판관안분"/>
      <sheetName val="Sheet2"/>
      <sheetName val="합잔"/>
      <sheetName val="합잔원본"/>
      <sheetName val="Sheet5"/>
      <sheetName val="집계"/>
      <sheetName val="총계정1"/>
      <sheetName val="총계정2"/>
      <sheetName val="4월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단기차입금(200006)"/>
      <sheetName val="단기차입금(200012)"/>
      <sheetName val="2001년03월"/>
      <sheetName val="2001년03월(분할)"/>
      <sheetName val="외화단기차입금(98)"/>
      <sheetName val="외화단기차입금 (99)"/>
      <sheetName val="Sheet1"/>
      <sheetName val="매출채권 등 Ls"/>
      <sheetName val="매입채무Ls"/>
      <sheetName val="무형자산Ls"/>
      <sheetName val="매출Ls"/>
      <sheetName val="원가Ls"/>
      <sheetName val="원가배분Ls"/>
      <sheetName val="대차대조표(200306)"/>
      <sheetName val="손익계산서(200306)"/>
      <sheetName val="용역원가(200306)"/>
      <sheetName val="코드"/>
      <sheetName val="배서어음명세서"/>
      <sheetName val="PAN"/>
      <sheetName val="월계"/>
      <sheetName val="MatchCode"/>
      <sheetName val="3.손익"/>
      <sheetName val="4.원가"/>
      <sheetName val="2.요약"/>
      <sheetName val="#REF"/>
      <sheetName val="TB-CLEAR"/>
      <sheetName val="TB-RAW"/>
      <sheetName val="존4"/>
      <sheetName val="수목표준대가"/>
      <sheetName val="당좌자산명세"/>
      <sheetName val="미수금"/>
      <sheetName val="선급금"/>
      <sheetName val="손익계산서"/>
      <sheetName val="이익잉여금처분계산서"/>
      <sheetName val="재무상태변동표"/>
      <sheetName val="제조원가명세서"/>
      <sheetName val="현금흐름표"/>
      <sheetName val="Total"/>
      <sheetName val="Sheet2"/>
      <sheetName val="기준시가"/>
      <sheetName val="수입"/>
      <sheetName val="WPL"/>
      <sheetName val="4월계획"/>
      <sheetName val="시산표"/>
      <sheetName val="회수내역"/>
      <sheetName val="금융소득종합과세"/>
      <sheetName val="근로소득세2001"/>
      <sheetName val="분개장"/>
      <sheetName val="비품(94이전)"/>
      <sheetName val="단기차입금"/>
      <sheetName val="일위대가표"/>
      <sheetName val="arap"/>
      <sheetName val="기본입력사항"/>
      <sheetName val="제품수불(대체)"/>
      <sheetName val="원재료입력"/>
      <sheetName val="총제품수불"/>
      <sheetName val="제품입력"/>
      <sheetName val="가정"/>
      <sheetName val="갑지"/>
      <sheetName val="실행"/>
      <sheetName val="Mc1"/>
      <sheetName val="경비분류(1)"/>
      <sheetName val="RECONCILIATIONS"/>
      <sheetName val="업무분장 "/>
      <sheetName val="공통"/>
      <sheetName val="f_BS"/>
      <sheetName val="내수"/>
      <sheetName val="JUCKEYK"/>
      <sheetName val="단기대여금"/>
      <sheetName val="장기대여금"/>
      <sheetName val="정공공사"/>
      <sheetName val="투자유가증권"/>
      <sheetName val="인건비"/>
      <sheetName val="단기금융상품"/>
      <sheetName val="미수수익"/>
      <sheetName val="현금명세서"/>
      <sheetName val="외국환"/>
      <sheetName val="정기적금"/>
      <sheetName val="SUMMARY"/>
      <sheetName val="합손"/>
      <sheetName val="Setup"/>
      <sheetName val="손익계산서(SJ)"/>
      <sheetName val="판가반영"/>
      <sheetName val="Revised PEGS98"/>
      <sheetName val="Affiliates"/>
      <sheetName val="admin"/>
      <sheetName val="LD-동양"/>
      <sheetName val="월간인력"/>
      <sheetName val="본부별매출"/>
      <sheetName val="Macro1"/>
      <sheetName val="재료율"/>
      <sheetName val="HP1AMLIST"/>
      <sheetName val="계열사현황종합"/>
      <sheetName val="S&amp;R"/>
      <sheetName val="노무비"/>
      <sheetName val="인원계획-미화"/>
      <sheetName val="DATA"/>
      <sheetName val="직원배율"/>
      <sheetName val="임원배율"/>
      <sheetName val="Quality"/>
      <sheetName val="People"/>
      <sheetName val="Risk"/>
      <sheetName val="Training"/>
      <sheetName val="Instructions"/>
      <sheetName val="월간단가"/>
      <sheetName val="외화단기차입금_(99)"/>
      <sheetName val="매출채권_등_Ls"/>
      <sheetName val="070630단가"/>
      <sheetName val="3_손익"/>
      <sheetName val="4_원가"/>
      <sheetName val="2_요약"/>
      <sheetName val="R&amp;D"/>
      <sheetName val="현금및현금등가물"/>
      <sheetName val="Traffic비율"/>
      <sheetName val="Ctrl"/>
      <sheetName val="FRDS9805"/>
      <sheetName val="민감도"/>
      <sheetName val="계정분류"/>
      <sheetName val="지급보증금74"/>
      <sheetName val="Expense_기초자료"/>
      <sheetName val="미수"/>
      <sheetName val="국산화"/>
      <sheetName val="유가증권.투자유가증권LS"/>
      <sheetName val="투자유가증권(주식)"/>
      <sheetName val="유가증권증감"/>
      <sheetName val="0130종합"/>
      <sheetName val="손익"/>
      <sheetName val="H 220다올자산"/>
      <sheetName val="Config"/>
      <sheetName val="매출"/>
      <sheetName val="시실누(모) "/>
      <sheetName val="공수"/>
      <sheetName val="수도권지사"/>
      <sheetName val="공정별인건비"/>
      <sheetName val="백암비스타내역"/>
      <sheetName val="재료비"/>
      <sheetName val="경비"/>
      <sheetName val="계정code"/>
      <sheetName val="창원대리이하"/>
      <sheetName val="하자보수충당금"/>
      <sheetName val="XREF"/>
      <sheetName val="TEMP"/>
      <sheetName val="JA"/>
      <sheetName val="미지급금"/>
      <sheetName val="General"/>
      <sheetName val="단가"/>
      <sheetName val="수정시산표"/>
      <sheetName val="기초코드"/>
      <sheetName val="출입자명단"/>
      <sheetName val="IDONG"/>
      <sheetName val="연결조정분개13"/>
      <sheetName val="CODE"/>
      <sheetName val="대구은행"/>
      <sheetName val="정산표"/>
      <sheetName val="유가증권_투자유가증권LS"/>
      <sheetName val="입장객세부추정,계획안"/>
      <sheetName val="내역서2안"/>
      <sheetName val="CAUDIT"/>
      <sheetName val="3월상세"/>
      <sheetName val="단가일람"/>
      <sheetName val="조경일람"/>
      <sheetName val="조정지수 data"/>
      <sheetName val="업체비교"/>
      <sheetName val="매출원가_회사제시"/>
      <sheetName val="5사남"/>
      <sheetName val="Sheet4"/>
      <sheetName val="단가표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11-2"/>
      <sheetName val="Sheet1"/>
      <sheetName val="요11-1"/>
      <sheetName val="Sheet2"/>
      <sheetName val="총괄표"/>
      <sheetName val="채권자"/>
      <sheetName val="채권상환계획"/>
      <sheetName val="배당률"/>
      <sheetName val="보고서(1)"/>
      <sheetName val="보고서(2)"/>
      <sheetName val="보고서(3)"/>
      <sheetName val="보고서(4)"/>
      <sheetName val="주요가정"/>
      <sheetName val="협상자료"/>
      <sheetName val="협상자료2"/>
      <sheetName val="협상자료3"/>
      <sheetName val="일반정보"/>
      <sheetName val=".1 채권자목록"/>
      <sheetName val=".2 Result"/>
      <sheetName val=".3 Report"/>
      <sheetName val=".14 채권상환계획"/>
      <sheetName val=".15 청산배당액의 산정"/>
      <sheetName val=".4 FS"/>
      <sheetName val=".4-1 원가율분석"/>
      <sheetName val=".5 영업수익"/>
      <sheetName val=".5-1 선박운항계약정리"/>
      <sheetName val=".5-2 BDI"/>
      <sheetName val=".5-3 원가분석"/>
      <sheetName val=".6 영업원가"/>
      <sheetName val=".6-1 과거선박운항실적"/>
      <sheetName val=".7 판관비"/>
      <sheetName val=".8 영업외손익"/>
      <sheetName val=".9 법인세비용"/>
      <sheetName val=".10 재고자산"/>
      <sheetName val=".11 기타영업자산"/>
      <sheetName val=".12 영업부채"/>
      <sheetName val=".12-1 BBCHP상환"/>
      <sheetName val=".13 차입금"/>
      <sheetName val=".14-1 출자전환계획"/>
      <sheetName val=".16 과거재무제표"/>
      <sheetName val=".17 보유부동산 및 자산매각계획"/>
      <sheetName val="배 운영계획"/>
      <sheetName val="매출vs용선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N2">
            <v>1000000</v>
          </cell>
        </row>
        <row r="3">
          <cell r="DN3">
            <v>1000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4">
          <cell r="E4">
            <v>1000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표지"/>
      <sheetName val="표지2"/>
      <sheetName val="Ⅰ"/>
      <sheetName val="Ⅱ"/>
      <sheetName val="Ⅲ"/>
      <sheetName val="Ⅳ-1"/>
      <sheetName val="Ⅳ-2"/>
      <sheetName val="4법인세(上)"/>
      <sheetName val="Ⅴ-1"/>
      <sheetName val="Ⅴ-2"/>
      <sheetName val="Ⅴ-3"/>
      <sheetName val="Ⅵ-1"/>
      <sheetName val="Ⅵ-2"/>
      <sheetName val="Ⅵ-3"/>
      <sheetName val="Ⅶ-1"/>
      <sheetName val="Ⅶ-2"/>
      <sheetName val="Ⅷ"/>
      <sheetName val="Ⅷ-1"/>
      <sheetName val="Ⅷ-2"/>
      <sheetName val="Ⅷ-2 (확정)"/>
      <sheetName val="Ⅸ-1"/>
      <sheetName val="Ⅸ"/>
      <sheetName val="10-2월별수출입"/>
      <sheetName val="Ⅸ-5"/>
      <sheetName val="대차대조표"/>
      <sheetName val="배당내역(안)"/>
      <sheetName val="Ⅰ.대차대조표 (2)"/>
      <sheetName val="Ⅱ.손익계산서 (2)"/>
      <sheetName val="Ⅲ.법인세납부현황"/>
      <sheetName val="Ⅲ.법인세납부현황 (2)"/>
      <sheetName val="Ⅲ.법인세 Ⅳ.배당안"/>
      <sheetName val="Ⅳ.결산사항"/>
      <sheetName val="Ⅴ.재무비율분석"/>
      <sheetName val="Ⅴ.법인세현황및대책"/>
      <sheetName val="표지.1"/>
      <sheetName val="표지2.1"/>
      <sheetName val="표지결산보고."/>
      <sheetName val="목차결산보고"/>
      <sheetName val="손익계산서"/>
      <sheetName val="대차대조"/>
      <sheetName val="잉여금처분계산서"/>
      <sheetName val="손익계산서.사장"/>
      <sheetName val="주주및배당현황.사장"/>
      <sheetName val="대차대조.사장"/>
      <sheetName val="잉여금처분.사장"/>
      <sheetName val="공문.사"/>
      <sheetName val="손익"/>
      <sheetName val="매출원가"/>
      <sheetName val="일반관리비"/>
      <sheetName val="02년합계잔액시산표"/>
      <sheetName val="결산보고서용대차대조표A4"/>
      <sheetName val="결산보고서용손익계산서A4"/>
      <sheetName val="대차대조표비교식"/>
      <sheetName val="손익계산서비교식"/>
      <sheetName val="변경기준"/>
      <sheetName val="주요계정명세요약"/>
      <sheetName val="요약대차대조표"/>
      <sheetName val="연도별대차대조표"/>
      <sheetName val="연도별손익계산서"/>
      <sheetName val="대차대조표요약"/>
      <sheetName val="결산보고서용손䝵계산서A4"/>
      <sheetName val="영업.일1"/>
      <sheetName val="내역"/>
      <sheetName val="선급미지급비용"/>
      <sheetName val="9-1차이내역"/>
      <sheetName val="sm"/>
      <sheetName val="9612서울"/>
      <sheetName val="코드표"/>
      <sheetName val="공표손익"/>
      <sheetName val="산출근거1"/>
      <sheetName val="5.30(土)"/>
      <sheetName val="첨부1"/>
      <sheetName val="원가"/>
      <sheetName val="영업.일"/>
      <sheetName val="판매2팀"/>
      <sheetName val="철탑"/>
      <sheetName val="단기(원data)"/>
      <sheetName val="장기(원data)"/>
      <sheetName val="SIMULATION"/>
      <sheetName val="순서"/>
      <sheetName val="SPI"/>
      <sheetName val="입력항목"/>
      <sheetName val="2.대외공문"/>
      <sheetName val="97년 1월"/>
      <sheetName val="종기실.보고자료"/>
      <sheetName val="영업_일"/>
      <sheetName val="영업_일1"/>
      <sheetName val="물량투입계획"/>
      <sheetName val="노무비"/>
      <sheetName val="차량별점검"/>
      <sheetName val="수입"/>
      <sheetName val="급여인상효과-연간부담분"/>
      <sheetName val="①매출"/>
      <sheetName val="매출예산96"/>
      <sheetName val="청"/>
      <sheetName val="아침햇쌀"/>
      <sheetName val="npv"/>
      <sheetName val="R&amp;D"/>
      <sheetName val="운전자금97총괄"/>
      <sheetName val="단가표(2006)"/>
      <sheetName val="표준도급비(2006)"/>
      <sheetName val="work"/>
      <sheetName val="문화센터"/>
      <sheetName val="세금계산서DB"/>
      <sheetName val="주말캐셔 펀칭수"/>
      <sheetName val="AS"/>
      <sheetName val="95하U$가격"/>
      <sheetName val="기안"/>
      <sheetName val="가수금대체"/>
      <sheetName val="본문"/>
      <sheetName val="단기차입금"/>
      <sheetName val="판관(용역)"/>
      <sheetName val="Revised PEGS98"/>
      <sheetName val="A4공장"/>
      <sheetName val="입력"/>
      <sheetName val="누계"/>
      <sheetName val="명부"/>
      <sheetName val="판가반영"/>
      <sheetName val="조정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대차대조표"/>
      <sheetName val="손익계산서"/>
      <sheetName val="제조원가"/>
      <sheetName val="대차대조표(배당금포함)"/>
      <sheetName val="대차대조표( 배당금제외)"/>
      <sheetName val="이익잉여금"/>
      <sheetName val="손익"/>
    </sheetNames>
    <sheetDataSet>
      <sheetData sheetId="0" refreshError="1"/>
      <sheetData sheetId="1" refreshError="1"/>
      <sheetData sheetId="2"/>
      <sheetData sheetId="3">
        <row r="49">
          <cell r="C49">
            <v>31649489621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  <sheetName val="제조원가"/>
    </sheetNames>
    <sheetDataSet>
      <sheetData sheetId="0"/>
      <sheetData sheetId="1"/>
      <sheetData sheetId="2"/>
      <sheetData sheetId="3">
        <row r="4">
          <cell r="G4">
            <v>4113300409</v>
          </cell>
        </row>
      </sheetData>
      <sheetData sheetId="4"/>
      <sheetData sheetId="5"/>
      <sheetData sheetId="6"/>
      <sheetData sheetId="7"/>
      <sheetData sheetId="8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2호의5"/>
      <sheetName val="3호"/>
      <sheetName val="4호(1)"/>
      <sheetName val="4호(2)"/>
      <sheetName val="5호"/>
      <sheetName val="6호"/>
      <sheetName val="7호(1)"/>
      <sheetName val="7호(2)"/>
      <sheetName val="9호"/>
      <sheetName val="10호"/>
      <sheetName val="11호"/>
      <sheetName val="11호의2"/>
      <sheetName val="11호의3"/>
      <sheetName val="11호의4"/>
      <sheetName val="12호-1쪽"/>
      <sheetName val="12호-2쪽"/>
      <sheetName val="12호의2"/>
      <sheetName val="13호"/>
      <sheetName val="14호"/>
      <sheetName val="16호"/>
      <sheetName val="16호-2쪽"/>
      <sheetName val="17호(1)"/>
      <sheetName val="17호(2)"/>
      <sheetName val="17호(3)"/>
      <sheetName val="17호(4)"/>
      <sheetName val="17호(5)"/>
      <sheetName val="18호"/>
      <sheetName val="18호의2"/>
      <sheetName val="19호"/>
      <sheetName val="20호"/>
      <sheetName val="20호의2(1)"/>
      <sheetName val="20호의2(2)"/>
      <sheetName val="20호의3(1)"/>
      <sheetName val="20호의3(2)"/>
      <sheetName val="20호의4"/>
      <sheetName val="20호의5"/>
      <sheetName val="20호의6"/>
      <sheetName val="20호의7"/>
      <sheetName val="21호의2"/>
      <sheetName val="22호"/>
      <sheetName val="23호"/>
      <sheetName val="43호"/>
      <sheetName val="COBS"/>
    </sheetNames>
    <sheetDataSet>
      <sheetData sheetId="0">
        <row r="6">
          <cell r="C6" t="str">
            <v>㈜세경멀티뱅크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단차 (2)"/>
      <sheetName val="회사정보"/>
    </sheetNames>
    <sheetDataSet>
      <sheetData sheetId="0"/>
      <sheetData sheetId="1"/>
      <sheetData sheetId="2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1현"/>
      <sheetName val="3-1"/>
      <sheetName val="3-2현"/>
      <sheetName val="3-2"/>
      <sheetName val="3-3현"/>
      <sheetName val="3-3"/>
      <sheetName val="3-4현"/>
      <sheetName val="3-4"/>
      <sheetName val="3-5현"/>
      <sheetName val="3-5"/>
      <sheetName val="3-6현"/>
      <sheetName val="3-6"/>
      <sheetName val="3-7현"/>
      <sheetName val="3-7"/>
      <sheetName val="3-8현"/>
      <sheetName val="3-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외상매입금"/>
      <sheetName val="관계외상매입"/>
      <sheetName val="지급어음"/>
      <sheetName val="단기차입금"/>
      <sheetName val="미지급금"/>
      <sheetName val="어음미지급"/>
      <sheetName val="선수금"/>
      <sheetName val="예수금"/>
      <sheetName val="미지급비용"/>
      <sheetName val="장기차입금"/>
      <sheetName val="금융리스"/>
      <sheetName val="충당금"/>
      <sheetName val="매출액"/>
      <sheetName val="제조원가"/>
      <sheetName val="용역원가"/>
      <sheetName val="감가상각비"/>
      <sheetName val="영업외수익"/>
      <sheetName val="영업외비용"/>
      <sheetName val="고정자산처분"/>
      <sheetName val="자본금"/>
      <sheetName val="부동산"/>
      <sheetName val="이사회결의서"/>
      <sheetName val="감사의견서"/>
      <sheetName val="주주명부&lt;끝&gt;"/>
      <sheetName val="수입"/>
      <sheetName val="Source"/>
      <sheetName val="LCGRAPH"/>
      <sheetName val="VData"/>
      <sheetName val="Data"/>
      <sheetName val="Sheet2"/>
      <sheetName val="Cognos Extract"/>
      <sheetName val="Ref Data"/>
      <sheetName val="관세"/>
      <sheetName val="PD Code"/>
      <sheetName val="WEEE"/>
      <sheetName val="Adm97"/>
      <sheetName val="IOPlan"/>
      <sheetName val="Input"/>
      <sheetName val="1.SUMMARY TB"/>
      <sheetName val="Core Data"/>
      <sheetName val="Stock Chart"/>
      <sheetName val="prdty"/>
      <sheetName val="DSO"/>
      <sheetName val="flashhistory"/>
      <sheetName val="Control"/>
      <sheetName val="List Sheet"/>
      <sheetName val="GlobalSAndIByPole"/>
      <sheetName val="PF"/>
      <sheetName val="R&amp;D"/>
      <sheetName val=" BC SUMMARY 2002"/>
      <sheetName val="Data_Coro"/>
      <sheetName val="97결산보고서2권"/>
      <sheetName val="Lists"/>
      <sheetName val="Fiscal calendar"/>
      <sheetName val="COST OF GOODS PROD.ETC "/>
      <sheetName val="DR95CFA '01"/>
      <sheetName val="5-Final Variable Table"/>
      <sheetName val="MACITRACKER"/>
      <sheetName val="FG Obsol"/>
      <sheetName val="GL Summary"/>
      <sheetName val="MCOE Final Slow"/>
      <sheetName val="QTR1"/>
      <sheetName val="QTR2"/>
      <sheetName val="QTR3"/>
      <sheetName val="QTR4"/>
      <sheetName val="Valid entries"/>
      <sheetName val="PSI"/>
      <sheetName val="Modality"/>
      <sheetName val="BC Estimate"/>
      <sheetName val="99NEWTP"/>
      <sheetName val="Sheet1"/>
      <sheetName val="Database"/>
      <sheetName val="Estimate Database"/>
      <sheetName val="Sales Jul 99"/>
      <sheetName val="SalesMargin___Sales"/>
      <sheetName val="단가정보"/>
      <sheetName val="Sorg_Georegion"/>
      <sheetName val="Summary"/>
      <sheetName val="FOT"/>
      <sheetName val="Reserve"/>
      <sheetName val="Sub-FOT"/>
      <sheetName val="Sub_Inventory"/>
      <sheetName val="Sub_Res"/>
      <sheetName val="3Q12"/>
      <sheetName val="주주명부_끝_"/>
      <sheetName val="Industry Classfication"/>
      <sheetName val="9-1차이내역"/>
      <sheetName val="영업외손익등"/>
      <sheetName val="W"/>
      <sheetName val="control sheet"/>
      <sheetName val="첨부1"/>
      <sheetName val="0-Basics"/>
      <sheetName val="2.1 전환분개 (PBC)_4Q"/>
      <sheetName val="Sheet3"/>
      <sheetName val="6F8"/>
      <sheetName val="경영비율 "/>
      <sheetName val="OT Details"/>
      <sheetName val="실적관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5">
          <cell r="A5" t="str">
            <v>GENERAL ELECTRIC CO.</v>
          </cell>
        </row>
        <row r="7">
          <cell r="A7" t="str">
            <v>삼  성  전  자(주)</v>
          </cell>
        </row>
        <row r="8">
          <cell r="A8" t="str">
            <v>삼  성  전  기(주)</v>
          </cell>
        </row>
        <row r="9">
          <cell r="A9" t="str">
            <v>삼성 항공 산업(주)</v>
          </cell>
        </row>
        <row r="10">
          <cell r="A10" t="str">
            <v>이      건      희</v>
          </cell>
        </row>
        <row r="11">
          <cell r="A11" t="str">
            <v>이      동      복</v>
          </cell>
        </row>
        <row r="12">
          <cell r="A12" t="str">
            <v>정      재      은</v>
          </cell>
        </row>
        <row r="13">
          <cell r="A13" t="str">
            <v>남      정      우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Sheet1 (2)"/>
      <sheetName val="Sheet1"/>
      <sheetName val="Sheet2"/>
      <sheetName val="Sheet3"/>
    </sheetNames>
    <sheetDataSet>
      <sheetData sheetId="0"/>
      <sheetData sheetId="1"/>
      <sheetData sheetId="2">
        <row r="3">
          <cell r="B3" t="str">
            <v>품목</v>
          </cell>
          <cell r="C3" t="str">
            <v>품명</v>
          </cell>
          <cell r="D3" t="str">
            <v>수량비고</v>
          </cell>
        </row>
        <row r="4">
          <cell r="B4" t="str">
            <v>00185</v>
          </cell>
          <cell r="C4" t="str">
            <v>PLP-SPP(YELOW)</v>
          </cell>
          <cell r="D4">
            <v>1</v>
          </cell>
        </row>
        <row r="5">
          <cell r="B5" t="str">
            <v>00227</v>
          </cell>
          <cell r="C5" t="str">
            <v>PE PIPE</v>
          </cell>
          <cell r="D5">
            <v>10</v>
          </cell>
        </row>
        <row r="6">
          <cell r="B6" t="str">
            <v>00227</v>
          </cell>
          <cell r="C6" t="str">
            <v>PE PIPE</v>
          </cell>
          <cell r="D6">
            <v>1</v>
          </cell>
        </row>
        <row r="7">
          <cell r="B7" t="str">
            <v>00227</v>
          </cell>
          <cell r="C7" t="str">
            <v>PE PIPE</v>
          </cell>
          <cell r="D7">
            <v>10</v>
          </cell>
        </row>
        <row r="8">
          <cell r="B8" t="str">
            <v>00229</v>
          </cell>
          <cell r="C8" t="str">
            <v>PE PIPE</v>
          </cell>
          <cell r="D8">
            <v>1</v>
          </cell>
        </row>
        <row r="9">
          <cell r="B9" t="str">
            <v>00230</v>
          </cell>
          <cell r="C9" t="str">
            <v>PE PIPE</v>
          </cell>
          <cell r="D9">
            <v>3</v>
          </cell>
        </row>
        <row r="10">
          <cell r="B10" t="str">
            <v>00309</v>
          </cell>
          <cell r="C10" t="str">
            <v>45-ELBEOW(P.E)</v>
          </cell>
          <cell r="D10">
            <v>1</v>
          </cell>
        </row>
        <row r="11">
          <cell r="B11" t="str">
            <v>00309</v>
          </cell>
          <cell r="C11" t="str">
            <v>45-ELBEOW(P.E)</v>
          </cell>
          <cell r="D11">
            <v>1</v>
          </cell>
        </row>
        <row r="12">
          <cell r="B12" t="str">
            <v>00312</v>
          </cell>
          <cell r="C12" t="str">
            <v>45-ELBEOW(P.E)</v>
          </cell>
          <cell r="D12">
            <v>2</v>
          </cell>
        </row>
        <row r="13">
          <cell r="B13" t="str">
            <v>00627</v>
          </cell>
          <cell r="C13" t="str">
            <v>SOCKET-ELECTRO(P.E)</v>
          </cell>
          <cell r="D13">
            <v>4</v>
          </cell>
        </row>
        <row r="14">
          <cell r="B14" t="str">
            <v>00584</v>
          </cell>
          <cell r="C14" t="str">
            <v>90-ELBOW(P.E)</v>
          </cell>
          <cell r="D14">
            <v>1</v>
          </cell>
        </row>
        <row r="15">
          <cell r="B15" t="str">
            <v>00584</v>
          </cell>
          <cell r="C15" t="str">
            <v>90-ELBOW(P.E)</v>
          </cell>
          <cell r="D15">
            <v>4</v>
          </cell>
        </row>
        <row r="16">
          <cell r="B16" t="str">
            <v>00586</v>
          </cell>
          <cell r="C16" t="str">
            <v>90-ELBOW(P.E)</v>
          </cell>
          <cell r="D16">
            <v>1</v>
          </cell>
        </row>
        <row r="17">
          <cell r="B17" t="str">
            <v>00627</v>
          </cell>
          <cell r="C17" t="str">
            <v>SOCKET-ELECTRO(P.E)</v>
          </cell>
          <cell r="D17">
            <v>1</v>
          </cell>
        </row>
        <row r="18">
          <cell r="B18" t="str">
            <v>00627</v>
          </cell>
          <cell r="C18" t="str">
            <v>SOCKET-ELECTRO(P.E)</v>
          </cell>
          <cell r="D18">
            <v>5</v>
          </cell>
        </row>
        <row r="19">
          <cell r="B19" t="str">
            <v>00628</v>
          </cell>
          <cell r="C19" t="str">
            <v>SOCKET-ELECTRO(P.E)</v>
          </cell>
          <cell r="D19">
            <v>2</v>
          </cell>
        </row>
        <row r="20">
          <cell r="B20" t="str">
            <v>00630</v>
          </cell>
          <cell r="C20" t="str">
            <v>SOCKET-ELECTRO(P.E)</v>
          </cell>
          <cell r="D20">
            <v>2</v>
          </cell>
        </row>
        <row r="21">
          <cell r="B21" t="str">
            <v>00630</v>
          </cell>
          <cell r="C21" t="str">
            <v>SOCKET-ELECTRO(P.E)</v>
          </cell>
          <cell r="D21">
            <v>2</v>
          </cell>
        </row>
        <row r="22">
          <cell r="B22" t="str">
            <v>00911</v>
          </cell>
          <cell r="C22" t="str">
            <v>TEE(P.E)</v>
          </cell>
          <cell r="D22">
            <v>1</v>
          </cell>
        </row>
        <row r="23">
          <cell r="B23" t="str">
            <v>00922</v>
          </cell>
          <cell r="C23" t="str">
            <v>TEE(P.E)</v>
          </cell>
          <cell r="D23">
            <v>1</v>
          </cell>
        </row>
        <row r="24">
          <cell r="B24" t="str">
            <v>00925</v>
          </cell>
          <cell r="C24" t="str">
            <v>TEE(P.E)</v>
          </cell>
          <cell r="D24">
            <v>1</v>
          </cell>
        </row>
        <row r="25">
          <cell r="B25" t="str">
            <v>00927</v>
          </cell>
          <cell r="C25" t="str">
            <v>TEE(P.E)</v>
          </cell>
          <cell r="D25">
            <v>1</v>
          </cell>
        </row>
        <row r="26">
          <cell r="B26" t="str">
            <v>00931</v>
          </cell>
          <cell r="C26" t="str">
            <v>TEE(P.E)</v>
          </cell>
          <cell r="D26">
            <v>1</v>
          </cell>
        </row>
        <row r="27">
          <cell r="B27" t="str">
            <v>00937</v>
          </cell>
          <cell r="C27" t="str">
            <v>SPLIT TEE</v>
          </cell>
          <cell r="D27">
            <v>1</v>
          </cell>
        </row>
        <row r="28">
          <cell r="B28" t="str">
            <v>01005</v>
          </cell>
          <cell r="C28" t="str">
            <v>CAP(P.E)</v>
          </cell>
          <cell r="D28">
            <v>1</v>
          </cell>
        </row>
        <row r="29">
          <cell r="B29" t="str">
            <v>01005</v>
          </cell>
          <cell r="C29" t="str">
            <v>CAP(P.E)</v>
          </cell>
          <cell r="D29">
            <v>1</v>
          </cell>
        </row>
        <row r="30">
          <cell r="B30" t="str">
            <v>01006</v>
          </cell>
          <cell r="C30" t="str">
            <v>CAP(P.E)</v>
          </cell>
          <cell r="D30">
            <v>2</v>
          </cell>
        </row>
        <row r="31">
          <cell r="B31" t="str">
            <v>01044</v>
          </cell>
          <cell r="C31" t="str">
            <v>TRANSITION/F(W)(S)</v>
          </cell>
          <cell r="D31">
            <v>1</v>
          </cell>
        </row>
        <row r="32">
          <cell r="B32" t="str">
            <v>01355</v>
          </cell>
          <cell r="C32" t="str">
            <v>P.E-SLEEVE</v>
          </cell>
          <cell r="D32">
            <v>2</v>
          </cell>
        </row>
        <row r="33">
          <cell r="B33" t="str">
            <v>01389</v>
          </cell>
          <cell r="C33" t="str">
            <v>PRIMER</v>
          </cell>
          <cell r="D33">
            <v>1</v>
          </cell>
        </row>
        <row r="34">
          <cell r="B34" t="str">
            <v>01390</v>
          </cell>
          <cell r="C34" t="str">
            <v>ANTI-CORR-TAPE #53</v>
          </cell>
          <cell r="D34">
            <v>4</v>
          </cell>
        </row>
        <row r="35">
          <cell r="B35" t="str">
            <v>01391</v>
          </cell>
          <cell r="C35" t="str">
            <v>MASTIC-TAPE#59</v>
          </cell>
          <cell r="D35">
            <v>3</v>
          </cell>
        </row>
        <row r="36">
          <cell r="B36" t="str">
            <v>01398</v>
          </cell>
          <cell r="C36" t="str">
            <v>STEEL PLATE</v>
          </cell>
          <cell r="D36">
            <v>1</v>
          </cell>
        </row>
        <row r="37">
          <cell r="B37" t="str">
            <v>01398</v>
          </cell>
          <cell r="C37" t="str">
            <v>STEEL PLATE</v>
          </cell>
          <cell r="D37">
            <v>2</v>
          </cell>
        </row>
        <row r="38">
          <cell r="B38" t="str">
            <v>01416</v>
          </cell>
          <cell r="C38" t="str">
            <v>LINE-MARK(NEW)</v>
          </cell>
          <cell r="D38">
            <v>1</v>
          </cell>
        </row>
        <row r="39">
          <cell r="B39" t="str">
            <v>01418</v>
          </cell>
          <cell r="C39" t="str">
            <v>LINE-MARK(NEW)</v>
          </cell>
          <cell r="D39">
            <v>1</v>
          </cell>
        </row>
        <row r="40">
          <cell r="B40" t="str">
            <v>01418</v>
          </cell>
          <cell r="C40" t="str">
            <v>LINE-MARK(NEW)</v>
          </cell>
          <cell r="D40">
            <v>2</v>
          </cell>
        </row>
        <row r="41">
          <cell r="B41" t="str">
            <v>01419</v>
          </cell>
          <cell r="C41" t="str">
            <v>LINE-MARK(NEW)</v>
          </cell>
          <cell r="D41">
            <v>1</v>
          </cell>
        </row>
        <row r="42">
          <cell r="B42" t="str">
            <v>01419</v>
          </cell>
          <cell r="C42" t="str">
            <v>LINE-MARK(NEW)</v>
          </cell>
          <cell r="D42">
            <v>1</v>
          </cell>
        </row>
        <row r="43">
          <cell r="B43" t="str">
            <v>02042</v>
          </cell>
          <cell r="C43" t="str">
            <v>VINYL-SHEET(YELLOW)</v>
          </cell>
          <cell r="D43">
            <v>1</v>
          </cell>
        </row>
        <row r="45">
          <cell r="B45" t="str">
            <v>00185</v>
          </cell>
          <cell r="C45" t="str">
            <v>PLP-SPP(YELOW)</v>
          </cell>
          <cell r="D45">
            <v>1</v>
          </cell>
        </row>
        <row r="46">
          <cell r="B46" t="str">
            <v>00227</v>
          </cell>
          <cell r="C46" t="str">
            <v>PE PIPE</v>
          </cell>
          <cell r="D46">
            <v>1</v>
          </cell>
        </row>
        <row r="47">
          <cell r="B47" t="str">
            <v>00227</v>
          </cell>
          <cell r="C47" t="str">
            <v>PE PIPE</v>
          </cell>
          <cell r="D47">
            <v>1</v>
          </cell>
        </row>
        <row r="48">
          <cell r="B48" t="str">
            <v>00227</v>
          </cell>
          <cell r="C48" t="str">
            <v>PE PIPE</v>
          </cell>
          <cell r="D48">
            <v>8</v>
          </cell>
        </row>
        <row r="49">
          <cell r="B49" t="str">
            <v>00227</v>
          </cell>
          <cell r="C49" t="str">
            <v>PE PIPE</v>
          </cell>
          <cell r="D49">
            <v>2</v>
          </cell>
        </row>
        <row r="50">
          <cell r="B50" t="str">
            <v>00227</v>
          </cell>
          <cell r="C50" t="str">
            <v>PE PIPE</v>
          </cell>
          <cell r="D50">
            <v>1</v>
          </cell>
        </row>
        <row r="51">
          <cell r="B51" t="str">
            <v>00227</v>
          </cell>
          <cell r="C51" t="str">
            <v>PE PIPE</v>
          </cell>
          <cell r="D51">
            <v>3</v>
          </cell>
        </row>
        <row r="52">
          <cell r="B52" t="str">
            <v>00227</v>
          </cell>
          <cell r="C52" t="str">
            <v>PE PIPE</v>
          </cell>
          <cell r="D52">
            <v>4</v>
          </cell>
        </row>
        <row r="53">
          <cell r="B53" t="str">
            <v>00230</v>
          </cell>
          <cell r="C53" t="str">
            <v>PE PIPE</v>
          </cell>
          <cell r="D53">
            <v>3</v>
          </cell>
        </row>
        <row r="54">
          <cell r="B54" t="str">
            <v>00249</v>
          </cell>
          <cell r="C54" t="str">
            <v>45-ELBEOW(P.E)</v>
          </cell>
          <cell r="D54">
            <v>1</v>
          </cell>
        </row>
        <row r="55">
          <cell r="B55" t="str">
            <v>00249</v>
          </cell>
          <cell r="C55" t="str">
            <v>45-ELBEOW(P.E)</v>
          </cell>
          <cell r="D55">
            <v>1</v>
          </cell>
        </row>
        <row r="56">
          <cell r="B56" t="str">
            <v>00311</v>
          </cell>
          <cell r="C56" t="str">
            <v>45-ELBEOW(P.E)</v>
          </cell>
          <cell r="D56">
            <v>1</v>
          </cell>
        </row>
        <row r="57">
          <cell r="B57" t="str">
            <v>00311</v>
          </cell>
          <cell r="C57" t="str">
            <v>45-ELBEOW(P.E)</v>
          </cell>
          <cell r="D57">
            <v>1</v>
          </cell>
        </row>
        <row r="58">
          <cell r="B58" t="str">
            <v>00584</v>
          </cell>
          <cell r="C58" t="str">
            <v>90-ELBOW(P.E)</v>
          </cell>
          <cell r="D58">
            <v>1</v>
          </cell>
        </row>
        <row r="59">
          <cell r="B59" t="str">
            <v>00584</v>
          </cell>
          <cell r="C59" t="str">
            <v>90-ELBOW(P.E)</v>
          </cell>
          <cell r="D59">
            <v>2</v>
          </cell>
        </row>
        <row r="60">
          <cell r="B60" t="str">
            <v>00586</v>
          </cell>
          <cell r="C60" t="str">
            <v>90-ELBOW(P.E)</v>
          </cell>
          <cell r="D60">
            <v>1</v>
          </cell>
        </row>
        <row r="61">
          <cell r="B61" t="str">
            <v>00586</v>
          </cell>
          <cell r="C61" t="str">
            <v>90-ELBOW(P.E)</v>
          </cell>
          <cell r="D61">
            <v>1</v>
          </cell>
        </row>
        <row r="62">
          <cell r="B62" t="str">
            <v>00587</v>
          </cell>
          <cell r="C62" t="str">
            <v>90-ELBOW(P.E)</v>
          </cell>
          <cell r="D62">
            <v>1</v>
          </cell>
        </row>
        <row r="63">
          <cell r="B63" t="str">
            <v>00587</v>
          </cell>
          <cell r="C63" t="str">
            <v>90-ELBOW(P.E)</v>
          </cell>
          <cell r="D63">
            <v>1</v>
          </cell>
        </row>
        <row r="64">
          <cell r="B64" t="str">
            <v>00627</v>
          </cell>
          <cell r="C64" t="str">
            <v>SOCKET-ELECTRO(P.E)</v>
          </cell>
          <cell r="D64">
            <v>1</v>
          </cell>
        </row>
        <row r="65">
          <cell r="B65" t="str">
            <v>00627</v>
          </cell>
          <cell r="C65" t="str">
            <v>SOCKET-ELECTRO(P.E)</v>
          </cell>
          <cell r="D65">
            <v>1</v>
          </cell>
        </row>
        <row r="66">
          <cell r="B66" t="str">
            <v>00627</v>
          </cell>
          <cell r="C66" t="str">
            <v>SOCKET-ELECTRO(P.E)</v>
          </cell>
          <cell r="D66">
            <v>1</v>
          </cell>
        </row>
        <row r="67">
          <cell r="B67" t="str">
            <v>00627</v>
          </cell>
          <cell r="C67" t="str">
            <v>SOCKET-ELECTRO(P.E)</v>
          </cell>
          <cell r="D67">
            <v>1</v>
          </cell>
        </row>
        <row r="68">
          <cell r="B68" t="str">
            <v>00627</v>
          </cell>
          <cell r="C68" t="str">
            <v>SOCKET-ELECTRO(P.E)</v>
          </cell>
          <cell r="D68">
            <v>3</v>
          </cell>
        </row>
        <row r="69">
          <cell r="B69" t="str">
            <v>00627</v>
          </cell>
          <cell r="C69" t="str">
            <v>SOCKET-ELECTRO(P.E)</v>
          </cell>
          <cell r="D69">
            <v>1</v>
          </cell>
        </row>
        <row r="70">
          <cell r="B70" t="str">
            <v>00628</v>
          </cell>
          <cell r="C70" t="str">
            <v>SOCKET-ELECTRO(P.E)</v>
          </cell>
          <cell r="D70">
            <v>1</v>
          </cell>
        </row>
        <row r="71">
          <cell r="B71" t="str">
            <v>00628</v>
          </cell>
          <cell r="C71" t="str">
            <v>SOCKET-ELECTRO(P.E)</v>
          </cell>
          <cell r="D71">
            <v>1</v>
          </cell>
        </row>
        <row r="72">
          <cell r="B72" t="str">
            <v>00628</v>
          </cell>
          <cell r="C72" t="str">
            <v>SOCKET-ELECTRO(P.E)</v>
          </cell>
          <cell r="D72">
            <v>3</v>
          </cell>
        </row>
        <row r="73">
          <cell r="B73" t="str">
            <v>00629</v>
          </cell>
          <cell r="C73" t="str">
            <v>SOCKET-ELECTRO(P.E)</v>
          </cell>
          <cell r="D73">
            <v>1</v>
          </cell>
        </row>
        <row r="74">
          <cell r="B74" t="str">
            <v>00629</v>
          </cell>
          <cell r="C74" t="str">
            <v>SOCKET-ELECTRO(P.E)</v>
          </cell>
          <cell r="D74">
            <v>3</v>
          </cell>
        </row>
        <row r="75">
          <cell r="B75" t="str">
            <v>00630</v>
          </cell>
          <cell r="C75" t="str">
            <v>SOCKET-ELECTRO(P.E)</v>
          </cell>
          <cell r="D75">
            <v>1</v>
          </cell>
        </row>
        <row r="76">
          <cell r="B76" t="str">
            <v>00630</v>
          </cell>
          <cell r="C76" t="str">
            <v>SOCKET-ELECTRO(P.E)</v>
          </cell>
          <cell r="D76">
            <v>1</v>
          </cell>
        </row>
        <row r="77">
          <cell r="B77" t="str">
            <v>00630</v>
          </cell>
          <cell r="C77" t="str">
            <v>SOCKET-ELECTRO(P.E)</v>
          </cell>
          <cell r="D77">
            <v>2</v>
          </cell>
        </row>
        <row r="78">
          <cell r="B78" t="str">
            <v>00746</v>
          </cell>
          <cell r="C78" t="str">
            <v>TEE(P.E)</v>
          </cell>
          <cell r="D78">
            <v>1</v>
          </cell>
        </row>
        <row r="79">
          <cell r="B79" t="str">
            <v>00746</v>
          </cell>
          <cell r="C79" t="str">
            <v>TEE(P.E)</v>
          </cell>
          <cell r="D79">
            <v>1</v>
          </cell>
        </row>
        <row r="80">
          <cell r="B80" t="str">
            <v>00911</v>
          </cell>
          <cell r="C80" t="str">
            <v>TEE(P.E)</v>
          </cell>
          <cell r="D80">
            <v>1</v>
          </cell>
        </row>
        <row r="81">
          <cell r="B81" t="str">
            <v>00938</v>
          </cell>
          <cell r="C81" t="str">
            <v>SPLIT TEE</v>
          </cell>
          <cell r="D81">
            <v>1</v>
          </cell>
        </row>
        <row r="82">
          <cell r="B82" t="str">
            <v>01005</v>
          </cell>
          <cell r="C82" t="str">
            <v>CAP(P.E)</v>
          </cell>
          <cell r="D82">
            <v>1</v>
          </cell>
        </row>
        <row r="83">
          <cell r="B83" t="str">
            <v>01389</v>
          </cell>
          <cell r="C83" t="str">
            <v>PRIMER</v>
          </cell>
          <cell r="D83">
            <v>1</v>
          </cell>
        </row>
        <row r="84">
          <cell r="B84" t="str">
            <v>01390</v>
          </cell>
          <cell r="C84" t="str">
            <v>ANTI-CORR-TAPE #53</v>
          </cell>
          <cell r="D84">
            <v>4</v>
          </cell>
        </row>
        <row r="85">
          <cell r="B85" t="str">
            <v>01391</v>
          </cell>
          <cell r="C85" t="str">
            <v>MASTIC-TAPE#59</v>
          </cell>
          <cell r="D85">
            <v>3</v>
          </cell>
        </row>
        <row r="86">
          <cell r="B86" t="str">
            <v>01396</v>
          </cell>
          <cell r="C86" t="str">
            <v>VINYL-SHEET(YELLOW)</v>
          </cell>
          <cell r="D86">
            <v>1</v>
          </cell>
        </row>
        <row r="87">
          <cell r="B87" t="str">
            <v>01399</v>
          </cell>
          <cell r="C87" t="str">
            <v>STEEL PLATE</v>
          </cell>
          <cell r="D87">
            <v>15</v>
          </cell>
        </row>
        <row r="88">
          <cell r="B88" t="str">
            <v>01399</v>
          </cell>
          <cell r="C88" t="str">
            <v>STEEL PLATE</v>
          </cell>
          <cell r="D88">
            <v>9</v>
          </cell>
        </row>
        <row r="89">
          <cell r="B89" t="str">
            <v>01399</v>
          </cell>
          <cell r="C89" t="str">
            <v>STEEL PLATE</v>
          </cell>
          <cell r="D89">
            <v>3</v>
          </cell>
        </row>
        <row r="90">
          <cell r="B90" t="str">
            <v>01416</v>
          </cell>
          <cell r="C90" t="str">
            <v>LINE-MARK(NEW)</v>
          </cell>
          <cell r="D90">
            <v>1</v>
          </cell>
        </row>
        <row r="91">
          <cell r="B91" t="str">
            <v>01416</v>
          </cell>
          <cell r="C91" t="str">
            <v>LINE-MARK(NEW)</v>
          </cell>
          <cell r="D91">
            <v>2</v>
          </cell>
        </row>
        <row r="92">
          <cell r="B92" t="str">
            <v>01416</v>
          </cell>
          <cell r="C92" t="str">
            <v>LINE-MARK(NEW)</v>
          </cell>
          <cell r="D92">
            <v>35</v>
          </cell>
        </row>
        <row r="93">
          <cell r="B93" t="str">
            <v>01416</v>
          </cell>
          <cell r="C93" t="str">
            <v>LINE-MARK(NEW)</v>
          </cell>
          <cell r="D93">
            <v>8</v>
          </cell>
        </row>
        <row r="94">
          <cell r="B94" t="str">
            <v>01417</v>
          </cell>
          <cell r="C94" t="str">
            <v>LINE-MARK(NEW)</v>
          </cell>
          <cell r="D94">
            <v>11</v>
          </cell>
        </row>
        <row r="95">
          <cell r="B95" t="str">
            <v>01417</v>
          </cell>
          <cell r="C95" t="str">
            <v>LINE-MARK(NEW)</v>
          </cell>
          <cell r="D95">
            <v>1</v>
          </cell>
        </row>
        <row r="96">
          <cell r="B96" t="str">
            <v>01417</v>
          </cell>
          <cell r="C96" t="str">
            <v>LINE-MARK(NEW)</v>
          </cell>
          <cell r="D96">
            <v>1</v>
          </cell>
        </row>
        <row r="97">
          <cell r="B97" t="str">
            <v>01417</v>
          </cell>
          <cell r="C97" t="str">
            <v>LINE-MARK(NEW)</v>
          </cell>
          <cell r="D97">
            <v>8</v>
          </cell>
        </row>
        <row r="98">
          <cell r="B98" t="str">
            <v>01418</v>
          </cell>
          <cell r="C98" t="str">
            <v>LINE-MARK(NEW)</v>
          </cell>
          <cell r="D98">
            <v>14</v>
          </cell>
        </row>
        <row r="99">
          <cell r="B99" t="str">
            <v>01418</v>
          </cell>
          <cell r="C99" t="str">
            <v>LINE-MARK(NEW)</v>
          </cell>
          <cell r="D99">
            <v>4</v>
          </cell>
        </row>
        <row r="100">
          <cell r="B100" t="str">
            <v>01418</v>
          </cell>
          <cell r="C100" t="str">
            <v>LINE-MARK(NEW)</v>
          </cell>
          <cell r="D100">
            <v>1</v>
          </cell>
        </row>
        <row r="101">
          <cell r="B101" t="str">
            <v>01418</v>
          </cell>
          <cell r="C101" t="str">
            <v>LINE-MARK(NEW)</v>
          </cell>
          <cell r="D101">
            <v>1</v>
          </cell>
        </row>
        <row r="102">
          <cell r="B102" t="str">
            <v>01418</v>
          </cell>
          <cell r="C102" t="str">
            <v>LINE-MARK(NEW)</v>
          </cell>
          <cell r="D102">
            <v>2</v>
          </cell>
        </row>
        <row r="103">
          <cell r="B103" t="str">
            <v>01419</v>
          </cell>
          <cell r="C103" t="str">
            <v>LINE-MARK(NEW)</v>
          </cell>
          <cell r="D103">
            <v>2</v>
          </cell>
        </row>
        <row r="104">
          <cell r="B104" t="str">
            <v>01419</v>
          </cell>
          <cell r="C104" t="str">
            <v>LINE-MARK(NEW)</v>
          </cell>
          <cell r="D104">
            <v>3</v>
          </cell>
        </row>
        <row r="105">
          <cell r="B105" t="str">
            <v>01419</v>
          </cell>
          <cell r="C105" t="str">
            <v>LINE-MARK(NEW)</v>
          </cell>
          <cell r="D105">
            <v>1</v>
          </cell>
        </row>
        <row r="106">
          <cell r="B106" t="str">
            <v>01419</v>
          </cell>
          <cell r="C106" t="str">
            <v>LINE-MARK(NEW)</v>
          </cell>
          <cell r="D106">
            <v>1</v>
          </cell>
        </row>
        <row r="107">
          <cell r="B107" t="str">
            <v>01852</v>
          </cell>
          <cell r="C107" t="str">
            <v>LINE-MARK(NEW)</v>
          </cell>
          <cell r="D107">
            <v>4</v>
          </cell>
        </row>
        <row r="108">
          <cell r="B108" t="str">
            <v>01852</v>
          </cell>
          <cell r="C108" t="str">
            <v>LINE-MARK(NEW)</v>
          </cell>
          <cell r="D108">
            <v>1</v>
          </cell>
        </row>
        <row r="109">
          <cell r="B109" t="str">
            <v>01963</v>
          </cell>
          <cell r="C109" t="str">
            <v>TEST BOX(C)</v>
          </cell>
          <cell r="D109">
            <v>5</v>
          </cell>
        </row>
        <row r="110">
          <cell r="B110" t="str">
            <v>01963</v>
          </cell>
          <cell r="C110" t="str">
            <v>TEST BOX(C)</v>
          </cell>
          <cell r="D110">
            <v>3</v>
          </cell>
        </row>
        <row r="111">
          <cell r="B111" t="str">
            <v>02042</v>
          </cell>
          <cell r="C111" t="str">
            <v>VINYL-SHEET(YELLOW)</v>
          </cell>
          <cell r="D111">
            <v>1</v>
          </cell>
        </row>
      </sheetData>
      <sheetData sheetId="3"/>
      <sheetData sheetId="4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재공품현황요약표"/>
      <sheetName val="재공품총괄표"/>
      <sheetName val="2007.10.30재공품 실사현황 "/>
      <sheetName val="재고보유자산"/>
      <sheetName val="JDP 현황"/>
      <sheetName val="비용화대상자산"/>
      <sheetName val="확인필요자산"/>
      <sheetName val="Sheet2"/>
      <sheetName val="Sheet3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7">
          <cell r="B7" t="str">
            <v>Y05RA130</v>
          </cell>
        </row>
      </sheetData>
      <sheetData sheetId="9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자료"/>
      <sheetName val="수입조정명세"/>
      <sheetName val="수입조정"/>
      <sheetName val="98준공"/>
      <sheetName val="진행수입"/>
      <sheetName val="퇴충"/>
      <sheetName val="대충"/>
      <sheetName val="명세"/>
      <sheetName val="접대비(갑)"/>
      <sheetName val="접대비(을)"/>
      <sheetName val="접대비(병)"/>
      <sheetName val="정액"/>
      <sheetName val="정율"/>
      <sheetName val="재고평가"/>
      <sheetName val="세금공과"/>
      <sheetName val="선급비용"/>
      <sheetName val="기부명세"/>
      <sheetName val="Sheet3"/>
      <sheetName val="발생집계"/>
      <sheetName val="월할경비"/>
    </sheetNames>
    <sheetDataSet>
      <sheetData sheetId="0">
        <row r="3">
          <cell r="C3" t="str">
            <v>벽산개발(주)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발생집계"/>
      <sheetName val="Sheet3"/>
      <sheetName val="차이내역(1)"/>
      <sheetName val="발생차이"/>
      <sheetName val="경기자사건물"/>
      <sheetName val="비배관첨부내역"/>
      <sheetName val="비배관내역"/>
      <sheetName val="감가상각내용년수"/>
      <sheetName val="제출자료"/>
      <sheetName val="공급설비명세 (2)"/>
      <sheetName val="대체"/>
      <sheetName val="직접비발생"/>
      <sheetName val="94년간접비"/>
      <sheetName val="94직접비"/>
      <sheetName val="95년간접비"/>
      <sheetName val="95직접비"/>
      <sheetName val="96년간접비"/>
      <sheetName val="96년직접비"/>
      <sheetName val="97년비배관"/>
      <sheetName val="97년간접비"/>
      <sheetName val="97년직접비"/>
      <sheetName val="98상반기대체"/>
      <sheetName val="Sheet7"/>
      <sheetName val="내역1"/>
      <sheetName val="basic_info"/>
      <sheetName val="BM_NEW2"/>
      <sheetName val="대차대조표"/>
      <sheetName val="2004년하반기 경평반영_민원반영영업점"/>
      <sheetName val="공급설비"/>
      <sheetName val="보증금(전신전화가입권)"/>
      <sheetName val="총괄원장"/>
      <sheetName val="손익"/>
      <sheetName val="Menu_Link"/>
      <sheetName val="10.31"/>
      <sheetName val="받을어음"/>
      <sheetName val="손익계산서"/>
      <sheetName val="계수원본(99.2.28)"/>
      <sheetName val="연체대출"/>
      <sheetName val="대차"/>
      <sheetName val="#REF"/>
      <sheetName val="Sheet2"/>
      <sheetName val="인력(정규직)"/>
      <sheetName val="control sheet"/>
      <sheetName val="LIST"/>
      <sheetName val="Macro3"/>
      <sheetName val="대외공문"/>
      <sheetName val="원평사_2005_"/>
      <sheetName val="TEMP1"/>
      <sheetName val="공통"/>
      <sheetName val="수정시산표"/>
      <sheetName val="회사제시"/>
      <sheetName val="주주명부&lt;끝&gt;"/>
      <sheetName val="시산표"/>
      <sheetName val="COBS"/>
      <sheetName val="Template"/>
      <sheetName val="P.L"/>
      <sheetName val="Data"/>
      <sheetName val="입력"/>
      <sheetName val="공통가설"/>
      <sheetName val="summary"/>
      <sheetName val="Links"/>
      <sheetName val="주간기성"/>
      <sheetName val="협조전"/>
      <sheetName val="상품입고집계"/>
      <sheetName val="95하U$가격"/>
      <sheetName val="A1"/>
      <sheetName val="95WBS"/>
      <sheetName val="현금흐름표"/>
      <sheetName val="반제품"/>
      <sheetName val="재공품"/>
      <sheetName val="타과목"/>
      <sheetName val="지역개발"/>
      <sheetName val="품목코드"/>
      <sheetName val="제품(수출)매출"/>
      <sheetName val="상품보조수불"/>
      <sheetName val="제조원가계산서 (2)"/>
      <sheetName val="제품입고(생산)"/>
      <sheetName val="IN"/>
      <sheetName val="보증금_전신전화가입권_"/>
      <sheetName val="Ctrl"/>
      <sheetName val="기흥진행률"/>
      <sheetName val="유가증권현황"/>
      <sheetName val="상환익(2001년도)"/>
      <sheetName val="통합건전성별분류(0201)"/>
      <sheetName val="통합지보건전성(0201)"/>
      <sheetName val="대차대조"/>
      <sheetName val="미비용95"/>
      <sheetName val="공급설비명세_(2)"/>
      <sheetName val="계수원본(99_2_28)"/>
      <sheetName val="2004년하반기_경평반영_민원반영영업점"/>
      <sheetName val="10_31"/>
      <sheetName val="control_sheet"/>
      <sheetName val="Sheet9"/>
      <sheetName val="CAUDIT"/>
      <sheetName val="경영비율 "/>
      <sheetName val="기계(2)"/>
      <sheetName val="Sheet1"/>
      <sheetName val="공급설비발생내역"/>
      <sheetName val="노무비단가"/>
      <sheetName val="9703"/>
      <sheetName val="원가"/>
      <sheetName val="유일형"/>
      <sheetName val="11.17-11.23"/>
      <sheetName val="11.24-11.30"/>
      <sheetName val="admin"/>
      <sheetName val="A10"/>
      <sheetName val="이자율"/>
      <sheetName val="K1"/>
      <sheetName val="샤워실위생"/>
      <sheetName val="한강운반비"/>
      <sheetName val="수량집계"/>
      <sheetName val="총괄집계표"/>
      <sheetName val="대환취급"/>
      <sheetName val="잉여금"/>
      <sheetName val="장부미수"/>
      <sheetName val="생산직"/>
      <sheetName val="98년이전원본"/>
      <sheetName val="월말마감"/>
      <sheetName val="SMCB9617145"/>
      <sheetName val="(바)신탁대차"/>
      <sheetName val="(사)신탁손익"/>
      <sheetName val="부서실적"/>
      <sheetName val="당좌자산명세"/>
      <sheetName val="명세"/>
      <sheetName val="매출채권(외출)"/>
      <sheetName val="93상각비"/>
      <sheetName val="인상안"/>
      <sheetName val="현금예금"/>
      <sheetName val="미착기계"/>
      <sheetName val="IDONG"/>
      <sheetName val="Ns0xa"/>
      <sheetName val="5500"/>
      <sheetName val="WPL"/>
      <sheetName val="10월판관"/>
      <sheetName val="정기적금"/>
      <sheetName val="3-4현"/>
      <sheetName val="3-3현"/>
      <sheetName val="별제권_정리담보권"/>
      <sheetName val="별제권_정리담보권1"/>
      <sheetName val="적용환율"/>
      <sheetName val="보유어음"/>
      <sheetName val="SALE"/>
      <sheetName val="업체손실공수.xls"/>
      <sheetName val="Info"/>
      <sheetName val="Option"/>
      <sheetName val="월간"/>
      <sheetName val="대구은행"/>
      <sheetName val="E1020"/>
      <sheetName val="지우기"/>
      <sheetName val="未完工合同成本设备"/>
      <sheetName val="预付款项RMB租金"/>
      <sheetName val="长期其他应收款"/>
      <sheetName val="U3.1"/>
      <sheetName val="공급설비명세_(2)1"/>
      <sheetName val="2004년하반기_경평반영_민원반영영업점1"/>
      <sheetName val="계수원본(99_2_28)1"/>
      <sheetName val="10_311"/>
      <sheetName val="control_sheet1"/>
      <sheetName val="P_L"/>
      <sheetName val="제조원가계산서_(2)"/>
      <sheetName val="대손충당금"/>
      <sheetName val="관세"/>
      <sheetName val="분당임차변경"/>
      <sheetName val="반도체"/>
      <sheetName val="계정code"/>
      <sheetName val="AC377_별도BS"/>
      <sheetName val="Check"/>
      <sheetName val="FYP_國泰比較"/>
      <sheetName val="미지급금"/>
      <sheetName val="선급금"/>
      <sheetName val="선수금"/>
      <sheetName val="단기차입금"/>
      <sheetName val="외화보통예금"/>
      <sheetName val="외회외상매입금"/>
      <sheetName val="외화외상매출금"/>
      <sheetName val="장기차입금"/>
      <sheetName val="영업소별미수금현황(Old)"/>
      <sheetName val="주소"/>
      <sheetName val="2018년 입력 콤보박스"/>
      <sheetName val="MBNBSMTR"/>
      <sheetName val="이름표"/>
      <sheetName val="업무분장 "/>
      <sheetName val="은행"/>
      <sheetName val="支払明細"/>
      <sheetName val="科目ﾘｽﾄ"/>
      <sheetName val="検針結果"/>
      <sheetName val="BSISver6.4"/>
      <sheetName val="NA"/>
      <sheetName val="A３新収益"/>
      <sheetName val="未収保険料&amp;未払手数料"/>
      <sheetName val="외상매출금현황-수정분 A2"/>
      <sheetName val="Setup"/>
      <sheetName val="비품"/>
      <sheetName val="경영비율_"/>
      <sheetName val="11_17-11_23"/>
      <sheetName val="11_24-11_30"/>
      <sheetName val="선급미지급비용"/>
      <sheetName val="Source"/>
      <sheetName val="성적표96"/>
      <sheetName val="해창정"/>
      <sheetName val="해피콜"/>
      <sheetName val="모델"/>
      <sheetName val="목표세부명세"/>
      <sheetName val="아파트진행률"/>
      <sheetName val="표준대차대조표(1)"/>
      <sheetName val="합계잔액시산표"/>
      <sheetName val="98년BS"/>
      <sheetName val="T48a"/>
      <sheetName val="건설중인"/>
      <sheetName val="재료비"/>
      <sheetName val="경비"/>
      <sheetName val="1-(1)생산량"/>
      <sheetName val="미국"/>
      <sheetName val="HP1AMLIST"/>
      <sheetName val="EBITDA"/>
      <sheetName val="5월"/>
      <sheetName val="CODE"/>
      <sheetName val="공급설비명세_(2)2"/>
      <sheetName val="2004년하반기_경평반영_민원반영영업점2"/>
      <sheetName val="계수원본(99_2_28)2"/>
      <sheetName val="10_312"/>
      <sheetName val="control_sheet2"/>
      <sheetName val="P_L1"/>
      <sheetName val="제조원가계산서_(2)1"/>
      <sheetName val="업체손실공수_xls"/>
      <sheetName val="UTMBPL"/>
      <sheetName val="화재보험가입내역(종류별)"/>
      <sheetName val=""/>
      <sheetName val="IS Summary-96"/>
      <sheetName val="N賃率-職"/>
      <sheetName val="관리1"/>
      <sheetName val="U3_1"/>
      <sheetName val="외상매출금현황-수정분_A2"/>
      <sheetName val="BSISver6_4"/>
      <sheetName val="업무분장_"/>
      <sheetName val="산출"/>
      <sheetName val="00.09"/>
      <sheetName val="SO416"/>
      <sheetName val="추정제조경비"/>
      <sheetName val="점수계산1-2"/>
      <sheetName val="노동부"/>
      <sheetName val="FAB별"/>
      <sheetName val="XREF"/>
      <sheetName val="외상매출금"/>
      <sheetName val="I一般比"/>
      <sheetName val="Data&amp;Result"/>
      <sheetName val="BS(Detail)"/>
      <sheetName val="근로영수증"/>
      <sheetName val="대분류2212"/>
      <sheetName val="단가표"/>
      <sheetName val="5사남"/>
      <sheetName val="일위대가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외화"/>
      <sheetName val="13역무손익"/>
      <sheetName val="자재표"/>
      <sheetName val="율표"/>
      <sheetName val="발전사명"/>
      <sheetName val="부도어음관리현황1"/>
      <sheetName val="퇴직급여충당금명세서"/>
      <sheetName val="D1300 자삽"/>
      <sheetName val="퇴직급여충당금"/>
      <sheetName val="2018매출"/>
      <sheetName val="2017매출"/>
      <sheetName val="A-4"/>
      <sheetName val="시설물일위"/>
      <sheetName val="회사정보"/>
      <sheetName val="일반전기C"/>
      <sheetName val="총괄갑 "/>
      <sheetName val="MEMO"/>
      <sheetName val="22390-539"/>
      <sheetName val="치솔대"/>
      <sheetName val="페널티"/>
      <sheetName val="배스트화성출하"/>
      <sheetName val="양양산업"/>
      <sheetName val="개발비"/>
      <sheetName val="기타"/>
      <sheetName val="단가소급"/>
      <sheetName val="단가원본"/>
      <sheetName val="산업4월단가조정"/>
      <sheetName val="차량(구)"/>
      <sheetName val="한계원가"/>
      <sheetName val="analysis"/>
      <sheetName val="forming price"/>
      <sheetName val="method"/>
      <sheetName val="9612-D2"/>
      <sheetName val="DIVP_L 1998"/>
      <sheetName val="整理後資料"/>
      <sheetName val="경영비율_1"/>
      <sheetName val="11_17-11_231"/>
      <sheetName val="11_24-11_301"/>
      <sheetName val="2018년_입력_콤보박스"/>
      <sheetName val="IS_Summary-96"/>
      <sheetName val="RV미수수익보정"/>
      <sheetName val="불균등-거치외(미수)"/>
      <sheetName val="불균등-TOP(선수)"/>
      <sheetName val="재무.17.충당금 명세서"/>
      <sheetName val="卖场清单"/>
      <sheetName val="Trich lap cac quy"/>
      <sheetName val="덕전리"/>
      <sheetName val="조서및연장산출"/>
      <sheetName val="배수공수량"/>
      <sheetName val="암거공수량집계"/>
      <sheetName val="횡배수공집계"/>
      <sheetName val="수로관및집수정수량집계"/>
      <sheetName val="횡배수토공(P.E,BOX) "/>
      <sheetName val="수로관및집수정"/>
      <sheetName val="지수벽 및 파라피트"/>
      <sheetName val="암거수량"/>
      <sheetName val="암거날개벽수량"/>
      <sheetName val="암거날개벽토공"/>
      <sheetName val="횡배수관날개벽"/>
      <sheetName val="횡배수관날개벽잔토 "/>
      <sheetName val="횡배수관날개벽수량표"/>
      <sheetName val="횡배수관날개벽잔토산식치수표"/>
      <sheetName val="토적계산서"/>
      <sheetName val="포장자재수량집계"/>
      <sheetName val="콘크리트포장"/>
      <sheetName val="토사측구"/>
      <sheetName val="표 지 "/>
      <sheetName val="자재집계"/>
      <sheetName val="토공집계"/>
      <sheetName val="총괄자재집계"/>
      <sheetName val="암거날개벽수량(1.5M)"/>
      <sheetName val="암거날개벽토공(1.5)"/>
      <sheetName val="토공집계(소계)"/>
      <sheetName val="관급자재대"/>
      <sheetName val="면벽수량"/>
      <sheetName val="흄관(보호)(1연)"/>
      <sheetName val="흄관 보호토공(1연)"/>
      <sheetName val="난간벽단위"/>
      <sheetName val="포장공"/>
      <sheetName val="토공"/>
      <sheetName val="배수공"/>
      <sheetName val="날개벽수량표"/>
      <sheetName val="98수문일위"/>
      <sheetName val="암거"/>
      <sheetName val="000000"/>
      <sheetName val="설계서(동안동)"/>
      <sheetName val="산출근거 "/>
      <sheetName val="T13(P68~72,78)"/>
      <sheetName val="MYUN(MAC)"/>
      <sheetName val="이자수익1"/>
      <sheetName val="송전기본"/>
      <sheetName val="배서어음명세서"/>
      <sheetName val="건설중인자산(기타)"/>
      <sheetName val="MS-PL"/>
      <sheetName val="공급설비명세_(2)3"/>
      <sheetName val="2004년하반기_경평반영_민원반영영업점3"/>
      <sheetName val="계수원본(99_2_28)3"/>
      <sheetName val="10_313"/>
      <sheetName val="control_sheet3"/>
      <sheetName val="제조원가계산서_(2)2"/>
      <sheetName val="P_L2"/>
      <sheetName val="경영비율_2"/>
      <sheetName val="11_17-11_232"/>
      <sheetName val="11_24-11_302"/>
      <sheetName val="업체손실공수_xls1"/>
      <sheetName val="U3_11"/>
      <sheetName val="BSISver6_41"/>
      <sheetName val="외상매출금현황-수정분_A21"/>
      <sheetName val="업무분장_1"/>
      <sheetName val="2018년_입력_콤보박스1"/>
      <sheetName val="IS_Summary-961"/>
      <sheetName val="00_09"/>
      <sheetName val="D1300_자삽"/>
      <sheetName val="총괄갑_"/>
      <sheetName val="forming_price"/>
      <sheetName val="DIVP_L_1998"/>
      <sheetName val="Notes"/>
      <sheetName val="A_E&amp;P Cal &amp; Schedules====&gt;"/>
      <sheetName val="A_1-Bermuda LP Con E&amp;P_Euro"/>
      <sheetName val="A_2-Sep Com E&amp;P_Local Cur Net "/>
      <sheetName val="A_3-Taxes-Sch J, Shc H, Shc K"/>
      <sheetName val="B_Non HFM TB Tax Adjustment===&gt;"/>
      <sheetName val="B_1-Europe BV Bermuda-Sec. 197"/>
      <sheetName val="B_2 Stock Comp"/>
      <sheetName val="B_2.1-Foreign ExercisedReleased"/>
      <sheetName val="B_3-Prepaid Rent"/>
      <sheetName val="B_4-Tax ADS"/>
      <sheetName val="B_5-Other Res FY18 &amp; FY 19"/>
      <sheetName val="C_Bermuda LP TP &amp; 8858=====&gt;"/>
      <sheetName val="1_20003-GBLPEURO - Euro"/>
      <sheetName val="2_20091-GAND - Euro"/>
      <sheetName val="3_30099-GAPL - AU$"/>
      <sheetName val="4_32540-GATW- TWD"/>
      <sheetName val="5_20043-GAUS - Euro"/>
      <sheetName val="6_20042-GBEL - Euro"/>
      <sheetName val="7_20061-GBLR - Belarus Ruble"/>
      <sheetName val="8_11800-GCAN - CN$"/>
      <sheetName val="9_20019-GCBV - Euro"/>
      <sheetName val="10_20073-GCYP - Euro"/>
      <sheetName val="11_20044-GCZR - Czh Koruna"/>
      <sheetName val="12_20049-GDEN - Den Kroner"/>
      <sheetName val="13_20040-GEBV - Euro"/>
      <sheetName val="14_20090-GESP - Euro"/>
      <sheetName val="15_20015-GEUR - Euro"/>
      <sheetName val="16_20048-GFIN - Euro"/>
      <sheetName val="17_20050-GFRA - Euro"/>
      <sheetName val="18_20045-GGER - Euro"/>
      <sheetName val="19_20074-GGRE - Euro"/>
      <sheetName val="20_32500-GHKL - US$"/>
      <sheetName val="21_20076-GHUN - HG Froint"/>
      <sheetName val="22_30097-GIND - India Rupee"/>
      <sheetName val="23_20071-GIRE - Euro"/>
      <sheetName val="24_20011-GITA - Euro"/>
      <sheetName val="25_32610-GJAP - Japanese JPY"/>
      <sheetName val="26_20078-GKAZ - Kaz Tenge"/>
      <sheetName val="27_32910-GKOR - KRW"/>
      <sheetName val="28_20046-GLUX - Euro"/>
      <sheetName val="29_32520-GMAC - Macua Pataca"/>
      <sheetName val="30_20051-GNOR - Norway Kroner"/>
      <sheetName val="31_20047-GPOL - Polish Zloty"/>
      <sheetName val="32_20077-GROM - Romania Leu"/>
      <sheetName val="33_20063-GRUS - Russia Ruble"/>
      <sheetName val="34_20041-GSDN - Sweden Krona"/>
      <sheetName val="35_32530-GSHA - Chinese CYN"/>
      <sheetName val="36_30098-GSNG - Singapore $"/>
      <sheetName val="37_20079-GTRK Turkish Lira"/>
      <sheetName val="38_20075-GTUR - Turkish Lira"/>
      <sheetName val="39_20070-GUKL - Bristish Pound"/>
      <sheetName val="D_JV TB &amp; Form 8868====&gt;"/>
      <sheetName val="40_14100 - GMEX"/>
      <sheetName val="41_20094 - GISL"/>
      <sheetName val="42_20096 - GPOR"/>
      <sheetName val="43_20062 - GRSR"/>
      <sheetName val="44_20013 - GLAB"/>
      <sheetName val="45_Elimination"/>
      <sheetName val="E_Brazil TB_&amp; Form 5171=====&gt;"/>
      <sheetName val="46_15100-GBSL"/>
      <sheetName val="G_US Branch &amp; Form 8858====&gt;"/>
      <sheetName val="47_14600-GMSV - Peso"/>
      <sheetName val="48_15600-GURU - Peso"/>
      <sheetName val="49_10201-GPR-FY19-US$"/>
      <sheetName val="F_Form 5471=====Sch J"/>
      <sheetName val="F_1-Form 5471 Sch J-2018 Rev"/>
      <sheetName val="F_2-Form 5471 Sch J-2018 Filed"/>
      <sheetName val="F_3-in FY 20-Q2 ADS 9 Yrs"/>
      <sheetName val="F_4-Rec FY-20-Italia WHT Tax"/>
      <sheetName val="F_5-Sec 986 Cal_Bermuda To US"/>
      <sheetName val="G_Other Information====&gt;"/>
      <sheetName val="G_1-HFM Local To Euro"/>
      <sheetName val="G_2-Local to US$"/>
      <sheetName val="G_3-Foreign TB"/>
      <sheetName val="G_4-Company Name"/>
      <sheetName val="G_5-Reconciliation"/>
      <sheetName val="PL_대만"/>
      <sheetName val="BS"/>
      <sheetName val="BS_대만"/>
      <sheetName val="IS"/>
      <sheetName val="계정명세서-會計科目餘額表"/>
      <sheetName val="BS (2)"/>
      <sheetName val="IS (2)"/>
      <sheetName val="유무형자산 201901-201910"/>
      <sheetName val="유무형자산 201901-201911"/>
      <sheetName val="유무형자산 201901-201912"/>
      <sheetName val="외화환산-期末外幣評價201912"/>
      <sheetName val="외화환산-은행期末外幣評價201912"/>
      <sheetName val="주주명부"/>
      <sheetName val="잡비 내역"/>
      <sheetName val="5"/>
      <sheetName val="6"/>
      <sheetName val="7"/>
      <sheetName val="8"/>
      <sheetName val="9"/>
      <sheetName val="10"/>
      <sheetName val="15"/>
      <sheetName val="21"/>
      <sheetName val="22"/>
      <sheetName val="23"/>
      <sheetName val="24"/>
      <sheetName val="25"/>
      <sheetName val="26"/>
      <sheetName val="30"/>
      <sheetName val="34"/>
      <sheetName val="35"/>
      <sheetName val="36"/>
      <sheetName val="37"/>
      <sheetName val="38"/>
      <sheetName val="TB"/>
      <sheetName val="충전기"/>
      <sheetName val="구매거래 등록부"/>
      <sheetName val="청구자인적사항"/>
      <sheetName val="RC"/>
    </sheetNames>
    <sheetDataSet>
      <sheetData sheetId="0" refreshError="1">
        <row r="4">
          <cell r="A4" t="str">
            <v>R001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>
        <row r="2">
          <cell r="A2">
            <v>101738</v>
          </cell>
        </row>
      </sheetData>
      <sheetData sheetId="281">
        <row r="2">
          <cell r="A2">
            <v>101738</v>
          </cell>
        </row>
      </sheetData>
      <sheetData sheetId="282">
        <row r="2">
          <cell r="B2">
            <v>10780612</v>
          </cell>
        </row>
      </sheetData>
      <sheetData sheetId="283"/>
      <sheetData sheetId="284">
        <row r="2">
          <cell r="A2">
            <v>101738</v>
          </cell>
        </row>
      </sheetData>
      <sheetData sheetId="285">
        <row r="2">
          <cell r="B2">
            <v>10780612</v>
          </cell>
        </row>
      </sheetData>
      <sheetData sheetId="286">
        <row r="2">
          <cell r="A2">
            <v>101738</v>
          </cell>
        </row>
      </sheetData>
      <sheetData sheetId="287">
        <row r="2">
          <cell r="A2">
            <v>101738</v>
          </cell>
        </row>
      </sheetData>
      <sheetData sheetId="288">
        <row r="2">
          <cell r="A2">
            <v>101738</v>
          </cell>
        </row>
      </sheetData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44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입력자료"/>
      <sheetName val="발생집계"/>
      <sheetName val="수정시산표"/>
      <sheetName val="95년간접비"/>
      <sheetName val="Ns0xa"/>
      <sheetName val="손익계산서"/>
      <sheetName val="주주명부&lt;끝&gt;"/>
      <sheetName val="4월계획"/>
      <sheetName val="월할경비"/>
      <sheetName val="인력(정규직)"/>
      <sheetName val="개인법인구분"/>
      <sheetName val="업무연락"/>
      <sheetName val="Sheet11"/>
      <sheetName val="기초자료"/>
      <sheetName val="Oct"/>
      <sheetName val="P.L"/>
      <sheetName val="집계표"/>
      <sheetName val="법인구분"/>
      <sheetName val="Sheet7"/>
      <sheetName val="기초코드"/>
      <sheetName val="기본사항"/>
      <sheetName val="5"/>
      <sheetName val="3"/>
      <sheetName val="8(갑)"/>
      <sheetName val="97매출관리"/>
      <sheetName val="시산표"/>
      <sheetName val="투자자본상계"/>
      <sheetName val="A4 BS"/>
      <sheetName val="maccp04"/>
      <sheetName val="S&amp;R"/>
      <sheetName val="대차"/>
      <sheetName val="Config"/>
      <sheetName val="정산표"/>
      <sheetName val="BM_NEW2"/>
      <sheetName val="control sheet"/>
      <sheetName val="basic_info"/>
      <sheetName val="2)감가상각"/>
      <sheetName val="매출채권(외출)"/>
      <sheetName val="대차대조표"/>
      <sheetName val="사업관리"/>
      <sheetName val="계수원본(99.2.28)"/>
      <sheetName val="20톤"/>
      <sheetName val="P_L"/>
      <sheetName val="A4_BS"/>
      <sheetName val="control_sheet"/>
      <sheetName val="DID"/>
      <sheetName val="BLOOMBERG"/>
      <sheetName val="합손"/>
      <sheetName val="계정code"/>
      <sheetName val="05현금등가"/>
      <sheetName val="경비분류(1)"/>
      <sheetName val="Revised PEGS98"/>
      <sheetName val="출입자명단"/>
      <sheetName val="#REF"/>
      <sheetName val="ld-극동"/>
      <sheetName val="정기적금"/>
      <sheetName val="3-4현"/>
      <sheetName val="SALE"/>
      <sheetName val="제품분류코드"/>
      <sheetName val="Sheet2"/>
      <sheetName val="제품(수출)매출"/>
      <sheetName val="상품보조수불"/>
      <sheetName val="제조원가계산서 (2)"/>
      <sheetName val="제품입고(생산)"/>
      <sheetName val="IN"/>
      <sheetName val="1999년"/>
      <sheetName val="타법인주식"/>
      <sheetName val="원가"/>
      <sheetName val="사업"/>
      <sheetName val="5월"/>
      <sheetName val="감가상각"/>
      <sheetName val="02배부기준"/>
      <sheetName val="급여 (2)"/>
      <sheetName val="01퇴충"/>
      <sheetName val="연간상여집계j"/>
      <sheetName val="재공품수불"/>
      <sheetName val="보증금(전신전화가입권)"/>
      <sheetName val="내수자재"/>
      <sheetName val="경영비율 "/>
      <sheetName val="MH_생산"/>
      <sheetName val="미비용95"/>
      <sheetName val="P_L1"/>
      <sheetName val="A4_BS1"/>
      <sheetName val="control_sheet1"/>
      <sheetName val="계수원본(99_2_28)"/>
      <sheetName val="Revised_PEGS98"/>
      <sheetName val="급여_(2)"/>
      <sheetName val="제조원가계산서_(2)"/>
      <sheetName val="P_L2"/>
      <sheetName val="A4_BS2"/>
      <sheetName val="control_sheet2"/>
      <sheetName val="계수원본(99_2_28)1"/>
      <sheetName val="제조원가계산서_(2)1"/>
      <sheetName val="Revised_PEGS981"/>
      <sheetName val="급여_(2)1"/>
      <sheetName val="down"/>
      <sheetName val="질의(금액)참조"/>
      <sheetName val="손익항목표"/>
      <sheetName val="정리"/>
      <sheetName val="UTMBPL"/>
      <sheetName val="영업보증금"/>
      <sheetName val="미착품"/>
      <sheetName val="유형고정자산 명세"/>
      <sheetName val="대환취급"/>
      <sheetName val="2월"/>
      <sheetName val="6월"/>
      <sheetName val="계획"/>
      <sheetName val="P_L3"/>
      <sheetName val="A4_BS3"/>
      <sheetName val="control_sheet3"/>
      <sheetName val="계수원본(99_2_28)2"/>
      <sheetName val="Revised_PEGS982"/>
      <sheetName val="급여_(2)2"/>
      <sheetName val="제조원가계산서_(2)2"/>
      <sheetName val="P_L7"/>
      <sheetName val="A4_BS7"/>
      <sheetName val="control_sheet7"/>
      <sheetName val="계수원본(99_2_28)6"/>
      <sheetName val="Revised_PEGS986"/>
      <sheetName val="급여_(2)6"/>
      <sheetName val="제조원가계산서_(2)6"/>
      <sheetName val="P_L4"/>
      <sheetName val="A4_BS4"/>
      <sheetName val="control_sheet4"/>
      <sheetName val="계수원본(99_2_28)3"/>
      <sheetName val="Revised_PEGS983"/>
      <sheetName val="급여_(2)3"/>
      <sheetName val="제조원가계산서_(2)3"/>
      <sheetName val="P_L5"/>
      <sheetName val="A4_BS5"/>
      <sheetName val="control_sheet5"/>
      <sheetName val="계수원본(99_2_28)4"/>
      <sheetName val="Revised_PEGS984"/>
      <sheetName val="급여_(2)4"/>
      <sheetName val="제조원가계산서_(2)4"/>
      <sheetName val="P_L6"/>
      <sheetName val="A4_BS6"/>
      <sheetName val="control_sheet6"/>
      <sheetName val="계수원본(99_2_28)5"/>
      <sheetName val="Revised_PEGS985"/>
      <sheetName val="급여_(2)5"/>
      <sheetName val="제조원가계산서_(2)5"/>
    </sheetNames>
    <sheetDataSet>
      <sheetData sheetId="0">
        <row r="6">
          <cell r="C6" t="str">
            <v>㈜삼부커뮤닉스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①매출"/>
      <sheetName val="⑤항목별1"/>
      <sheetName val="협조"/>
      <sheetName val="양식"/>
      <sheetName val="별표1"/>
      <sheetName val="별표2"/>
      <sheetName val="뚜껑"/>
      <sheetName val="목차"/>
      <sheetName val="배점"/>
      <sheetName val="매달gr"/>
      <sheetName val="매증gr"/>
      <sheetName val="②이익"/>
      <sheetName val="익달gr"/>
      <sheetName val="익증gr"/>
      <sheetName val="③인력"/>
      <sheetName val="인매gr"/>
      <sheetName val="인인gr"/>
      <sheetName val="④재고등"/>
      <sheetName val="차gr"/>
      <sheetName val="재gr"/>
      <sheetName val="채gr"/>
      <sheetName val="보고서(종합)"/>
      <sheetName val="회사정보"/>
      <sheetName val="Data"/>
      <sheetName val="당월손익계산서★"/>
      <sheetName val="발생집계"/>
      <sheetName val="95년간접비"/>
      <sheetName val="개인법인구분"/>
      <sheetName val="품종별월계"/>
      <sheetName val="Sheet1"/>
      <sheetName val="양식(직판용)"/>
      <sheetName val="김천공장"/>
      <sheetName val="관리"/>
      <sheetName val="관리(생산물류)"/>
      <sheetName val="품질관리팀"/>
      <sheetName val="생산팀(육가공.냉동.캔)"/>
      <sheetName val="식육관리팀"/>
      <sheetName val="환경공무팀"/>
      <sheetName val="Sheet3"/>
      <sheetName val="97부과내역 "/>
      <sheetName val="#REF"/>
      <sheetName val="variable"/>
      <sheetName val="cf-usd"/>
      <sheetName val="ST_Table"/>
      <sheetName val="기안"/>
      <sheetName val="유효값"/>
      <sheetName val="대차대조표"/>
      <sheetName val="시네마입금"/>
      <sheetName val="원가율"/>
      <sheetName val="서식시트"/>
      <sheetName val="주간계획"/>
      <sheetName val="부서실적"/>
      <sheetName val="부문99-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작시트"/>
      <sheetName val="서식시트"/>
      <sheetName val="주소인쇄"/>
      <sheetName val="원본"/>
      <sheetName val="은행조회서(New)"/>
      <sheetName val="T6-6(7)"/>
      <sheetName val="99퇴직"/>
      <sheetName val="계정code"/>
      <sheetName val="8월"/>
      <sheetName val="현장"/>
      <sheetName val="승용"/>
      <sheetName val="회사정보"/>
      <sheetName val="주식배당"/>
      <sheetName val="안산기계장치"/>
    </sheetNames>
    <definedNames>
      <definedName name="보고서인쇄"/>
    </defined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여권"/>
      <sheetName val="월별보관"/>
      <sheetName val="상환유가증권 (2)"/>
      <sheetName val="사업자등록증"/>
      <sheetName val="서식시트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JT별 재공품 현황표 (2)"/>
      <sheetName val="원자재감액대상금액"/>
      <sheetName val="재공품 요약표"/>
      <sheetName val="PJT별 재공품 현황표"/>
      <sheetName val="재고자산현황표(최종정리) "/>
      <sheetName val="Sheet1"/>
      <sheetName val="Sheet2"/>
      <sheetName val="Sheet3"/>
      <sheetName val="사업자등록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">
          <cell r="B4" t="str">
            <v>06MT007R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재고자산현황표(11월l)"/>
      <sheetName val="연구project(11월)"/>
      <sheetName val="11월"/>
      <sheetName val="재공품(10월)"/>
      <sheetName val="PROJECT MASTER"/>
      <sheetName val="Sheet1"/>
      <sheetName val="Sheet2"/>
      <sheetName val="Sheet5"/>
      <sheetName val="Sheet3"/>
      <sheetName val="수정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C4" t="str">
            <v>07CO106</v>
          </cell>
          <cell r="D4">
            <v>197300000</v>
          </cell>
        </row>
        <row r="5">
          <cell r="C5" t="str">
            <v>07SB113</v>
          </cell>
          <cell r="D5">
            <v>191310000</v>
          </cell>
        </row>
        <row r="6">
          <cell r="C6" t="str">
            <v>07SR114</v>
          </cell>
          <cell r="D6">
            <v>300160000</v>
          </cell>
        </row>
        <row r="7">
          <cell r="C7" t="str">
            <v>07TC115</v>
          </cell>
          <cell r="D7">
            <v>100400000</v>
          </cell>
        </row>
        <row r="8">
          <cell r="D8">
            <v>2607100000</v>
          </cell>
        </row>
        <row r="9">
          <cell r="C9" t="str">
            <v>07BT103</v>
          </cell>
          <cell r="D9">
            <v>1031700000</v>
          </cell>
        </row>
        <row r="10">
          <cell r="C10" t="str">
            <v>07RB116</v>
          </cell>
          <cell r="D10">
            <v>1275400000</v>
          </cell>
        </row>
        <row r="11">
          <cell r="C11" t="str">
            <v>07RP102</v>
          </cell>
          <cell r="D11">
            <v>300000000</v>
          </cell>
        </row>
        <row r="12">
          <cell r="D12">
            <v>503500000</v>
          </cell>
        </row>
        <row r="13">
          <cell r="C13" t="str">
            <v>07MT105</v>
          </cell>
          <cell r="D13">
            <v>105500000</v>
          </cell>
        </row>
        <row r="14">
          <cell r="C14" t="str">
            <v>07RC101</v>
          </cell>
          <cell r="D14">
            <v>200000000</v>
          </cell>
        </row>
        <row r="15">
          <cell r="C15" t="str">
            <v>07RT112</v>
          </cell>
          <cell r="D15">
            <v>198000000</v>
          </cell>
        </row>
        <row r="16">
          <cell r="D16">
            <v>1996810000</v>
          </cell>
        </row>
        <row r="17">
          <cell r="C17" t="str">
            <v>07RT111</v>
          </cell>
          <cell r="D17">
            <v>86400000</v>
          </cell>
        </row>
        <row r="18">
          <cell r="C18" t="str">
            <v>07OT124</v>
          </cell>
          <cell r="D18">
            <v>353080000</v>
          </cell>
        </row>
        <row r="19">
          <cell r="C19" t="str">
            <v>07OT107</v>
          </cell>
          <cell r="D19">
            <v>250000000</v>
          </cell>
        </row>
        <row r="20">
          <cell r="C20" t="str">
            <v>07OT108</v>
          </cell>
          <cell r="D20">
            <v>400000000</v>
          </cell>
        </row>
        <row r="21">
          <cell r="C21" t="str">
            <v>07OT109</v>
          </cell>
          <cell r="D21">
            <v>93930000</v>
          </cell>
        </row>
        <row r="22">
          <cell r="C22" t="str">
            <v>07OT110</v>
          </cell>
          <cell r="D22">
            <v>253400000</v>
          </cell>
        </row>
        <row r="23">
          <cell r="C23" t="str">
            <v>06MT067R</v>
          </cell>
          <cell r="D23">
            <v>200000000</v>
          </cell>
        </row>
        <row r="24">
          <cell r="C24" t="str">
            <v>07CIP100</v>
          </cell>
          <cell r="D24">
            <v>360000000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시산표"/>
      <sheetName val="부서별공수"/>
      <sheetName val="투입공수"/>
      <sheetName val="생산"/>
      <sheetName val="자재재고"/>
      <sheetName val="재공재고"/>
      <sheetName val="품질현황-보류"/>
      <sheetName val="삼화9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월별PL"/>
      <sheetName val="Sheet5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시산표"/>
    </sheetNames>
    <sheetDataSet>
      <sheetData sheetId="0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1현"/>
      <sheetName val="3-1"/>
      <sheetName val="3-2현"/>
      <sheetName val="3-2"/>
      <sheetName val="3-3현"/>
      <sheetName val="3-3"/>
      <sheetName val="3-4현"/>
      <sheetName val="3-4"/>
      <sheetName val="3-5현"/>
      <sheetName val="3-5"/>
      <sheetName val="3-6현"/>
      <sheetName val="3-6"/>
      <sheetName val="3-7현"/>
      <sheetName val="3-7"/>
      <sheetName val="3-8현"/>
      <sheetName val="3-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서실적"/>
      <sheetName val="96월별PL"/>
      <sheetName val="수정시산표"/>
      <sheetName val="부서급여"/>
      <sheetName val="①매출"/>
      <sheetName val="주간계획"/>
      <sheetName val="사업자등록증"/>
      <sheetName val="Sheet1"/>
      <sheetName val="스낵물량"/>
      <sheetName val="제품손익"/>
      <sheetName val="선택"/>
      <sheetName val="#REF"/>
      <sheetName val="기준9801"/>
      <sheetName val="비교9701"/>
      <sheetName val="빙과일보"/>
      <sheetName val="사정"/>
      <sheetName val="제조원가피벗"/>
      <sheetName val="9,10월신제품 (2)"/>
      <sheetName val="97생산제품"/>
      <sheetName val="코드"/>
      <sheetName val="본문"/>
      <sheetName val="당년실적"/>
      <sheetName val="전년실적"/>
      <sheetName val="위스키3"/>
      <sheetName val="주류전체2"/>
      <sheetName val="0"/>
      <sheetName val="AR"/>
      <sheetName val="당월손익계산서★"/>
      <sheetName val="목표"/>
      <sheetName val="당년사별실적"/>
      <sheetName val="매출"/>
      <sheetName val="관리1"/>
      <sheetName val="나뚜루"/>
      <sheetName val="기초원본4월"/>
      <sheetName val="5월목표기초"/>
      <sheetName val="6월목표"/>
      <sheetName val="99차량"/>
      <sheetName val="작업용"/>
      <sheetName val="depo-1"/>
      <sheetName val="아르바이트"/>
      <sheetName val="금액중량"/>
      <sheetName val="단가"/>
      <sheetName val="현황"/>
      <sheetName val="재무"/>
      <sheetName val="구별"/>
      <sheetName val="유 (2)"/>
      <sheetName val="BackData"/>
      <sheetName val="투찰(하수)"/>
      <sheetName val="위탁현황"/>
      <sheetName val="생산량"/>
      <sheetName val="주문"/>
      <sheetName val="펀칭"/>
      <sheetName val="당월금액"/>
      <sheetName val="계획표지"/>
      <sheetName val="달성율"/>
      <sheetName val="원료구매"/>
      <sheetName val="일위대가"/>
      <sheetName val="사후원가"/>
      <sheetName val="총괄"/>
      <sheetName val="판매목표"/>
      <sheetName val="npv"/>
      <sheetName val="99성력화(우선순위)"/>
      <sheetName val="98년월별업체별매출(마감)"/>
      <sheetName val="사원현황"/>
      <sheetName val="당년계획"/>
      <sheetName val="개요"/>
      <sheetName val="기안"/>
      <sheetName val="마케팅"/>
      <sheetName val="목차"/>
      <sheetName val="추정손익"/>
      <sheetName val="할당"/>
      <sheetName val="원가"/>
      <sheetName val="제목"/>
      <sheetName val="원가,목표"/>
      <sheetName val="판매"/>
      <sheetName val="판촉"/>
      <sheetName val="협조"/>
      <sheetName val="원본(그룹제외)"/>
      <sheetName val="표지"/>
      <sheetName val="원본 (4)"/>
      <sheetName val="22알짜도(돈)"/>
      <sheetName val="22함박"/>
      <sheetName val="28알짜돈"/>
      <sheetName val="22아메리카(돈)"/>
      <sheetName val="그래프 (2)"/>
      <sheetName val="2004사업계획"/>
      <sheetName val="품목별"/>
      <sheetName val="품종별월계"/>
      <sheetName val="유형별 (2)"/>
      <sheetName val="내용"/>
      <sheetName val="1월"/>
      <sheetName val="당년MS현황"/>
      <sheetName val="전년사별실적"/>
      <sheetName val="빙사별"/>
      <sheetName val="수출포함실적"/>
      <sheetName val="아침햇쌀"/>
      <sheetName val="원가율"/>
      <sheetName val="캔판매목표"/>
      <sheetName val="대환취급"/>
      <sheetName val="팀별 실적"/>
      <sheetName val="팀별 실적 (환산)"/>
      <sheetName val="05년점포별계획"/>
      <sheetName val="9,10월신제품_(2)"/>
      <sheetName val="유_(2)"/>
      <sheetName val="원본_(4)"/>
      <sheetName val="그래프_(2)"/>
      <sheetName val="9,10월신제품_(2)1"/>
      <sheetName val="유_(2)1"/>
      <sheetName val="원본_(4)1"/>
      <sheetName val="그래프_(2)1"/>
      <sheetName val="9,10월신제품_(2)2"/>
      <sheetName val="유_(2)2"/>
      <sheetName val="원본_(4)2"/>
      <sheetName val="그래프_(2)2"/>
      <sheetName val="9,10월신제품_(2)3"/>
      <sheetName val="유_(2)3"/>
      <sheetName val="원본_(4)3"/>
      <sheetName val="그래프_(2)3"/>
      <sheetName val="9,10월신제품_(2)5"/>
      <sheetName val="유_(2)5"/>
      <sheetName val="9,10월신제품_(2)4"/>
      <sheetName val="유_(2)4"/>
      <sheetName val="원본_(4)4"/>
      <sheetName val="그래프_(2)4"/>
      <sheetName val="9,10월신제품_(2)8"/>
      <sheetName val="유_(2)8"/>
      <sheetName val="원본_(4)7"/>
      <sheetName val="그래프_(2)7"/>
      <sheetName val="9,10월신제품_(2)6"/>
      <sheetName val="유_(2)6"/>
      <sheetName val="원본_(4)5"/>
      <sheetName val="그래프_(2)5"/>
      <sheetName val="9,10월신제품_(2)7"/>
      <sheetName val="유_(2)7"/>
      <sheetName val="원본_(4)6"/>
      <sheetName val="그래프_(2)6"/>
      <sheetName val="9,10월신제품_(2)9"/>
      <sheetName val="유_(2)9"/>
      <sheetName val="원본_(4)8"/>
      <sheetName val="그래프_(2)8"/>
      <sheetName val="9,10월신제품_(2)10"/>
      <sheetName val="유_(2)10"/>
      <sheetName val="원본_(4)9"/>
      <sheetName val="그래프_(2)9"/>
      <sheetName val="9,10월신제품_(2)11"/>
      <sheetName val="유_(2)11"/>
      <sheetName val="원본_(4)10"/>
      <sheetName val="그래프_(2)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임원"/>
      <sheetName val="임원명세서"/>
      <sheetName val="기본"/>
      <sheetName val="지급"/>
      <sheetName val="공제"/>
      <sheetName val="전표"/>
      <sheetName val="의료보험"/>
      <sheetName val="급여일괄이체"/>
      <sheetName val="부서실적"/>
    </sheetNames>
    <sheetDataSet>
      <sheetData sheetId="0"/>
      <sheetData sheetId="1"/>
      <sheetData sheetId="2"/>
      <sheetData sheetId="3"/>
      <sheetData sheetId="4">
        <row r="60">
          <cell r="E60" t="str">
            <v>직위</v>
          </cell>
        </row>
      </sheetData>
      <sheetData sheetId="5"/>
      <sheetData sheetId="6"/>
      <sheetData sheetId="7"/>
      <sheetData sheetId="8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社현황및마감추정"/>
      <sheetName val="공제"/>
      <sheetName val="부서실적"/>
      <sheetName val="공사별5 "/>
      <sheetName val="96월별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월급여"/>
      <sheetName val="시산자산"/>
      <sheetName val="부채계정"/>
      <sheetName val="108.수선비"/>
      <sheetName val="전체"/>
    </sheetNames>
    <definedNames>
      <definedName name="숨기기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주간계획"/>
      <sheetName val="Sheet1"/>
      <sheetName val="월간계획"/>
      <sheetName val="주간계획 (3)"/>
      <sheetName val="Sheet1 (2)"/>
      <sheetName val="신월간계획"/>
      <sheetName val="신주간계획"/>
      <sheetName val="1번"/>
      <sheetName val="지시내용"/>
      <sheetName val="1번 (3)"/>
      <sheetName val="재공품(10월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여(01)"/>
      <sheetName val="상여(02)"/>
      <sheetName val="상여(04)"/>
      <sheetName val="상여(06)"/>
      <sheetName val="상여(08)"/>
      <sheetName val="상여(09)"/>
      <sheetName val="상여(10)"/>
      <sheetName val="상여(12)"/>
      <sheetName val="급여(0410)"/>
      <sheetName val="급여(0411)"/>
      <sheetName val="급여(0412)"/>
      <sheetName val="최초입사"/>
      <sheetName val="중간정산"/>
      <sheetName val="군복무"/>
      <sheetName val="주간계획"/>
    </sheetNames>
    <sheetDataSet>
      <sheetData sheetId="0">
        <row r="2">
          <cell r="B2" t="str">
            <v>강병균</v>
          </cell>
        </row>
      </sheetData>
      <sheetData sheetId="1">
        <row r="2">
          <cell r="B2" t="str">
            <v>강병균</v>
          </cell>
        </row>
      </sheetData>
      <sheetData sheetId="2">
        <row r="2">
          <cell r="B2" t="str">
            <v>강병균</v>
          </cell>
        </row>
      </sheetData>
      <sheetData sheetId="3">
        <row r="2">
          <cell r="B2" t="str">
            <v>강병균</v>
          </cell>
        </row>
      </sheetData>
      <sheetData sheetId="4">
        <row r="2">
          <cell r="B2" t="str">
            <v>강병균</v>
          </cell>
        </row>
      </sheetData>
      <sheetData sheetId="5">
        <row r="2">
          <cell r="B2" t="str">
            <v>강병균</v>
          </cell>
        </row>
      </sheetData>
      <sheetData sheetId="6">
        <row r="2">
          <cell r="B2" t="str">
            <v>강병균</v>
          </cell>
        </row>
      </sheetData>
      <sheetData sheetId="7">
        <row r="2">
          <cell r="B2" t="str">
            <v>강병균</v>
          </cell>
        </row>
      </sheetData>
      <sheetData sheetId="8">
        <row r="2">
          <cell r="B2" t="str">
            <v>강동수</v>
          </cell>
        </row>
      </sheetData>
      <sheetData sheetId="9">
        <row r="2">
          <cell r="B2" t="str">
            <v>강동수</v>
          </cell>
        </row>
      </sheetData>
      <sheetData sheetId="10">
        <row r="2">
          <cell r="B2" t="str">
            <v>강동수</v>
          </cell>
        </row>
      </sheetData>
      <sheetData sheetId="11">
        <row r="2">
          <cell r="B2" t="str">
            <v>강동수</v>
          </cell>
        </row>
      </sheetData>
      <sheetData sheetId="12">
        <row r="3">
          <cell r="C3" t="str">
            <v>강동수</v>
          </cell>
        </row>
      </sheetData>
      <sheetData sheetId="13" refreshError="1"/>
      <sheetData sheetId="14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04급여"/>
      <sheetName val="0405급여"/>
      <sheetName val="0406급여"/>
      <sheetName val="0308상"/>
      <sheetName val="0309상"/>
      <sheetName val="0310상"/>
      <sheetName val="0312상"/>
      <sheetName val="0401상"/>
      <sheetName val="0402상"/>
      <sheetName val="0404상"/>
      <sheetName val="0406상"/>
      <sheetName val="퇴직충당"/>
      <sheetName val="중간정산"/>
      <sheetName val="급여(0412)"/>
      <sheetName val="상여(12)"/>
      <sheetName val="급여(0411)"/>
      <sheetName val="상여(06)"/>
      <sheetName val="최초입사"/>
    </sheetNames>
    <sheetDataSet>
      <sheetData sheetId="0">
        <row r="1">
          <cell r="A1" t="str">
            <v>강동수</v>
          </cell>
        </row>
      </sheetData>
      <sheetData sheetId="1">
        <row r="1">
          <cell r="A1" t="str">
            <v>강동수</v>
          </cell>
        </row>
      </sheetData>
      <sheetData sheetId="2">
        <row r="1">
          <cell r="A1" t="str">
            <v>강동수</v>
          </cell>
        </row>
      </sheetData>
      <sheetData sheetId="3"/>
      <sheetData sheetId="4"/>
      <sheetData sheetId="5"/>
      <sheetData sheetId="6">
        <row r="1">
          <cell r="A1" t="str">
            <v>강병균</v>
          </cell>
        </row>
      </sheetData>
      <sheetData sheetId="7"/>
      <sheetData sheetId="8"/>
      <sheetData sheetId="9"/>
      <sheetData sheetId="10">
        <row r="1">
          <cell r="A1" t="str">
            <v>강병균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등손익"/>
      <sheetName val="공사손익"/>
      <sheetName val="분양사업손익"/>
      <sheetName val="교육사업손익"/>
      <sheetName val="사원 선급금"/>
      <sheetName val="가지급금"/>
      <sheetName val="어음.수표"/>
      <sheetName val="무형자산 상각내역서 "/>
      <sheetName val="고용보험 미지급비용"/>
      <sheetName val="이자미지급비용"/>
      <sheetName val="유가증권"/>
      <sheetName val="유가증권수불"/>
      <sheetName val="증안기금"/>
      <sheetName val="채권할인1"/>
      <sheetName val="채권할인2"/>
      <sheetName val="김보경-선수금"/>
      <sheetName val="사원 미지급금"/>
      <sheetName val="예수원천세"/>
      <sheetName val="예수보험료"/>
      <sheetName val="외화환산1"/>
      <sheetName val="미수수익"/>
      <sheetName val="주임종단기대여금"/>
      <sheetName val="선급비용 산출내역"/>
      <sheetName val="선급비용(이자등)"/>
      <sheetName val="퇴직충당금"/>
      <sheetName val="퇴직금지급내역 "/>
      <sheetName val="교육사업안분 "/>
      <sheetName val="교육사업월별매출"/>
      <sheetName val="교육사업월별원가 "/>
      <sheetName val="칩원가산출"/>
      <sheetName val="특장손익"/>
      <sheetName val="특장제조원가"/>
      <sheetName val="특장최종집계"/>
      <sheetName val="노무비배분"/>
      <sheetName val="특장재료비배분"/>
      <sheetName val="특장재료집계"/>
      <sheetName val="특장재료"/>
      <sheetName val="특장재료2"/>
      <sheetName val="특장경비 및 노무원장"/>
      <sheetName val="분양원가"/>
      <sheetName val="분양예정원가"/>
      <sheetName val="분양경비"/>
      <sheetName val="분양원장(경비 및 원가)"/>
      <sheetName val="Sheet1"/>
      <sheetName val="분양원장 (2)"/>
      <sheetName val="분양원장"/>
      <sheetName val="분양선수금내역서"/>
      <sheetName val="Sheet7"/>
      <sheetName val="대체분개"/>
      <sheetName val="투자유가증권"/>
      <sheetName val="수입임대"/>
      <sheetName val="잡이익"/>
      <sheetName val="주석"/>
      <sheetName val="사업안분"/>
      <sheetName val="합잔 관련"/>
      <sheetName val="이스타빌1"/>
      <sheetName val="Sheet8"/>
      <sheetName val="Sheet9"/>
      <sheetName val="Sheet10"/>
      <sheetName val="Sheet11"/>
      <sheetName val="Sheet12"/>
      <sheetName val="공시지가"/>
      <sheetName val="유형자산매각"/>
      <sheetName val="집계표"/>
      <sheetName val="총계정"/>
      <sheetName val="강사"/>
      <sheetName val="학원미수"/>
      <sheetName val="학원선수"/>
      <sheetName val="Sheet3"/>
      <sheetName val="사업부별판관안분"/>
      <sheetName val="Sheet2"/>
      <sheetName val="합잔"/>
      <sheetName val="합잔원본"/>
      <sheetName val="Sheet5"/>
      <sheetName val="집계"/>
      <sheetName val="총계정1"/>
      <sheetName val="총계정2"/>
      <sheetName val="0312상"/>
      <sheetName val="첨부1"/>
      <sheetName val="임테블"/>
      <sheetName val="회사정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표어음"/>
      <sheetName val="97수표어음"/>
      <sheetName val="98수표어음"/>
      <sheetName val="수정시산표"/>
      <sheetName val="제품수불"/>
      <sheetName val="외출포항"/>
      <sheetName val="MACRO2"/>
      <sheetName val="시나리오"/>
      <sheetName val="수금실적 list(1월~10월)"/>
      <sheetName val="현금흐름표"/>
      <sheetName val="3.공통공사대비"/>
      <sheetName val="수표어음"/>
      <sheetName val="미지급이자1"/>
      <sheetName val="A1"/>
      <sheetName val="Ⅱ1-0타"/>
      <sheetName val="공통"/>
      <sheetName val="9-1차이내역"/>
      <sheetName val="當期시산표(결재)"/>
      <sheetName val="8340"/>
      <sheetName val="집계표"/>
      <sheetName val="경영비율 "/>
      <sheetName val="기계"/>
      <sheetName val="여신"/>
      <sheetName val="수신"/>
      <sheetName val="LeadSchedule"/>
      <sheetName val="현금및예치금집계표"/>
      <sheetName val="기초코드"/>
      <sheetName val="계정"/>
      <sheetName val="판매기초"/>
      <sheetName val="상품입고집계"/>
      <sheetName val="95WBS"/>
      <sheetName val="1_當期시산표"/>
      <sheetName val="현금및현금등가물1"/>
      <sheetName val="111"/>
      <sheetName val="노동부"/>
      <sheetName val="외화계약"/>
      <sheetName val="관리비(전사공통)"/>
      <sheetName val="리메텍 반기검토후"/>
      <sheetName val="CODE"/>
      <sheetName val="간지"/>
      <sheetName val="손익계산서"/>
      <sheetName val=" 견적서"/>
      <sheetName val="인원계획-미화"/>
      <sheetName val="9-1차이내역."/>
      <sheetName val="합병BS"/>
      <sheetName val="PI"/>
      <sheetName val="f_BS"/>
      <sheetName val="sbr706"/>
      <sheetName val="신천금속_안산재고"/>
      <sheetName val="99.7월 당월회수 실적"/>
      <sheetName val="10월판관"/>
      <sheetName val="수입"/>
      <sheetName val="주요업무"/>
      <sheetName val="INSH0001"/>
      <sheetName val="식음료"/>
      <sheetName val="현금및현금등가물"/>
      <sheetName val="10월"/>
      <sheetName val="ⅤⅡ-5"/>
      <sheetName val="Ⅷ-2"/>
      <sheetName val="실적"/>
      <sheetName val="Lead"/>
      <sheetName val="과장"/>
      <sheetName val="입력자료"/>
      <sheetName val="정의"/>
      <sheetName val="반기_유가증권"/>
      <sheetName val="부품"/>
      <sheetName val="Sheet1"/>
      <sheetName val="수금실적_list(1월~10월)"/>
      <sheetName val="3_공통공사대비"/>
      <sheetName val="경영비율_"/>
      <sheetName val="리메텍_반기검토후"/>
      <sheetName val="업무분장 "/>
      <sheetName val="108.수선비"/>
      <sheetName val="1"/>
      <sheetName val="개인법인구분"/>
      <sheetName val="신고서"/>
      <sheetName val="FAB별"/>
      <sheetName val="출금계획"/>
      <sheetName val="Mar"/>
      <sheetName val="금융"/>
      <sheetName val="간이연락"/>
      <sheetName val="지급이자7"/>
      <sheetName val="매립"/>
      <sheetName val="A4.1"/>
      <sheetName val="상여금정산표"/>
      <sheetName val="조명시설"/>
      <sheetName val="Setup"/>
      <sheetName val="2311-2"/>
      <sheetName val="支払手形"/>
      <sheetName val="雑収"/>
      <sheetName val="별제권_정리담보권1"/>
      <sheetName val="차체부품 INS REPORT(갑)"/>
      <sheetName val="계정별실적"/>
      <sheetName val="95감가상각"/>
      <sheetName val="2001Org"/>
      <sheetName val="회사정보"/>
      <sheetName val="실행철강하도"/>
      <sheetName val="서식"/>
      <sheetName val="대외공문"/>
      <sheetName val="981030"/>
      <sheetName val="부채계정"/>
      <sheetName val="2000년1차"/>
      <sheetName val="건축물등의명세 "/>
      <sheetName val="2000전체분"/>
      <sheetName val="가격산출"/>
      <sheetName val="이름표"/>
      <sheetName val="삼정1-2구역 작업용 명부"/>
      <sheetName val="기초자료 단가"/>
      <sheetName val="물건조서"/>
      <sheetName val="데리네이타현황"/>
      <sheetName val="구의33고"/>
      <sheetName val="시산표"/>
      <sheetName val="SALE"/>
      <sheetName val="유통망계획"/>
      <sheetName val="4.경비 5.영업외수지"/>
      <sheetName val="금강투자2000"/>
      <sheetName val="공사개요"/>
      <sheetName val="차입금현황(2)"/>
      <sheetName val="수출"/>
      <sheetName val="기본자료"/>
      <sheetName val="영업.일1"/>
      <sheetName val="18"/>
      <sheetName val="운전자금97총괄"/>
      <sheetName val="RHD"/>
      <sheetName val="내역서"/>
      <sheetName val="수금실적_list(1월~10월)1"/>
      <sheetName val="3_공통공사대비1"/>
      <sheetName val="경영비율_1"/>
      <sheetName val="리메텍_반기검토후1"/>
      <sheetName val="_견적서"/>
      <sheetName val="9-1차이내역_"/>
      <sheetName val="99_7월_당월회수_실적"/>
      <sheetName val="108_수선비"/>
      <sheetName val="차체부품_INS_REPORT(갑)"/>
      <sheetName val="시산9902"/>
      <sheetName val="수익증권포지션위험"/>
      <sheetName val="채권포지션위험"/>
      <sheetName val="주식배당"/>
      <sheetName val="차수"/>
      <sheetName val="기초판설계(교축직각)"/>
      <sheetName val="2月收入成本明细表"/>
      <sheetName val="적심사표"/>
      <sheetName val="범한여행"/>
      <sheetName val="내역"/>
      <sheetName val="대환취급"/>
      <sheetName val="미착품"/>
      <sheetName val="유형고정자산 명세"/>
      <sheetName val="XREF"/>
      <sheetName val="시설이용권명세서"/>
      <sheetName val="부재료입고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판매단가"/>
      <sheetName val="2001판매분석 (2)"/>
      <sheetName val="시트"/>
      <sheetName val="2001원가보고군산"/>
      <sheetName val="2001판매분석"/>
      <sheetName val="군산원판매입흐름"/>
      <sheetName val="원판매입"/>
      <sheetName val="가좌생산량최종분석 (2)"/>
      <sheetName val="군산생산량최종분석"/>
      <sheetName val="가좌조업도"/>
      <sheetName val="군산조업도"/>
      <sheetName val="생산수량분석"/>
      <sheetName val="수불보고"/>
      <sheetName val="타공정대체"/>
      <sheetName val="대체분석요약"/>
      <sheetName val="로이판매분석"/>
      <sheetName val="반사판매분석"/>
      <sheetName val="DGU가좌판매분석"/>
      <sheetName val="DGU군산판매분석"/>
      <sheetName val="97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  <sheetName val="Anam Fab PL"/>
      <sheetName val="Schedules"/>
      <sheetName val="1유리"/>
      <sheetName val="6호기"/>
      <sheetName val="여과지동"/>
      <sheetName val="기초자료"/>
      <sheetName val="회사정보"/>
      <sheetName val="수지"/>
      <sheetName val="8월차잔"/>
      <sheetName val="지우지말것"/>
      <sheetName val="실행"/>
      <sheetName val="입찰안"/>
      <sheetName val="CAUDIT"/>
      <sheetName val="내역서"/>
      <sheetName val="집계표"/>
      <sheetName val="플랜트 설치"/>
      <sheetName val="안양동교 1안"/>
      <sheetName val="자재단가"/>
      <sheetName val="관리본부10"/>
      <sheetName val="CTEMCOST"/>
      <sheetName val="은행"/>
      <sheetName val="집계표결과"/>
      <sheetName val="TEMP1"/>
      <sheetName val="예적금"/>
      <sheetName val="식음료"/>
      <sheetName val="지분법평가(반기)"/>
      <sheetName val="DISTANCE"/>
      <sheetName val="108.수선비"/>
      <sheetName val="tsuga"/>
      <sheetName val="수정시산표"/>
      <sheetName val="Sheet1"/>
      <sheetName val="Sheet1 (2)"/>
      <sheetName val="10월 급여"/>
      <sheetName val="9908"/>
      <sheetName val="INDEX"/>
      <sheetName val="인원자료"/>
      <sheetName val="부서별공수"/>
      <sheetName val="투입공수"/>
      <sheetName val="생산"/>
      <sheetName val="자재재고"/>
      <sheetName val="재공재고"/>
      <sheetName val="품질현황-보류"/>
      <sheetName val="사업자등록증"/>
      <sheetName val="현금"/>
      <sheetName val="주요기준"/>
      <sheetName val="23기-3분기결산PL"/>
      <sheetName val="Sheet11"/>
      <sheetName val="인천제철"/>
      <sheetName val="일위대가"/>
      <sheetName val="유림총괄"/>
      <sheetName val="수입"/>
      <sheetName val="내역"/>
      <sheetName val="#REF"/>
      <sheetName val="물량표"/>
      <sheetName val="연습"/>
      <sheetName val="실행철강하도"/>
      <sheetName val="2.주요계수총괄"/>
      <sheetName val="플랜트_설치"/>
      <sheetName val="안양동교_1안"/>
      <sheetName val="Anam_Fab_PL"/>
      <sheetName val="차액보증"/>
      <sheetName val="다곡2교"/>
      <sheetName val="산출근거"/>
      <sheetName val="Sheet2"/>
      <sheetName val="목차"/>
      <sheetName val="가설건물"/>
      <sheetName val="간지"/>
      <sheetName val="득점현황"/>
      <sheetName val="손익"/>
      <sheetName val="조직도"/>
      <sheetName val="조명시설"/>
      <sheetName val="노임이"/>
      <sheetName val="전계가"/>
      <sheetName val="개요"/>
      <sheetName val="입찰견적보고서"/>
      <sheetName val="원가계산서"/>
      <sheetName val="45,46"/>
      <sheetName val="MIJIBI"/>
      <sheetName val="손익분석"/>
      <sheetName val="업체('08)"/>
      <sheetName val="갑지(추정)"/>
      <sheetName val="국내조달(통합-1)"/>
      <sheetName val="인사자료총집계"/>
      <sheetName val="선급비용"/>
      <sheetName val="지급자재"/>
      <sheetName val="업체명"/>
      <sheetName val="월별손익"/>
      <sheetName val="Sheet5"/>
      <sheetName val="한화금융비"/>
      <sheetName val="비가동-20"/>
      <sheetName val="CONCRETE"/>
      <sheetName val="중기일위대가"/>
      <sheetName val="노임단가"/>
      <sheetName val="적용환율"/>
      <sheetName val="0701"/>
      <sheetName val="학생내역"/>
      <sheetName val="Total"/>
      <sheetName val="요약BS"/>
      <sheetName val="현금흐름"/>
      <sheetName val="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재고자산폐기(요약) (2)"/>
      <sheetName val="재고자산폐기(요약)"/>
      <sheetName val="07 재고자산 폐기 현황"/>
      <sheetName val="원자재 현황"/>
      <sheetName val="Pjt별원재료 비교표"/>
      <sheetName val="PJT별 기말재공품요약표 "/>
      <sheetName val="재공품 개발비 상각현황"/>
      <sheetName val="PJT별 재공품 요약표"/>
      <sheetName val="재공품현황(12월)"/>
      <sheetName val="연구개발비 현황(12월)"/>
      <sheetName val="외주가공비('05~'07.12)"/>
      <sheetName val="PJT별 원자재 기말재고 현황"/>
      <sheetName val="PJT별 재공품 현황표 11월"/>
      <sheetName val="재공품 요약표"/>
      <sheetName val="PJT별 재공품 현황표"/>
      <sheetName val="재고자산현황표(최종정리) "/>
      <sheetName val="Sheet3"/>
      <sheetName val="원판매입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>
        <row r="3">
          <cell r="L3" t="str">
            <v>PROJECT.NO</v>
          </cell>
        </row>
      </sheetData>
      <sheetData sheetId="11">
        <row r="6">
          <cell r="A6" t="str">
            <v>Y02XYZ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주가공비('05~'07.12)"/>
      <sheetName val="PJT별 원자재 기말재고 현황"/>
      <sheetName val="주간계획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산 (2)"/>
      <sheetName val="반제품BOM"/>
      <sheetName val="자재명칭변경"/>
      <sheetName val="반품수량"/>
      <sheetName val="자재폐기출고"/>
      <sheetName val="Sheet1"/>
      <sheetName val="무상출고"/>
      <sheetName val="대체출고"/>
      <sheetName val="폐기출고"/>
      <sheetName val="생산"/>
      <sheetName val="Sheet2"/>
      <sheetName val="자재수불"/>
      <sheetName val="상품"/>
      <sheetName val="제품창고"/>
      <sheetName val="장기재고"/>
      <sheetName val="QC"/>
      <sheetName val="외주"/>
      <sheetName val="자재가입고현황"/>
      <sheetName val="제품별ST"/>
      <sheetName val="생산수량2"/>
      <sheetName val="생산수량1"/>
      <sheetName val="자재단가"/>
      <sheetName val="BOM"/>
      <sheetName val="인력(정규직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특정현금 (2)"/>
      <sheetName val="종업장기 "/>
      <sheetName val="보증금"/>
      <sheetName val="회원권"/>
      <sheetName val="유형고정"/>
      <sheetName val="무형고정자산"/>
      <sheetName val="이연자산"/>
      <sheetName val="고정자산"/>
      <sheetName val="당좌차월"/>
      <sheetName val="선수금"/>
      <sheetName val="예수금"/>
      <sheetName val="미지급비용  "/>
      <sheetName val="미지급금 (진짜)"/>
      <sheetName val="미지급금 (보고용)"/>
      <sheetName val="미지급법인세"/>
      <sheetName val="선수수익"/>
      <sheetName val="예수보증"/>
      <sheetName val="충당금"/>
      <sheetName val="자본금"/>
      <sheetName val="미처분명세"/>
      <sheetName val="이자정산"/>
      <sheetName val="국민은행"/>
      <sheetName val="종업장기(구분자료)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주간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총괄"/>
      <sheetName val="미수수익"/>
      <sheetName val="국민채권"/>
      <sheetName val="지하철"/>
      <sheetName val="교통"/>
      <sheetName val="지역개발"/>
      <sheetName val="2001.4."/>
      <sheetName val="2001.8"/>
      <sheetName val="2001.12"/>
      <sheetName val="2001.12 성우"/>
      <sheetName val="2001.12.31"/>
      <sheetName val="실물00.12.31"/>
      <sheetName val="동원99.5"/>
      <sheetName val="명세"/>
      <sheetName val="      "/>
      <sheetName val="평가9.30"/>
      <sheetName val="평가9.30 (2)"/>
      <sheetName val="평가9.30 (3)"/>
      <sheetName val=" 확정"/>
      <sheetName val=" 확정 (2)"/>
      <sheetName val="진짜"/>
      <sheetName val="평가9.30 (4)"/>
      <sheetName val="평가9.30 (6)"/>
      <sheetName val="Sheet16 (2)"/>
      <sheetName val="3.유가증권"/>
      <sheetName val="98.12.29"/>
      <sheetName val="2000.7.31"/>
      <sheetName val="Sheet7"/>
      <sheetName val="2001.4.30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98.12.29 (2)"/>
      <sheetName val="주간계획"/>
      <sheetName val="96월별PL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Capital"/>
      <sheetName val="첨부1"/>
      <sheetName val="차량(구)"/>
      <sheetName val="Ⅱ1-0타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퇴직급적립"/>
      <sheetName val="퇴직금적립_20001101기준(현재원기준)"/>
      <sheetName val="인원_20001101"/>
    </sheetNames>
    <sheetDataSet>
      <sheetData sheetId="0"/>
      <sheetData sheetId="1"/>
      <sheetData sheetId="2" refreshError="1">
        <row r="1">
          <cell r="A1" t="str">
            <v>사원번호</v>
          </cell>
          <cell r="B1" t="str">
            <v>성 명</v>
          </cell>
          <cell r="C1" t="str">
            <v>팀명</v>
          </cell>
          <cell r="D1" t="str">
            <v>직위</v>
          </cell>
          <cell r="E1" t="str">
            <v>입사년월일</v>
          </cell>
          <cell r="F1" t="str">
            <v>주민등록NO</v>
          </cell>
          <cell r="G1" t="str">
            <v>학  력</v>
          </cell>
          <cell r="H1" t="str">
            <v>재직여부</v>
          </cell>
        </row>
        <row r="2">
          <cell r="A2" t="str">
            <v>001795</v>
          </cell>
          <cell r="B2" t="str">
            <v>강대천</v>
          </cell>
          <cell r="C2" t="str">
            <v>연구소</v>
          </cell>
          <cell r="D2" t="str">
            <v>4급사원</v>
          </cell>
          <cell r="E2" t="str">
            <v>2000.09.18</v>
          </cell>
          <cell r="F2" t="str">
            <v>721206-1412010</v>
          </cell>
          <cell r="G2" t="str">
            <v>성균관대 기계공학</v>
          </cell>
          <cell r="H2" t="str">
            <v>재직</v>
          </cell>
        </row>
        <row r="3">
          <cell r="A3" t="str">
            <v>001599</v>
          </cell>
          <cell r="B3" t="str">
            <v>강민우</v>
          </cell>
          <cell r="C3" t="str">
            <v>연구소</v>
          </cell>
          <cell r="D3" t="str">
            <v>4급사원</v>
          </cell>
          <cell r="E3" t="str">
            <v>2000.07.01</v>
          </cell>
          <cell r="F3" t="str">
            <v>750719-1009723</v>
          </cell>
          <cell r="G3" t="str">
            <v>서강대 전산</v>
          </cell>
          <cell r="H3" t="str">
            <v>재직</v>
          </cell>
        </row>
        <row r="4">
          <cell r="A4" t="str">
            <v>990161</v>
          </cell>
          <cell r="B4" t="str">
            <v>강성민</v>
          </cell>
          <cell r="C4" t="str">
            <v>연구소</v>
          </cell>
          <cell r="D4" t="str">
            <v>4급사원</v>
          </cell>
          <cell r="E4" t="str">
            <v>1999.07.01</v>
          </cell>
          <cell r="F4" t="str">
            <v>720609-1822812</v>
          </cell>
          <cell r="G4" t="str">
            <v>한국외국어대 경영정보</v>
          </cell>
          <cell r="H4" t="str">
            <v>재직</v>
          </cell>
        </row>
        <row r="5">
          <cell r="A5" t="str">
            <v>990117</v>
          </cell>
          <cell r="B5" t="str">
            <v>강승식</v>
          </cell>
          <cell r="C5" t="str">
            <v>시스템운영팀</v>
          </cell>
          <cell r="D5" t="str">
            <v>4급사원</v>
          </cell>
          <cell r="E5" t="str">
            <v>1999.07.01</v>
          </cell>
          <cell r="F5" t="str">
            <v>721110-1056214</v>
          </cell>
          <cell r="G5" t="str">
            <v>홍익대 경영학</v>
          </cell>
          <cell r="H5" t="str">
            <v>재직</v>
          </cell>
        </row>
        <row r="6">
          <cell r="A6" t="str">
            <v>001370</v>
          </cell>
          <cell r="B6" t="str">
            <v>강연주</v>
          </cell>
          <cell r="C6" t="str">
            <v>시스템운영팀</v>
          </cell>
          <cell r="D6" t="str">
            <v>5급사원</v>
          </cell>
          <cell r="E6" t="str">
            <v>2000.05.08</v>
          </cell>
          <cell r="F6" t="str">
            <v>771016-2630211</v>
          </cell>
          <cell r="G6" t="str">
            <v>현대전산원 정보처리학</v>
          </cell>
          <cell r="H6" t="str">
            <v>재직</v>
          </cell>
        </row>
        <row r="7">
          <cell r="A7" t="str">
            <v>001478</v>
          </cell>
          <cell r="B7" t="str">
            <v>강영웅</v>
          </cell>
          <cell r="C7" t="str">
            <v>연구소</v>
          </cell>
          <cell r="D7" t="str">
            <v>4급사원</v>
          </cell>
          <cell r="E7" t="str">
            <v>2000.06.12</v>
          </cell>
          <cell r="F7" t="str">
            <v>750315-2011511</v>
          </cell>
          <cell r="G7" t="str">
            <v>건국대 산업디자인</v>
          </cell>
          <cell r="H7" t="str">
            <v>재직</v>
          </cell>
        </row>
        <row r="8">
          <cell r="A8" t="str">
            <v>001697</v>
          </cell>
          <cell r="B8" t="str">
            <v>강일곤</v>
          </cell>
          <cell r="C8" t="str">
            <v>EC사업팀</v>
          </cell>
          <cell r="D8" t="str">
            <v>전임</v>
          </cell>
          <cell r="E8" t="str">
            <v>2000.07.13</v>
          </cell>
          <cell r="F8" t="str">
            <v>660905-1932516</v>
          </cell>
          <cell r="G8" t="str">
            <v>경희대 화학</v>
          </cell>
          <cell r="H8" t="str">
            <v>재직</v>
          </cell>
        </row>
        <row r="9">
          <cell r="A9" t="str">
            <v>001340</v>
          </cell>
          <cell r="B9" t="str">
            <v>고정림</v>
          </cell>
          <cell r="C9" t="str">
            <v>경영지원팀</v>
          </cell>
          <cell r="D9" t="str">
            <v>전임</v>
          </cell>
          <cell r="E9" t="str">
            <v>2000.04.29</v>
          </cell>
          <cell r="F9" t="str">
            <v>670715-1903531</v>
          </cell>
          <cell r="G9" t="str">
            <v>고려대 경제학</v>
          </cell>
          <cell r="H9" t="str">
            <v>재직</v>
          </cell>
        </row>
        <row r="10">
          <cell r="A10" t="str">
            <v>990124</v>
          </cell>
          <cell r="B10" t="str">
            <v>곽동우</v>
          </cell>
          <cell r="C10" t="str">
            <v>연구소</v>
          </cell>
          <cell r="D10" t="str">
            <v>4급사원</v>
          </cell>
          <cell r="E10" t="str">
            <v>1999.01.01</v>
          </cell>
          <cell r="F10" t="str">
            <v>730206-1030816</v>
          </cell>
          <cell r="G10" t="str">
            <v>홍익대 무역학</v>
          </cell>
          <cell r="H10" t="str">
            <v>재직</v>
          </cell>
        </row>
        <row r="11">
          <cell r="A11" t="str">
            <v>001387</v>
          </cell>
          <cell r="B11" t="str">
            <v>국성호</v>
          </cell>
          <cell r="C11" t="str">
            <v>경영지원팀</v>
          </cell>
          <cell r="D11" t="str">
            <v>전임</v>
          </cell>
          <cell r="E11" t="str">
            <v>2000.05.12</v>
          </cell>
          <cell r="F11" t="str">
            <v>690120-1449013</v>
          </cell>
          <cell r="G11" t="str">
            <v>충남대 행정학과</v>
          </cell>
          <cell r="H11" t="str">
            <v>재직</v>
          </cell>
        </row>
        <row r="12">
          <cell r="A12" t="str">
            <v>980179</v>
          </cell>
          <cell r="B12" t="str">
            <v>권세라</v>
          </cell>
          <cell r="C12" t="str">
            <v>연구소</v>
          </cell>
          <cell r="D12" t="str">
            <v>4급사원</v>
          </cell>
          <cell r="E12" t="str">
            <v>1998.01.01</v>
          </cell>
          <cell r="F12" t="str">
            <v>741114-2064022</v>
          </cell>
          <cell r="G12" t="str">
            <v>경원대 전자계산</v>
          </cell>
          <cell r="H12" t="str">
            <v>재직</v>
          </cell>
        </row>
        <row r="13">
          <cell r="A13" t="str">
            <v>001613</v>
          </cell>
          <cell r="B13" t="str">
            <v>김경준</v>
          </cell>
          <cell r="C13" t="str">
            <v>연구소</v>
          </cell>
          <cell r="D13" t="str">
            <v>4급사원</v>
          </cell>
          <cell r="E13" t="str">
            <v>2000.07.01</v>
          </cell>
          <cell r="F13" t="str">
            <v>721126-1540517</v>
          </cell>
          <cell r="G13" t="str">
            <v>고려대 화학공학</v>
          </cell>
          <cell r="H13" t="str">
            <v>재직</v>
          </cell>
        </row>
        <row r="14">
          <cell r="A14" t="str">
            <v>001016</v>
          </cell>
          <cell r="B14" t="str">
            <v>김근엽</v>
          </cell>
          <cell r="C14" t="str">
            <v>NIS팀</v>
          </cell>
          <cell r="D14" t="str">
            <v>4급사원</v>
          </cell>
          <cell r="E14" t="str">
            <v>2000.01.01</v>
          </cell>
          <cell r="F14" t="str">
            <v>730715-1347728</v>
          </cell>
          <cell r="G14" t="str">
            <v>국민대 기계공학</v>
          </cell>
          <cell r="H14" t="str">
            <v>재직</v>
          </cell>
        </row>
        <row r="15">
          <cell r="A15" t="str">
            <v>001462</v>
          </cell>
          <cell r="B15" t="str">
            <v>김대연</v>
          </cell>
          <cell r="C15" t="str">
            <v>연구소</v>
          </cell>
          <cell r="D15" t="str">
            <v>4급사원</v>
          </cell>
          <cell r="E15" t="str">
            <v>2000.06.09</v>
          </cell>
          <cell r="F15" t="str">
            <v>730302-2037714</v>
          </cell>
          <cell r="G15" t="str">
            <v>안양대학 시각디자인</v>
          </cell>
          <cell r="H15" t="str">
            <v>재직</v>
          </cell>
        </row>
        <row r="16">
          <cell r="A16" t="str">
            <v>972025</v>
          </cell>
          <cell r="B16" t="str">
            <v>김명세</v>
          </cell>
          <cell r="C16" t="str">
            <v>시스템운영팀</v>
          </cell>
          <cell r="D16" t="str">
            <v>선임</v>
          </cell>
          <cell r="E16" t="str">
            <v>1997.01.01</v>
          </cell>
          <cell r="F16" t="str">
            <v>650909-1161911</v>
          </cell>
          <cell r="G16" t="str">
            <v>숭실대 전자계산학</v>
          </cell>
          <cell r="H16" t="str">
            <v>재직</v>
          </cell>
        </row>
        <row r="17">
          <cell r="A17" t="str">
            <v>001552</v>
          </cell>
          <cell r="B17" t="str">
            <v>김문경</v>
          </cell>
          <cell r="C17" t="str">
            <v>시스템운영팀</v>
          </cell>
          <cell r="D17" t="str">
            <v>5급사원</v>
          </cell>
          <cell r="E17" t="str">
            <v>2000.07.01</v>
          </cell>
          <cell r="F17" t="str">
            <v>720805-2836135</v>
          </cell>
          <cell r="G17" t="str">
            <v>부산정보대 전자통신과</v>
          </cell>
          <cell r="H17" t="str">
            <v>재직</v>
          </cell>
        </row>
        <row r="18">
          <cell r="A18" t="str">
            <v>001492</v>
          </cell>
          <cell r="B18" t="str">
            <v>김문선</v>
          </cell>
          <cell r="C18" t="str">
            <v>NIS팀</v>
          </cell>
          <cell r="D18" t="str">
            <v>5급사원</v>
          </cell>
          <cell r="E18" t="str">
            <v>2000.06.19</v>
          </cell>
          <cell r="F18" t="str">
            <v>720214-2041110</v>
          </cell>
          <cell r="G18" t="str">
            <v>부천전문대 식품영양과</v>
          </cell>
          <cell r="H18" t="str">
            <v>재직</v>
          </cell>
        </row>
        <row r="19">
          <cell r="A19" t="str">
            <v>001023</v>
          </cell>
          <cell r="B19" t="str">
            <v>김민수</v>
          </cell>
          <cell r="C19" t="str">
            <v>연구소</v>
          </cell>
          <cell r="D19" t="str">
            <v>4급사원</v>
          </cell>
          <cell r="E19" t="str">
            <v>2000.01.01</v>
          </cell>
          <cell r="F19" t="str">
            <v>740313-1025324</v>
          </cell>
          <cell r="G19" t="str">
            <v>중앙대 컴퓨터공학</v>
          </cell>
          <cell r="H19" t="str">
            <v>재직</v>
          </cell>
        </row>
        <row r="20">
          <cell r="A20" t="str">
            <v>980339</v>
          </cell>
          <cell r="B20" t="str">
            <v>김병국</v>
          </cell>
          <cell r="C20" t="str">
            <v>시스템운영팀</v>
          </cell>
          <cell r="D20" t="str">
            <v>4급사원</v>
          </cell>
          <cell r="E20" t="str">
            <v>1998.05.01</v>
          </cell>
          <cell r="F20" t="str">
            <v>690614-1067912</v>
          </cell>
          <cell r="G20" t="str">
            <v>한국전산대 정보처리</v>
          </cell>
          <cell r="H20" t="str">
            <v>재직</v>
          </cell>
        </row>
        <row r="21">
          <cell r="A21" t="str">
            <v>972314</v>
          </cell>
          <cell r="B21" t="str">
            <v>김석우</v>
          </cell>
          <cell r="C21" t="str">
            <v>시스템운영팀</v>
          </cell>
          <cell r="D21" t="str">
            <v>5급사원</v>
          </cell>
          <cell r="E21" t="str">
            <v>1997.09.03</v>
          </cell>
          <cell r="F21" t="str">
            <v>740714-1338715</v>
          </cell>
          <cell r="G21" t="str">
            <v>영동전문대 전자계산학</v>
          </cell>
          <cell r="H21" t="str">
            <v>재직</v>
          </cell>
        </row>
        <row r="22">
          <cell r="A22" t="str">
            <v>980685</v>
          </cell>
          <cell r="B22" t="str">
            <v>김세동</v>
          </cell>
          <cell r="C22" t="str">
            <v>시스템운영팀</v>
          </cell>
          <cell r="D22" t="str">
            <v>5급사원</v>
          </cell>
          <cell r="E22" t="str">
            <v>1998.09.01</v>
          </cell>
          <cell r="F22" t="str">
            <v>701122-1029817</v>
          </cell>
          <cell r="G22" t="str">
            <v>대일고/인문</v>
          </cell>
          <cell r="H22" t="str">
            <v>재직</v>
          </cell>
        </row>
        <row r="23">
          <cell r="A23" t="str">
            <v>001704</v>
          </cell>
          <cell r="B23" t="str">
            <v>김용석</v>
          </cell>
          <cell r="C23" t="str">
            <v>SI사업팀</v>
          </cell>
          <cell r="D23" t="str">
            <v>4급사원</v>
          </cell>
          <cell r="E23" t="str">
            <v>2000.07.13</v>
          </cell>
          <cell r="F23" t="str">
            <v>720904-1046811</v>
          </cell>
          <cell r="G23" t="str">
            <v>한세대 컴퓨터공학</v>
          </cell>
          <cell r="H23" t="str">
            <v>재직</v>
          </cell>
        </row>
        <row r="24">
          <cell r="A24" t="str">
            <v>001046</v>
          </cell>
          <cell r="B24" t="str">
            <v>김인수</v>
          </cell>
          <cell r="C24" t="str">
            <v>연구소</v>
          </cell>
          <cell r="D24" t="str">
            <v>4급사원</v>
          </cell>
          <cell r="E24" t="str">
            <v>2000.01.01</v>
          </cell>
          <cell r="F24" t="str">
            <v>730311-1067145</v>
          </cell>
          <cell r="G24" t="str">
            <v>인하대 자동화공학과</v>
          </cell>
          <cell r="H24" t="str">
            <v>재직</v>
          </cell>
        </row>
        <row r="25">
          <cell r="A25" t="str">
            <v>001833</v>
          </cell>
          <cell r="B25" t="str">
            <v>김재원</v>
          </cell>
          <cell r="C25" t="str">
            <v>경영지원팀</v>
          </cell>
          <cell r="D25" t="str">
            <v>5급사원</v>
          </cell>
          <cell r="E25" t="str">
            <v>2000.10.23</v>
          </cell>
          <cell r="F25" t="str">
            <v>761224-1231321</v>
          </cell>
          <cell r="G25" t="str">
            <v xml:space="preserve">우석고 </v>
          </cell>
          <cell r="H25" t="str">
            <v>재직</v>
          </cell>
        </row>
        <row r="26">
          <cell r="A26" t="str">
            <v>001418</v>
          </cell>
          <cell r="B26" t="str">
            <v>김정준</v>
          </cell>
          <cell r="C26" t="str">
            <v>시스템운영팀</v>
          </cell>
          <cell r="D26" t="str">
            <v>4급사원</v>
          </cell>
          <cell r="E26" t="str">
            <v>2000.06.01</v>
          </cell>
          <cell r="F26" t="str">
            <v>700711-1090913</v>
          </cell>
          <cell r="G26" t="str">
            <v>동아대 기계공학</v>
          </cell>
          <cell r="H26" t="str">
            <v>재직</v>
          </cell>
        </row>
        <row r="27">
          <cell r="A27" t="str">
            <v>001620</v>
          </cell>
          <cell r="B27" t="str">
            <v>김조형</v>
          </cell>
          <cell r="C27" t="str">
            <v>NIS팀</v>
          </cell>
          <cell r="D27" t="str">
            <v>4급사원</v>
          </cell>
          <cell r="E27" t="str">
            <v>2000.07.01</v>
          </cell>
          <cell r="F27" t="str">
            <v>741225-1923217</v>
          </cell>
          <cell r="G27" t="str">
            <v>서울대 대기과학</v>
          </cell>
          <cell r="H27" t="str">
            <v>재직</v>
          </cell>
        </row>
        <row r="28">
          <cell r="A28" t="str">
            <v>980028</v>
          </cell>
          <cell r="B28" t="str">
            <v>김종국</v>
          </cell>
          <cell r="C28" t="str">
            <v>NIS팀</v>
          </cell>
          <cell r="D28" t="str">
            <v>4급사원</v>
          </cell>
          <cell r="E28" t="str">
            <v>1998.01.01</v>
          </cell>
          <cell r="F28" t="str">
            <v>720521-1018316</v>
          </cell>
          <cell r="G28" t="str">
            <v>경원대 전자계산</v>
          </cell>
          <cell r="H28" t="str">
            <v>재직</v>
          </cell>
        </row>
        <row r="29">
          <cell r="A29" t="str">
            <v>990435</v>
          </cell>
          <cell r="B29" t="str">
            <v>김주헌</v>
          </cell>
          <cell r="C29" t="str">
            <v>시스템운영팀</v>
          </cell>
          <cell r="D29" t="str">
            <v>전임</v>
          </cell>
          <cell r="E29" t="str">
            <v>1999.10.18</v>
          </cell>
          <cell r="F29" t="str">
            <v>680205-1046123</v>
          </cell>
          <cell r="G29" t="str">
            <v>서울산업대 기계공학과</v>
          </cell>
          <cell r="H29" t="str">
            <v>재직</v>
          </cell>
        </row>
        <row r="30">
          <cell r="A30" t="str">
            <v>001053</v>
          </cell>
          <cell r="B30" t="str">
            <v>김준근</v>
          </cell>
          <cell r="C30" t="str">
            <v>연구소</v>
          </cell>
          <cell r="D30" t="str">
            <v>4급사원</v>
          </cell>
          <cell r="E30" t="str">
            <v>2000.01.01</v>
          </cell>
          <cell r="F30">
            <v>7409161168116</v>
          </cell>
          <cell r="G30" t="str">
            <v>서강대 컴퓨터공학</v>
          </cell>
          <cell r="H30" t="str">
            <v>재직</v>
          </cell>
        </row>
        <row r="31">
          <cell r="A31" t="str">
            <v>001508</v>
          </cell>
          <cell r="B31" t="str">
            <v>김지현</v>
          </cell>
          <cell r="C31" t="str">
            <v>경영지원팀</v>
          </cell>
          <cell r="D31" t="str">
            <v>5급사원</v>
          </cell>
          <cell r="E31" t="str">
            <v>2000.06.19</v>
          </cell>
          <cell r="F31" t="str">
            <v>751022-2162521</v>
          </cell>
          <cell r="G31" t="str">
            <v>협성대 경영정보학과</v>
          </cell>
          <cell r="H31" t="str">
            <v>재직</v>
          </cell>
        </row>
        <row r="32">
          <cell r="A32" t="str">
            <v>001539</v>
          </cell>
          <cell r="B32" t="str">
            <v>김지형</v>
          </cell>
          <cell r="C32" t="str">
            <v>NIS팀</v>
          </cell>
          <cell r="D32" t="str">
            <v>5급사원</v>
          </cell>
          <cell r="E32" t="str">
            <v>2000.06.19</v>
          </cell>
          <cell r="F32" t="str">
            <v>771203-2174016</v>
          </cell>
          <cell r="G32" t="str">
            <v>인덕전문대 사무자동화과</v>
          </cell>
          <cell r="H32" t="str">
            <v>재직</v>
          </cell>
        </row>
        <row r="33">
          <cell r="A33" t="str">
            <v>961020</v>
          </cell>
          <cell r="B33" t="str">
            <v>김진섭</v>
          </cell>
          <cell r="C33" t="str">
            <v>전략기획실</v>
          </cell>
          <cell r="D33" t="str">
            <v>수석</v>
          </cell>
          <cell r="E33" t="str">
            <v>1996.05.01</v>
          </cell>
          <cell r="F33" t="str">
            <v>541220-1024918</v>
          </cell>
          <cell r="G33" t="str">
            <v>서울산업대 전자계산학 중퇴</v>
          </cell>
          <cell r="H33" t="str">
            <v>재직</v>
          </cell>
        </row>
        <row r="34">
          <cell r="A34" t="str">
            <v>990488</v>
          </cell>
          <cell r="B34" t="str">
            <v>김진옥</v>
          </cell>
          <cell r="C34" t="str">
            <v>시스템운영팀</v>
          </cell>
          <cell r="D34" t="str">
            <v>5급사원</v>
          </cell>
          <cell r="E34" t="str">
            <v>1999.11.01</v>
          </cell>
          <cell r="F34" t="str">
            <v>790819-2241115</v>
          </cell>
          <cell r="G34" t="str">
            <v>인덕전문대 여성정보행정</v>
          </cell>
          <cell r="H34" t="str">
            <v>재직</v>
          </cell>
        </row>
        <row r="35">
          <cell r="A35" t="str">
            <v>961540</v>
          </cell>
          <cell r="B35" t="str">
            <v>김태억</v>
          </cell>
          <cell r="C35" t="str">
            <v>연구소</v>
          </cell>
          <cell r="D35" t="str">
            <v>전임</v>
          </cell>
          <cell r="E35" t="str">
            <v>1996.08.01</v>
          </cell>
          <cell r="F35" t="str">
            <v>710406-1390913</v>
          </cell>
          <cell r="G35" t="str">
            <v>충북대 컴퓨터공학</v>
          </cell>
          <cell r="H35" t="str">
            <v>재직</v>
          </cell>
        </row>
        <row r="36">
          <cell r="A36" t="str">
            <v>980692</v>
          </cell>
          <cell r="B36" t="str">
            <v>김해중</v>
          </cell>
          <cell r="C36" t="str">
            <v>시스템운영팀</v>
          </cell>
          <cell r="D36" t="str">
            <v>4급사원</v>
          </cell>
          <cell r="E36" t="str">
            <v>1998.09.01</v>
          </cell>
          <cell r="F36" t="str">
            <v>670125-1541213</v>
          </cell>
          <cell r="G36" t="str">
            <v>숭실전산 정보처리</v>
          </cell>
          <cell r="H36" t="str">
            <v>재직</v>
          </cell>
        </row>
        <row r="37">
          <cell r="A37" t="str">
            <v>990100</v>
          </cell>
          <cell r="B37" t="str">
            <v>김화선</v>
          </cell>
          <cell r="C37" t="str">
            <v>시스템운영팀</v>
          </cell>
          <cell r="D37" t="str">
            <v>5급사원</v>
          </cell>
          <cell r="E37" t="str">
            <v>1999.06.07</v>
          </cell>
          <cell r="F37" t="str">
            <v>760522-2235122</v>
          </cell>
          <cell r="G37" t="str">
            <v>안산전문대 전산정보처리과</v>
          </cell>
          <cell r="H37" t="str">
            <v>재직</v>
          </cell>
        </row>
        <row r="38">
          <cell r="A38" t="str">
            <v>990093</v>
          </cell>
          <cell r="B38" t="str">
            <v>김희정</v>
          </cell>
          <cell r="C38" t="str">
            <v>시스템운영팀</v>
          </cell>
          <cell r="D38" t="str">
            <v>5급사원</v>
          </cell>
          <cell r="E38" t="str">
            <v>1999.06.07</v>
          </cell>
          <cell r="F38" t="str">
            <v>761207-2644616</v>
          </cell>
          <cell r="G38" t="str">
            <v>신흥전문대 경영과</v>
          </cell>
          <cell r="H38" t="str">
            <v>재직</v>
          </cell>
        </row>
        <row r="39">
          <cell r="A39" t="str">
            <v>961416</v>
          </cell>
          <cell r="B39" t="str">
            <v>노상규</v>
          </cell>
          <cell r="C39" t="str">
            <v>시스템운영팀</v>
          </cell>
          <cell r="D39" t="str">
            <v>전임</v>
          </cell>
          <cell r="E39" t="str">
            <v>1996.05.01</v>
          </cell>
          <cell r="F39" t="str">
            <v>700801-1057634</v>
          </cell>
          <cell r="G39" t="str">
            <v>고려대 응용통계학</v>
          </cell>
          <cell r="H39" t="str">
            <v>재직</v>
          </cell>
        </row>
        <row r="40">
          <cell r="A40" t="str">
            <v>001060</v>
          </cell>
          <cell r="B40" t="str">
            <v>노지민</v>
          </cell>
          <cell r="C40" t="str">
            <v>연구소</v>
          </cell>
          <cell r="D40" t="str">
            <v>4급사원</v>
          </cell>
          <cell r="E40" t="str">
            <v>2000.01.01</v>
          </cell>
          <cell r="F40" t="str">
            <v>760709-2075316</v>
          </cell>
          <cell r="G40" t="str">
            <v>숭실대 컴퓨터학부</v>
          </cell>
          <cell r="H40" t="str">
            <v>재직</v>
          </cell>
        </row>
        <row r="41">
          <cell r="A41" t="str">
            <v>001296</v>
          </cell>
          <cell r="B41" t="str">
            <v>류동우</v>
          </cell>
          <cell r="C41" t="str">
            <v>연구소</v>
          </cell>
          <cell r="D41" t="str">
            <v>4급사원</v>
          </cell>
          <cell r="E41" t="str">
            <v>2000.04.10</v>
          </cell>
          <cell r="F41" t="str">
            <v>711015-1691821</v>
          </cell>
          <cell r="G41" t="str">
            <v>대구대 시각디자인</v>
          </cell>
          <cell r="H41" t="str">
            <v>재직</v>
          </cell>
        </row>
        <row r="42">
          <cell r="A42" t="str">
            <v>990282</v>
          </cell>
          <cell r="B42" t="str">
            <v>문동금</v>
          </cell>
          <cell r="C42" t="str">
            <v>경영지원팀</v>
          </cell>
          <cell r="D42" t="str">
            <v>5급사원</v>
          </cell>
          <cell r="E42" t="str">
            <v>1999.08.26</v>
          </cell>
          <cell r="F42" t="str">
            <v>780608-2666124</v>
          </cell>
          <cell r="G42" t="str">
            <v>숭의여전 경영과</v>
          </cell>
          <cell r="H42" t="str">
            <v>재직</v>
          </cell>
        </row>
        <row r="43">
          <cell r="A43" t="str">
            <v>980284</v>
          </cell>
          <cell r="B43" t="str">
            <v>문진식</v>
          </cell>
          <cell r="C43" t="str">
            <v>시스템운영팀</v>
          </cell>
          <cell r="D43" t="str">
            <v>선임</v>
          </cell>
          <cell r="E43" t="str">
            <v>1998.03.03</v>
          </cell>
          <cell r="F43" t="str">
            <v>640914-1921111</v>
          </cell>
          <cell r="G43" t="str">
            <v>중앙대 전자계산학</v>
          </cell>
          <cell r="H43" t="str">
            <v>재직</v>
          </cell>
        </row>
        <row r="44">
          <cell r="A44" t="str">
            <v>001076</v>
          </cell>
          <cell r="B44" t="str">
            <v>박광수</v>
          </cell>
          <cell r="C44" t="str">
            <v>시스템운영팀</v>
          </cell>
          <cell r="D44" t="str">
            <v>4급사원</v>
          </cell>
          <cell r="E44" t="str">
            <v>2000.01.01</v>
          </cell>
          <cell r="F44" t="str">
            <v>731111-1535317</v>
          </cell>
          <cell r="G44" t="str">
            <v>서울시립대 전산통계</v>
          </cell>
          <cell r="H44" t="str">
            <v>재직</v>
          </cell>
        </row>
        <row r="45">
          <cell r="A45" t="str">
            <v>001083</v>
          </cell>
          <cell r="B45" t="str">
            <v>박성호</v>
          </cell>
          <cell r="C45" t="str">
            <v>경영지원팀</v>
          </cell>
          <cell r="D45" t="str">
            <v>4급사원</v>
          </cell>
          <cell r="E45" t="str">
            <v>2000.01.01</v>
          </cell>
          <cell r="F45" t="str">
            <v>721218-1322114</v>
          </cell>
          <cell r="G45" t="str">
            <v>서울대 농학과</v>
          </cell>
          <cell r="H45" t="str">
            <v>재직</v>
          </cell>
        </row>
        <row r="46">
          <cell r="A46" t="str">
            <v>990428</v>
          </cell>
          <cell r="B46" t="str">
            <v>박완길</v>
          </cell>
          <cell r="C46" t="str">
            <v>경영지원팀</v>
          </cell>
          <cell r="D46" t="str">
            <v>선임</v>
          </cell>
          <cell r="E46" t="str">
            <v>1999.10.18</v>
          </cell>
          <cell r="F46" t="str">
            <v>680301-1348535</v>
          </cell>
          <cell r="G46" t="str">
            <v>서강대 정치외교학과</v>
          </cell>
          <cell r="H46" t="str">
            <v>재직</v>
          </cell>
        </row>
        <row r="47">
          <cell r="A47" t="str">
            <v>980807</v>
          </cell>
          <cell r="B47" t="str">
            <v>박용재</v>
          </cell>
          <cell r="C47" t="str">
            <v>시스템개발팀</v>
          </cell>
          <cell r="D47" t="str">
            <v>수석</v>
          </cell>
          <cell r="E47" t="str">
            <v>1998.09.01</v>
          </cell>
          <cell r="F47" t="str">
            <v>540305-1052030</v>
          </cell>
          <cell r="G47" t="str">
            <v>인하대 수학</v>
          </cell>
          <cell r="H47" t="str">
            <v>재직</v>
          </cell>
        </row>
        <row r="48">
          <cell r="A48" t="str">
            <v>972295</v>
          </cell>
          <cell r="B48" t="str">
            <v>박우진</v>
          </cell>
          <cell r="C48" t="str">
            <v>시스템운영팀</v>
          </cell>
          <cell r="D48" t="str">
            <v>선임</v>
          </cell>
          <cell r="E48" t="str">
            <v>1997.08.01</v>
          </cell>
          <cell r="F48" t="str">
            <v>621008-1545929</v>
          </cell>
          <cell r="G48" t="str">
            <v>군산대 전산통계학</v>
          </cell>
          <cell r="H48" t="str">
            <v>재직</v>
          </cell>
        </row>
        <row r="49">
          <cell r="A49" t="str">
            <v>001771</v>
          </cell>
          <cell r="B49" t="str">
            <v>박은영</v>
          </cell>
          <cell r="C49" t="str">
            <v>연구소</v>
          </cell>
          <cell r="D49" t="str">
            <v>4급사원</v>
          </cell>
          <cell r="E49" t="str">
            <v>2000.09.04</v>
          </cell>
          <cell r="F49" t="str">
            <v>731005-2402711</v>
          </cell>
          <cell r="G49" t="str">
            <v>대전대 정치외교학과</v>
          </cell>
          <cell r="H49" t="str">
            <v>재직</v>
          </cell>
        </row>
        <row r="50">
          <cell r="A50" t="str">
            <v>990306</v>
          </cell>
          <cell r="B50" t="str">
            <v>박은진</v>
          </cell>
          <cell r="C50" t="str">
            <v>NIS팀</v>
          </cell>
          <cell r="D50" t="str">
            <v>5급사원</v>
          </cell>
          <cell r="E50" t="str">
            <v>1999.08.30</v>
          </cell>
          <cell r="F50" t="str">
            <v>760916-2524311</v>
          </cell>
          <cell r="G50" t="str">
            <v>충남전문대 전자계산</v>
          </cell>
          <cell r="H50" t="str">
            <v>재직</v>
          </cell>
        </row>
        <row r="51">
          <cell r="A51" t="str">
            <v>961275</v>
          </cell>
          <cell r="B51" t="str">
            <v>박재희</v>
          </cell>
          <cell r="C51" t="str">
            <v>연구소</v>
          </cell>
          <cell r="D51" t="str">
            <v>전임</v>
          </cell>
          <cell r="E51" t="str">
            <v>1996.05.01</v>
          </cell>
          <cell r="F51" t="str">
            <v>700901-1123211</v>
          </cell>
          <cell r="G51" t="str">
            <v>세종대 전산과학</v>
          </cell>
          <cell r="H51" t="str">
            <v>재직</v>
          </cell>
        </row>
        <row r="52">
          <cell r="A52" t="str">
            <v>001289</v>
          </cell>
          <cell r="B52" t="str">
            <v>박정현</v>
          </cell>
          <cell r="C52" t="str">
            <v>경영지원팀</v>
          </cell>
          <cell r="D52" t="str">
            <v>전임</v>
          </cell>
          <cell r="E52" t="str">
            <v>2000.04.01</v>
          </cell>
          <cell r="F52" t="str">
            <v>660423-1036610</v>
          </cell>
          <cell r="G52" t="str">
            <v>덕수상고</v>
          </cell>
          <cell r="H52" t="str">
            <v>재직</v>
          </cell>
        </row>
        <row r="53">
          <cell r="A53" t="str">
            <v>961103</v>
          </cell>
          <cell r="B53" t="str">
            <v>박형식</v>
          </cell>
          <cell r="C53" t="str">
            <v>연구소</v>
          </cell>
          <cell r="D53" t="str">
            <v>책임</v>
          </cell>
          <cell r="E53" t="str">
            <v>1996.05.01</v>
          </cell>
          <cell r="F53" t="str">
            <v>610526-1026125</v>
          </cell>
          <cell r="G53" t="str">
            <v>동국대 정보관리</v>
          </cell>
          <cell r="H53" t="str">
            <v>재직</v>
          </cell>
        </row>
        <row r="54">
          <cell r="A54" t="str">
            <v>001364</v>
          </cell>
          <cell r="B54" t="str">
            <v>서수일</v>
          </cell>
          <cell r="C54" t="str">
            <v>시스템운영팀</v>
          </cell>
          <cell r="D54" t="str">
            <v>5급사원</v>
          </cell>
          <cell r="E54" t="str">
            <v>2000.05.08</v>
          </cell>
          <cell r="F54" t="str">
            <v>710701-2398411</v>
          </cell>
          <cell r="G54" t="str">
            <v>충청전문대 산업디자인0</v>
          </cell>
          <cell r="H54" t="str">
            <v>재직</v>
          </cell>
        </row>
        <row r="55">
          <cell r="A55" t="str">
            <v>990252</v>
          </cell>
          <cell r="B55" t="str">
            <v>서중원</v>
          </cell>
          <cell r="C55" t="str">
            <v>시스템운영팀</v>
          </cell>
          <cell r="D55" t="str">
            <v>전임</v>
          </cell>
          <cell r="E55" t="str">
            <v>1999.07.01</v>
          </cell>
          <cell r="F55" t="str">
            <v>670729-1036412</v>
          </cell>
          <cell r="G55" t="str">
            <v>숭실전산원 정보처리학</v>
          </cell>
          <cell r="H55" t="str">
            <v>재직</v>
          </cell>
        </row>
        <row r="56">
          <cell r="A56" t="str">
            <v>980149</v>
          </cell>
          <cell r="B56" t="str">
            <v>서혁장</v>
          </cell>
          <cell r="C56" t="str">
            <v>NIS팀</v>
          </cell>
          <cell r="D56" t="str">
            <v>4급사원</v>
          </cell>
          <cell r="E56" t="str">
            <v>1998.01.01</v>
          </cell>
          <cell r="F56" t="str">
            <v>700729-1235011</v>
          </cell>
          <cell r="G56" t="str">
            <v>고려대 수학</v>
          </cell>
          <cell r="H56" t="str">
            <v>재직</v>
          </cell>
        </row>
        <row r="57">
          <cell r="A57" t="str">
            <v>980041</v>
          </cell>
          <cell r="B57" t="str">
            <v>송영민</v>
          </cell>
          <cell r="C57" t="str">
            <v>NIS팀</v>
          </cell>
          <cell r="D57" t="str">
            <v>4급사원</v>
          </cell>
          <cell r="E57" t="str">
            <v>1998.01.01</v>
          </cell>
          <cell r="F57" t="str">
            <v>720805-1182410</v>
          </cell>
          <cell r="G57" t="str">
            <v>동국대 수학</v>
          </cell>
          <cell r="H57" t="str">
            <v>재직</v>
          </cell>
        </row>
        <row r="58">
          <cell r="A58" t="str">
            <v>001522</v>
          </cell>
          <cell r="B58" t="str">
            <v>송정분</v>
          </cell>
          <cell r="C58" t="str">
            <v>NIS팀</v>
          </cell>
          <cell r="D58" t="str">
            <v>5급사원</v>
          </cell>
          <cell r="E58" t="str">
            <v>2000.06.21</v>
          </cell>
          <cell r="F58" t="str">
            <v>770224-2224328</v>
          </cell>
          <cell r="G58" t="str">
            <v>동국전산 전자계산원</v>
          </cell>
          <cell r="H58" t="str">
            <v>재직</v>
          </cell>
        </row>
        <row r="59">
          <cell r="A59" t="str">
            <v>001819</v>
          </cell>
          <cell r="B59" t="str">
            <v>송희원</v>
          </cell>
          <cell r="C59" t="str">
            <v>NIS팀</v>
          </cell>
          <cell r="D59" t="str">
            <v>계약</v>
          </cell>
          <cell r="H59" t="str">
            <v>재직</v>
          </cell>
        </row>
        <row r="60">
          <cell r="A60" t="str">
            <v>001711</v>
          </cell>
          <cell r="B60" t="str">
            <v>신동오</v>
          </cell>
          <cell r="C60" t="str">
            <v>EC사업팀</v>
          </cell>
          <cell r="D60" t="str">
            <v>선임</v>
          </cell>
          <cell r="E60" t="str">
            <v>2000.07.13</v>
          </cell>
          <cell r="F60" t="str">
            <v>610930-1156410</v>
          </cell>
          <cell r="G60" t="str">
            <v>숭실대 전자계산학</v>
          </cell>
          <cell r="H60" t="str">
            <v>재직</v>
          </cell>
        </row>
        <row r="61">
          <cell r="A61" t="str">
            <v>965195</v>
          </cell>
          <cell r="B61" t="str">
            <v>신동주</v>
          </cell>
          <cell r="C61" t="str">
            <v>연구소</v>
          </cell>
          <cell r="D61" t="str">
            <v>전임</v>
          </cell>
          <cell r="E61" t="str">
            <v>1996.05.01</v>
          </cell>
          <cell r="F61" t="str">
            <v>740928-2580319</v>
          </cell>
          <cell r="G61" t="str">
            <v>순천대 정보통신공학</v>
          </cell>
          <cell r="H61" t="str">
            <v>재직</v>
          </cell>
        </row>
        <row r="62">
          <cell r="A62" t="str">
            <v>001455</v>
          </cell>
          <cell r="B62" t="str">
            <v>신사라</v>
          </cell>
          <cell r="C62" t="str">
            <v>경영지원팀</v>
          </cell>
          <cell r="D62" t="str">
            <v>5급사원</v>
          </cell>
          <cell r="E62" t="str">
            <v>2000.05.30</v>
          </cell>
          <cell r="F62" t="str">
            <v>711021-2037827</v>
          </cell>
          <cell r="G62" t="str">
            <v>KVB대학 그래픽디자인</v>
          </cell>
          <cell r="H62" t="str">
            <v>재직</v>
          </cell>
        </row>
        <row r="63">
          <cell r="A63" t="str">
            <v>001121</v>
          </cell>
          <cell r="B63" t="str">
            <v>신정환</v>
          </cell>
          <cell r="C63" t="str">
            <v>연구소</v>
          </cell>
          <cell r="D63" t="str">
            <v>4급사원</v>
          </cell>
          <cell r="E63" t="str">
            <v>2000.01.01</v>
          </cell>
          <cell r="F63" t="str">
            <v>691019-1030311</v>
          </cell>
          <cell r="G63" t="str">
            <v>연세대학원 세라믹공학</v>
          </cell>
          <cell r="H63" t="str">
            <v>재직</v>
          </cell>
        </row>
        <row r="64">
          <cell r="A64" t="str">
            <v>980382</v>
          </cell>
          <cell r="B64" t="str">
            <v>신종민</v>
          </cell>
          <cell r="C64" t="str">
            <v>시스템운영팀</v>
          </cell>
          <cell r="D64" t="str">
            <v>수석</v>
          </cell>
          <cell r="E64" t="str">
            <v>1998.08.01</v>
          </cell>
          <cell r="F64" t="str">
            <v>600420-1683636</v>
          </cell>
          <cell r="G64" t="str">
            <v>경북대 통계학</v>
          </cell>
          <cell r="H64" t="str">
            <v>재직</v>
          </cell>
        </row>
        <row r="65">
          <cell r="A65" t="str">
            <v>001569</v>
          </cell>
          <cell r="B65" t="str">
            <v>신창배</v>
          </cell>
          <cell r="C65" t="str">
            <v>시스템운영팀</v>
          </cell>
          <cell r="D65" t="str">
            <v>전임</v>
          </cell>
          <cell r="E65" t="str">
            <v>2000.07.01</v>
          </cell>
          <cell r="F65" t="str">
            <v>700703-1781310</v>
          </cell>
          <cell r="G65" t="str">
            <v>경상대 통계학</v>
          </cell>
          <cell r="H65" t="str">
            <v>재직</v>
          </cell>
        </row>
        <row r="66">
          <cell r="A66" t="str">
            <v>990063</v>
          </cell>
          <cell r="B66" t="str">
            <v>신혁</v>
          </cell>
          <cell r="C66" t="str">
            <v>SI사업팀</v>
          </cell>
          <cell r="D66" t="str">
            <v>선임</v>
          </cell>
          <cell r="E66" t="str">
            <v>1999.04.06</v>
          </cell>
          <cell r="F66" t="str">
            <v>650302-1101818</v>
          </cell>
          <cell r="G66" t="str">
            <v>경남전문대 전자계산학</v>
          </cell>
          <cell r="H66" t="str">
            <v>재직</v>
          </cell>
        </row>
        <row r="67">
          <cell r="A67" t="str">
            <v>001138</v>
          </cell>
          <cell r="B67" t="str">
            <v>신호권</v>
          </cell>
          <cell r="C67" t="str">
            <v>NIS팀</v>
          </cell>
          <cell r="D67" t="str">
            <v>4급사원</v>
          </cell>
          <cell r="E67" t="str">
            <v>2000.01.01</v>
          </cell>
          <cell r="F67" t="str">
            <v>720801-1032210</v>
          </cell>
          <cell r="G67" t="str">
            <v>숭실대 컴퓨터공학</v>
          </cell>
          <cell r="H67" t="str">
            <v>재직</v>
          </cell>
        </row>
        <row r="68">
          <cell r="A68" t="str">
            <v>001485</v>
          </cell>
          <cell r="B68" t="str">
            <v>신흥섭</v>
          </cell>
          <cell r="C68" t="str">
            <v>EC사업팀</v>
          </cell>
          <cell r="D68" t="str">
            <v>전임</v>
          </cell>
          <cell r="E68" t="str">
            <v>2000.06.23</v>
          </cell>
          <cell r="F68" t="str">
            <v>710307-1109931</v>
          </cell>
          <cell r="G68" t="str">
            <v>중앙대 성악과</v>
          </cell>
          <cell r="H68" t="str">
            <v>재직</v>
          </cell>
        </row>
        <row r="69">
          <cell r="A69" t="str">
            <v>001637</v>
          </cell>
          <cell r="B69" t="str">
            <v>심낙중</v>
          </cell>
          <cell r="C69" t="str">
            <v>연구소</v>
          </cell>
          <cell r="D69" t="str">
            <v>4급사원</v>
          </cell>
          <cell r="E69" t="str">
            <v>2000.07.01</v>
          </cell>
          <cell r="F69" t="str">
            <v>720803-1852522</v>
          </cell>
          <cell r="G69" t="str">
            <v>건국대 컴퓨터공학</v>
          </cell>
          <cell r="H69" t="str">
            <v>재직</v>
          </cell>
        </row>
        <row r="70">
          <cell r="A70" t="str">
            <v>980655</v>
          </cell>
          <cell r="B70" t="str">
            <v>양동민</v>
          </cell>
          <cell r="C70" t="str">
            <v>시스템운영팀</v>
          </cell>
          <cell r="D70" t="str">
            <v>전임</v>
          </cell>
          <cell r="E70" t="str">
            <v>1998.09.01</v>
          </cell>
          <cell r="F70" t="str">
            <v>690223-1558514</v>
          </cell>
          <cell r="G70" t="str">
            <v>호남대 전산통계</v>
          </cell>
          <cell r="H70" t="str">
            <v>재직</v>
          </cell>
        </row>
        <row r="71">
          <cell r="A71" t="str">
            <v>001144</v>
          </cell>
          <cell r="B71" t="str">
            <v>오세영</v>
          </cell>
          <cell r="C71" t="str">
            <v>NIS팀</v>
          </cell>
          <cell r="D71" t="str">
            <v>4급사원</v>
          </cell>
          <cell r="E71" t="str">
            <v>2000.01.01</v>
          </cell>
          <cell r="F71" t="str">
            <v>740426-1009515</v>
          </cell>
          <cell r="G71" t="str">
            <v>동국대 산업공학</v>
          </cell>
          <cell r="H71" t="str">
            <v>재직</v>
          </cell>
        </row>
        <row r="72">
          <cell r="A72" t="str">
            <v>972107</v>
          </cell>
          <cell r="B72" t="str">
            <v>오효정</v>
          </cell>
          <cell r="C72" t="str">
            <v>시스템운영팀</v>
          </cell>
          <cell r="D72" t="str">
            <v>전임</v>
          </cell>
          <cell r="E72" t="str">
            <v>1997.01.01</v>
          </cell>
          <cell r="F72" t="str">
            <v>750222-2037824</v>
          </cell>
          <cell r="G72" t="str">
            <v>홍익대 컴퓨터공학과</v>
          </cell>
          <cell r="H72" t="str">
            <v>재직</v>
          </cell>
        </row>
        <row r="73">
          <cell r="A73" t="str">
            <v>980783</v>
          </cell>
          <cell r="B73" t="str">
            <v>유혁선</v>
          </cell>
          <cell r="C73" t="str">
            <v>시스템운영팀</v>
          </cell>
          <cell r="D73" t="str">
            <v>4급사원</v>
          </cell>
          <cell r="E73" t="str">
            <v>1998.10.01</v>
          </cell>
          <cell r="F73" t="str">
            <v>721020-1000817</v>
          </cell>
          <cell r="G73" t="str">
            <v>한양대 교통공학</v>
          </cell>
          <cell r="H73" t="str">
            <v>재직</v>
          </cell>
        </row>
        <row r="74">
          <cell r="A74" t="str">
            <v>001515</v>
          </cell>
          <cell r="B74" t="str">
            <v>유혜경</v>
          </cell>
          <cell r="C74" t="str">
            <v>NIS팀</v>
          </cell>
          <cell r="D74" t="str">
            <v>5급사원</v>
          </cell>
          <cell r="E74" t="str">
            <v>2000.06.19</v>
          </cell>
          <cell r="F74" t="str">
            <v>751211-2066911</v>
          </cell>
          <cell r="G74" t="str">
            <v>명지전문대 전자계산과</v>
          </cell>
          <cell r="H74" t="str">
            <v>재직</v>
          </cell>
        </row>
        <row r="75">
          <cell r="A75" t="str">
            <v>961525</v>
          </cell>
          <cell r="B75" t="str">
            <v>윤성원</v>
          </cell>
          <cell r="C75" t="str">
            <v>연구소</v>
          </cell>
          <cell r="D75" t="str">
            <v>선임</v>
          </cell>
          <cell r="E75" t="str">
            <v>1996.08.01</v>
          </cell>
          <cell r="F75" t="str">
            <v>650611-1684117</v>
          </cell>
          <cell r="G75" t="str">
            <v>인하대 전자계산학</v>
          </cell>
          <cell r="H75" t="str">
            <v>재직</v>
          </cell>
        </row>
        <row r="76">
          <cell r="A76" t="str">
            <v>965214</v>
          </cell>
          <cell r="B76" t="str">
            <v>윤정현</v>
          </cell>
          <cell r="C76" t="str">
            <v>연구소</v>
          </cell>
          <cell r="D76" t="str">
            <v>전임</v>
          </cell>
          <cell r="E76" t="str">
            <v>1996.05.01</v>
          </cell>
          <cell r="F76" t="str">
            <v>730806-2006010</v>
          </cell>
          <cell r="G76" t="str">
            <v>숭실대 전산</v>
          </cell>
          <cell r="H76" t="str">
            <v>재직</v>
          </cell>
        </row>
        <row r="77">
          <cell r="A77" t="str">
            <v>001680</v>
          </cell>
          <cell r="B77" t="str">
            <v>윤훈혁</v>
          </cell>
          <cell r="C77" t="str">
            <v>경영지원팀</v>
          </cell>
          <cell r="D77" t="str">
            <v>선임</v>
          </cell>
          <cell r="E77" t="str">
            <v>2000.07.13</v>
          </cell>
          <cell r="F77" t="str">
            <v>671107-1243612</v>
          </cell>
          <cell r="G77" t="str">
            <v>경희대 불문학</v>
          </cell>
          <cell r="H77" t="str">
            <v>재직</v>
          </cell>
        </row>
        <row r="78">
          <cell r="A78" t="str">
            <v>001448</v>
          </cell>
          <cell r="B78" t="str">
            <v>이명우</v>
          </cell>
          <cell r="C78" t="str">
            <v>경영지원팀</v>
          </cell>
          <cell r="D78" t="str">
            <v>책임</v>
          </cell>
          <cell r="E78" t="str">
            <v>2000.05.29</v>
          </cell>
          <cell r="F78" t="str">
            <v>580918-1009614</v>
          </cell>
          <cell r="G78" t="str">
            <v>고려대 경제학</v>
          </cell>
          <cell r="H78" t="str">
            <v>재직</v>
          </cell>
        </row>
        <row r="79">
          <cell r="A79" t="str">
            <v>980119</v>
          </cell>
          <cell r="B79" t="str">
            <v>이병웅</v>
          </cell>
          <cell r="C79" t="str">
            <v>시스템운영팀</v>
          </cell>
          <cell r="D79" t="str">
            <v>4급사원</v>
          </cell>
          <cell r="E79" t="str">
            <v>1998.01.01</v>
          </cell>
          <cell r="F79" t="str">
            <v>710505-1621814</v>
          </cell>
          <cell r="G79" t="str">
            <v>대구대 전자계산학</v>
          </cell>
          <cell r="H79" t="str">
            <v>재직</v>
          </cell>
        </row>
        <row r="80">
          <cell r="A80" t="str">
            <v>977042</v>
          </cell>
          <cell r="B80" t="str">
            <v>이상아</v>
          </cell>
          <cell r="C80" t="str">
            <v>연구소</v>
          </cell>
          <cell r="D80" t="str">
            <v>4급사원</v>
          </cell>
          <cell r="E80" t="str">
            <v>1997.08.08</v>
          </cell>
          <cell r="F80" t="str">
            <v>750115-2056616</v>
          </cell>
          <cell r="G80" t="str">
            <v>경희대 회계학</v>
          </cell>
          <cell r="H80" t="str">
            <v>재직</v>
          </cell>
        </row>
        <row r="81">
          <cell r="A81" t="str">
            <v>980126</v>
          </cell>
          <cell r="B81" t="str">
            <v>이선경</v>
          </cell>
          <cell r="C81" t="str">
            <v>연구소</v>
          </cell>
          <cell r="D81" t="str">
            <v>4급사원</v>
          </cell>
          <cell r="E81" t="str">
            <v>1998.01.01</v>
          </cell>
          <cell r="F81" t="str">
            <v>740415-2552113</v>
          </cell>
          <cell r="G81" t="str">
            <v>서강대 전자계산학</v>
          </cell>
          <cell r="H81" t="str">
            <v>재직</v>
          </cell>
        </row>
        <row r="82">
          <cell r="A82" t="str">
            <v>990404</v>
          </cell>
          <cell r="B82" t="str">
            <v>이선경</v>
          </cell>
          <cell r="C82" t="str">
            <v>경영지원팀</v>
          </cell>
          <cell r="D82" t="str">
            <v>전임</v>
          </cell>
          <cell r="E82" t="str">
            <v>1999.10.01</v>
          </cell>
          <cell r="F82" t="str">
            <v>680825-2030035</v>
          </cell>
          <cell r="G82" t="str">
            <v>건국대 불문학</v>
          </cell>
          <cell r="H82" t="str">
            <v>재직</v>
          </cell>
        </row>
        <row r="83">
          <cell r="A83" t="str">
            <v>001168</v>
          </cell>
          <cell r="B83" t="str">
            <v>이성락</v>
          </cell>
          <cell r="C83" t="str">
            <v>연구소</v>
          </cell>
          <cell r="D83" t="str">
            <v>4급사원</v>
          </cell>
          <cell r="E83" t="str">
            <v>2000.01.01</v>
          </cell>
          <cell r="F83" t="str">
            <v>740719-1531610</v>
          </cell>
          <cell r="G83" t="str">
            <v>경희대 수학과</v>
          </cell>
          <cell r="H83" t="str">
            <v>재직</v>
          </cell>
        </row>
        <row r="84">
          <cell r="A84" t="str">
            <v>990495</v>
          </cell>
          <cell r="B84" t="str">
            <v>이소연</v>
          </cell>
          <cell r="C84" t="str">
            <v>시스템운영팀</v>
          </cell>
          <cell r="D84" t="str">
            <v>5급사원</v>
          </cell>
          <cell r="E84" t="str">
            <v>1999.11.01</v>
          </cell>
          <cell r="F84" t="str">
            <v>730420-2036121</v>
          </cell>
          <cell r="G84" t="str">
            <v>명지실전 전자과</v>
          </cell>
          <cell r="H84" t="str">
            <v>재직</v>
          </cell>
        </row>
        <row r="85">
          <cell r="A85" t="str">
            <v>001174</v>
          </cell>
          <cell r="B85" t="str">
            <v>이수지</v>
          </cell>
          <cell r="C85" t="str">
            <v>연구소</v>
          </cell>
          <cell r="D85" t="str">
            <v>4급사원</v>
          </cell>
          <cell r="E85" t="str">
            <v>2000.01.01</v>
          </cell>
          <cell r="F85" t="str">
            <v>770522-2807617</v>
          </cell>
          <cell r="G85" t="str">
            <v>부산대 전자계산</v>
          </cell>
          <cell r="H85" t="str">
            <v>재직</v>
          </cell>
        </row>
        <row r="86">
          <cell r="A86" t="str">
            <v>972122</v>
          </cell>
          <cell r="B86" t="str">
            <v>이수호</v>
          </cell>
          <cell r="C86" t="str">
            <v>NIS팀</v>
          </cell>
          <cell r="D86" t="str">
            <v>전임</v>
          </cell>
          <cell r="E86" t="str">
            <v>1997.01.01</v>
          </cell>
          <cell r="F86" t="str">
            <v>670322-1397220</v>
          </cell>
          <cell r="G86" t="str">
            <v>외대 법학과/외대 경영정보대학원</v>
          </cell>
          <cell r="H86" t="str">
            <v>재직</v>
          </cell>
        </row>
        <row r="87">
          <cell r="A87" t="str">
            <v>001802</v>
          </cell>
          <cell r="B87" t="str">
            <v>이숙</v>
          </cell>
          <cell r="C87" t="str">
            <v>SI사업팀</v>
          </cell>
          <cell r="D87" t="str">
            <v>5급사원</v>
          </cell>
          <cell r="E87" t="str">
            <v>2000.09.25</v>
          </cell>
          <cell r="F87" t="str">
            <v>801119-2051516</v>
          </cell>
          <cell r="G87" t="str">
            <v>인덕대학 여성정보행정</v>
          </cell>
          <cell r="H87" t="str">
            <v>재직</v>
          </cell>
        </row>
        <row r="88">
          <cell r="A88" t="str">
            <v>001765</v>
          </cell>
          <cell r="B88" t="str">
            <v>이애영</v>
          </cell>
          <cell r="C88" t="str">
            <v>경영지원팀</v>
          </cell>
          <cell r="D88" t="str">
            <v>5급사원</v>
          </cell>
          <cell r="E88" t="str">
            <v>2000.08.21</v>
          </cell>
          <cell r="F88" t="str">
            <v>771101-2460326</v>
          </cell>
          <cell r="G88" t="str">
            <v>오산대학 세무회계과</v>
          </cell>
          <cell r="H88" t="str">
            <v>재직</v>
          </cell>
        </row>
        <row r="89">
          <cell r="A89" t="str">
            <v>961404</v>
          </cell>
          <cell r="B89" t="str">
            <v>이영범</v>
          </cell>
          <cell r="C89" t="str">
            <v>NIS팀</v>
          </cell>
          <cell r="D89" t="str">
            <v>전임</v>
          </cell>
          <cell r="E89" t="str">
            <v>1996.05.01</v>
          </cell>
          <cell r="F89" t="str">
            <v>691101-1452625</v>
          </cell>
          <cell r="G89" t="str">
            <v>중앙대 경영정보</v>
          </cell>
          <cell r="H89" t="str">
            <v>재직</v>
          </cell>
        </row>
        <row r="90">
          <cell r="A90" t="str">
            <v>980322</v>
          </cell>
          <cell r="B90" t="str">
            <v>이용수</v>
          </cell>
          <cell r="C90" t="str">
            <v>시스템운영팀</v>
          </cell>
          <cell r="D90" t="str">
            <v>4급사원</v>
          </cell>
          <cell r="E90" t="str">
            <v>1998.05.01</v>
          </cell>
          <cell r="F90" t="str">
            <v>660604-1009815</v>
          </cell>
          <cell r="G90" t="str">
            <v>대한공전대 경영학</v>
          </cell>
          <cell r="H90" t="str">
            <v>재직</v>
          </cell>
        </row>
        <row r="91">
          <cell r="A91" t="str">
            <v>001181</v>
          </cell>
          <cell r="B91" t="str">
            <v>이원섭</v>
          </cell>
          <cell r="C91" t="str">
            <v>시스템운영팀</v>
          </cell>
          <cell r="D91" t="str">
            <v>4급사원</v>
          </cell>
          <cell r="E91" t="str">
            <v>2000.01.01</v>
          </cell>
          <cell r="F91" t="str">
            <v>750208-1042324</v>
          </cell>
          <cell r="G91" t="str">
            <v>광운대 전자계산</v>
          </cell>
          <cell r="H91" t="str">
            <v>재직</v>
          </cell>
        </row>
        <row r="92">
          <cell r="A92" t="str">
            <v>990525</v>
          </cell>
          <cell r="B92" t="str">
            <v>이인현</v>
          </cell>
          <cell r="C92" t="str">
            <v>연구소</v>
          </cell>
          <cell r="D92" t="str">
            <v>4급사원</v>
          </cell>
          <cell r="E92" t="str">
            <v>1999.11.01</v>
          </cell>
          <cell r="F92" t="str">
            <v>720906-1047912</v>
          </cell>
          <cell r="G92" t="str">
            <v>고려대 유전공학과</v>
          </cell>
          <cell r="H92" t="str">
            <v>재직</v>
          </cell>
        </row>
        <row r="93">
          <cell r="A93" t="str">
            <v>990350</v>
          </cell>
          <cell r="B93" t="str">
            <v>이정걸</v>
          </cell>
          <cell r="C93" t="str">
            <v>SI사업팀</v>
          </cell>
          <cell r="D93" t="str">
            <v>전임</v>
          </cell>
          <cell r="E93" t="str">
            <v>1999.09.01</v>
          </cell>
          <cell r="F93" t="str">
            <v>670503-1559925</v>
          </cell>
          <cell r="G93" t="str">
            <v>광운대 법학과</v>
          </cell>
          <cell r="H93" t="str">
            <v>재직</v>
          </cell>
        </row>
        <row r="94">
          <cell r="A94" t="str">
            <v>980035</v>
          </cell>
          <cell r="B94" t="str">
            <v>이정훈</v>
          </cell>
          <cell r="C94" t="str">
            <v>NIS팀</v>
          </cell>
          <cell r="D94" t="str">
            <v>4급사원</v>
          </cell>
          <cell r="E94" t="str">
            <v>1998.01.01</v>
          </cell>
          <cell r="F94" t="str">
            <v>710830-1454621</v>
          </cell>
          <cell r="G94" t="str">
            <v>충남대 컴퓨터과학</v>
          </cell>
          <cell r="H94" t="str">
            <v>재직</v>
          </cell>
        </row>
        <row r="95">
          <cell r="A95" t="str">
            <v>001643</v>
          </cell>
          <cell r="B95" t="str">
            <v>이진숙</v>
          </cell>
          <cell r="C95" t="str">
            <v>연구소</v>
          </cell>
          <cell r="D95" t="str">
            <v>4급사원</v>
          </cell>
          <cell r="E95" t="str">
            <v>2000.07.01</v>
          </cell>
          <cell r="F95" t="str">
            <v>760930-2058329</v>
          </cell>
          <cell r="G95" t="str">
            <v>홍익대 컴퓨터공학과</v>
          </cell>
          <cell r="H95" t="str">
            <v>재직</v>
          </cell>
        </row>
        <row r="96">
          <cell r="A96" t="str">
            <v>972161</v>
          </cell>
          <cell r="B96" t="str">
            <v>이창열</v>
          </cell>
          <cell r="C96" t="str">
            <v>연구소</v>
          </cell>
          <cell r="D96" t="str">
            <v>전임</v>
          </cell>
          <cell r="E96" t="str">
            <v>1997.01.01</v>
          </cell>
          <cell r="F96" t="str">
            <v>711231-1224210</v>
          </cell>
          <cell r="G96" t="str">
            <v>연세대 전산학</v>
          </cell>
          <cell r="H96" t="str">
            <v>재직</v>
          </cell>
        </row>
        <row r="97">
          <cell r="A97" t="str">
            <v>990056</v>
          </cell>
          <cell r="B97" t="str">
            <v>이충식</v>
          </cell>
          <cell r="C97" t="str">
            <v>NIS팀</v>
          </cell>
          <cell r="D97" t="str">
            <v>책임</v>
          </cell>
          <cell r="E97" t="str">
            <v>1999.04.06</v>
          </cell>
          <cell r="F97" t="str">
            <v>610918-1840912</v>
          </cell>
          <cell r="G97" t="str">
            <v>경북대 전자공학</v>
          </cell>
          <cell r="H97" t="str">
            <v>재직</v>
          </cell>
        </row>
        <row r="98">
          <cell r="A98" t="str">
            <v>001229</v>
          </cell>
          <cell r="B98" t="str">
            <v>이태희</v>
          </cell>
          <cell r="C98" t="str">
            <v>경영지원팀</v>
          </cell>
          <cell r="D98" t="str">
            <v>4급사원</v>
          </cell>
          <cell r="E98" t="str">
            <v>2000.01.01</v>
          </cell>
          <cell r="F98" t="str">
            <v>710625-1009617</v>
          </cell>
          <cell r="G98" t="str">
            <v>동국대 정보관리학/서강대학원 경영학</v>
          </cell>
          <cell r="H98" t="str">
            <v>재직</v>
          </cell>
        </row>
        <row r="99">
          <cell r="A99" t="str">
            <v>980723</v>
          </cell>
          <cell r="B99" t="str">
            <v>이혜란</v>
          </cell>
          <cell r="C99" t="str">
            <v>NIS팀</v>
          </cell>
          <cell r="D99" t="str">
            <v>4급사원</v>
          </cell>
          <cell r="E99" t="str">
            <v>1998.09.01</v>
          </cell>
          <cell r="F99" t="str">
            <v>720702-2455911</v>
          </cell>
          <cell r="G99" t="str">
            <v>대전공업대 산업공학</v>
          </cell>
          <cell r="H99" t="str">
            <v>재직</v>
          </cell>
        </row>
        <row r="100">
          <cell r="A100" t="str">
            <v>965117</v>
          </cell>
          <cell r="B100" t="str">
            <v>이희숙</v>
          </cell>
          <cell r="C100" t="str">
            <v>연구소</v>
          </cell>
          <cell r="D100" t="str">
            <v>전임</v>
          </cell>
          <cell r="E100" t="str">
            <v>1996.05.01</v>
          </cell>
          <cell r="F100" t="str">
            <v>730815-2540713</v>
          </cell>
          <cell r="G100" t="str">
            <v>동국대 수학</v>
          </cell>
          <cell r="H100" t="str">
            <v>재직</v>
          </cell>
        </row>
        <row r="101">
          <cell r="A101" t="str">
            <v>980678</v>
          </cell>
          <cell r="B101" t="str">
            <v>장귀철</v>
          </cell>
          <cell r="C101" t="str">
            <v>시스템운영팀</v>
          </cell>
          <cell r="D101" t="str">
            <v>4급사원</v>
          </cell>
          <cell r="E101" t="str">
            <v>1998.09.01</v>
          </cell>
          <cell r="F101" t="str">
            <v>660125-1655012</v>
          </cell>
          <cell r="G101" t="str">
            <v>전남공고 기술</v>
          </cell>
          <cell r="H101" t="str">
            <v>재직</v>
          </cell>
        </row>
        <row r="102">
          <cell r="A102" t="str">
            <v>001575</v>
          </cell>
          <cell r="B102" t="str">
            <v>장승희</v>
          </cell>
          <cell r="C102" t="str">
            <v>SI사업팀</v>
          </cell>
          <cell r="D102" t="str">
            <v>5급사원</v>
          </cell>
          <cell r="E102" t="str">
            <v>2000.07.03</v>
          </cell>
          <cell r="F102" t="str">
            <v>731019-2472013</v>
          </cell>
          <cell r="G102" t="str">
            <v>건국대 행정학과</v>
          </cell>
          <cell r="H102" t="str">
            <v>재직</v>
          </cell>
        </row>
        <row r="103">
          <cell r="A103" t="str">
            <v>980277</v>
          </cell>
          <cell r="B103" t="str">
            <v>장웅이</v>
          </cell>
          <cell r="C103" t="str">
            <v>연구소</v>
          </cell>
          <cell r="D103" t="str">
            <v>전임</v>
          </cell>
          <cell r="E103" t="str">
            <v>1998.03.03</v>
          </cell>
          <cell r="F103" t="str">
            <v>711130-2913018</v>
          </cell>
          <cell r="G103" t="str">
            <v>부산여전 전자계산</v>
          </cell>
          <cell r="H103" t="str">
            <v>재직</v>
          </cell>
        </row>
        <row r="104">
          <cell r="A104" t="str">
            <v>001788</v>
          </cell>
          <cell r="B104" t="str">
            <v>장재영</v>
          </cell>
          <cell r="C104" t="str">
            <v>시스템운영팀</v>
          </cell>
          <cell r="D104" t="str">
            <v>4급사원</v>
          </cell>
          <cell r="E104" t="str">
            <v>2000.09.18</v>
          </cell>
          <cell r="F104" t="str">
            <v>720104-1067026</v>
          </cell>
          <cell r="G104" t="str">
            <v>NEW YORK St. John's대</v>
          </cell>
          <cell r="H104" t="str">
            <v>재직</v>
          </cell>
        </row>
        <row r="105">
          <cell r="A105" t="str">
            <v>980193</v>
          </cell>
          <cell r="B105" t="str">
            <v>장현철</v>
          </cell>
          <cell r="C105" t="str">
            <v>연구소</v>
          </cell>
          <cell r="D105" t="str">
            <v>선임</v>
          </cell>
          <cell r="E105" t="str">
            <v>1998.01.01</v>
          </cell>
          <cell r="F105" t="str">
            <v>660803-1000315</v>
          </cell>
          <cell r="G105" t="str">
            <v>광운대 컴퓨터공학</v>
          </cell>
          <cell r="H105" t="str">
            <v>재직</v>
          </cell>
        </row>
        <row r="106">
          <cell r="A106" t="str">
            <v>001582</v>
          </cell>
          <cell r="B106" t="str">
            <v>장호영</v>
          </cell>
          <cell r="C106" t="str">
            <v>연구소</v>
          </cell>
          <cell r="D106" t="str">
            <v>전임</v>
          </cell>
          <cell r="E106" t="str">
            <v>2000.07.03</v>
          </cell>
          <cell r="F106" t="str">
            <v>710202-2031037</v>
          </cell>
          <cell r="G106" t="str">
            <v>상명여대 독어독문</v>
          </cell>
          <cell r="H106" t="str">
            <v>재직</v>
          </cell>
        </row>
        <row r="107">
          <cell r="A107" t="str">
            <v>001327</v>
          </cell>
          <cell r="B107" t="str">
            <v>정경남</v>
          </cell>
          <cell r="C107" t="str">
            <v>EC사업팀</v>
          </cell>
          <cell r="D107" t="str">
            <v>선임</v>
          </cell>
          <cell r="E107" t="str">
            <v>2000.04.27</v>
          </cell>
          <cell r="F107" t="str">
            <v>650429-1063617</v>
          </cell>
          <cell r="G107" t="str">
            <v>홍익대 독어독문학/New South Wales대학원 독일학</v>
          </cell>
          <cell r="H107" t="str">
            <v>재직</v>
          </cell>
        </row>
        <row r="108">
          <cell r="A108" t="str">
            <v>990239</v>
          </cell>
          <cell r="B108" t="str">
            <v>정성준</v>
          </cell>
          <cell r="C108" t="str">
            <v>시스템운영팀</v>
          </cell>
          <cell r="D108" t="str">
            <v>책임</v>
          </cell>
          <cell r="E108" t="str">
            <v>1999.07.01</v>
          </cell>
          <cell r="F108" t="str">
            <v>600104-1482816</v>
          </cell>
          <cell r="G108" t="str">
            <v>전북대 전산통계학</v>
          </cell>
          <cell r="H108" t="str">
            <v>재직</v>
          </cell>
        </row>
        <row r="109">
          <cell r="A109" t="str">
            <v>990245</v>
          </cell>
          <cell r="B109" t="str">
            <v>정우교</v>
          </cell>
          <cell r="C109" t="str">
            <v>시스템운영팀</v>
          </cell>
          <cell r="D109" t="str">
            <v>전임</v>
          </cell>
          <cell r="E109" t="str">
            <v>1999.07.01</v>
          </cell>
          <cell r="F109" t="str">
            <v>651228-1333011</v>
          </cell>
          <cell r="G109" t="str">
            <v>성균관대 정보공학</v>
          </cell>
          <cell r="H109" t="str">
            <v>재직</v>
          </cell>
        </row>
        <row r="110">
          <cell r="A110" t="str">
            <v>001236</v>
          </cell>
          <cell r="B110" t="str">
            <v>정은미</v>
          </cell>
          <cell r="C110" t="str">
            <v>NIS팀</v>
          </cell>
          <cell r="D110" t="str">
            <v>4급사원</v>
          </cell>
          <cell r="E110" t="str">
            <v>2000.01.01</v>
          </cell>
          <cell r="F110">
            <v>7701262221221</v>
          </cell>
          <cell r="G110" t="str">
            <v>숭실대 정보통신공학</v>
          </cell>
          <cell r="H110" t="str">
            <v>재직</v>
          </cell>
        </row>
        <row r="111">
          <cell r="A111" t="str">
            <v>980156</v>
          </cell>
          <cell r="B111" t="str">
            <v>정주아</v>
          </cell>
          <cell r="C111" t="str">
            <v>시스템운영팀</v>
          </cell>
          <cell r="D111" t="str">
            <v>4급사원</v>
          </cell>
          <cell r="E111" t="str">
            <v>1998.01.01</v>
          </cell>
          <cell r="F111" t="str">
            <v>750210-2052518</v>
          </cell>
          <cell r="G111" t="str">
            <v>용인대 전산통계</v>
          </cell>
          <cell r="H111" t="str">
            <v>재직</v>
          </cell>
        </row>
        <row r="112">
          <cell r="A112" t="str">
            <v>990380</v>
          </cell>
          <cell r="B112" t="str">
            <v>조영민</v>
          </cell>
          <cell r="C112" t="str">
            <v>SI사업팀</v>
          </cell>
          <cell r="D112" t="str">
            <v>전임</v>
          </cell>
          <cell r="E112" t="str">
            <v>1999.09.01</v>
          </cell>
          <cell r="F112" t="str">
            <v>690820-1141039</v>
          </cell>
          <cell r="G112" t="str">
            <v>서강대 영어영문학</v>
          </cell>
          <cell r="H112" t="str">
            <v>재직</v>
          </cell>
        </row>
        <row r="113">
          <cell r="A113" t="str">
            <v>980254</v>
          </cell>
          <cell r="B113" t="str">
            <v>조영준</v>
          </cell>
          <cell r="C113" t="str">
            <v>연구소</v>
          </cell>
          <cell r="D113" t="str">
            <v>선임</v>
          </cell>
          <cell r="E113" t="str">
            <v>1998.03.03</v>
          </cell>
          <cell r="F113" t="str">
            <v>640109-1046118</v>
          </cell>
          <cell r="G113" t="str">
            <v>연세대 경영학</v>
          </cell>
          <cell r="H113" t="str">
            <v>재직</v>
          </cell>
        </row>
        <row r="114">
          <cell r="A114" t="str">
            <v>001242</v>
          </cell>
          <cell r="B114" t="str">
            <v>조혜경</v>
          </cell>
          <cell r="C114" t="str">
            <v>연구소</v>
          </cell>
          <cell r="D114" t="str">
            <v>4급사원</v>
          </cell>
          <cell r="E114" t="str">
            <v>2000.01.01</v>
          </cell>
          <cell r="F114" t="str">
            <v>761119-2908219</v>
          </cell>
          <cell r="G114" t="str">
            <v>서울대 식품영양학</v>
          </cell>
          <cell r="H114" t="str">
            <v>재직</v>
          </cell>
        </row>
        <row r="115">
          <cell r="A115" t="str">
            <v>980753</v>
          </cell>
          <cell r="B115" t="str">
            <v>최성원</v>
          </cell>
          <cell r="C115" t="str">
            <v>시스템운영팀</v>
          </cell>
          <cell r="D115" t="str">
            <v>5급사원</v>
          </cell>
          <cell r="E115" t="str">
            <v>1998.09.01</v>
          </cell>
          <cell r="F115" t="str">
            <v>750106-2481215</v>
          </cell>
          <cell r="G115" t="str">
            <v>원광대 컴퓨터공학</v>
          </cell>
          <cell r="H115" t="str">
            <v>재직</v>
          </cell>
        </row>
        <row r="116">
          <cell r="A116" t="str">
            <v>980065</v>
          </cell>
          <cell r="B116" t="str">
            <v>최호준</v>
          </cell>
          <cell r="C116" t="str">
            <v>NIS팀</v>
          </cell>
          <cell r="D116" t="str">
            <v>전임</v>
          </cell>
          <cell r="E116" t="str">
            <v>1998.01.01</v>
          </cell>
          <cell r="F116" t="str">
            <v>710623-1122526</v>
          </cell>
          <cell r="G116" t="str">
            <v>서울대 대기과학</v>
          </cell>
          <cell r="H116" t="str">
            <v>재직</v>
          </cell>
        </row>
        <row r="117">
          <cell r="A117" t="str">
            <v>001259</v>
          </cell>
          <cell r="B117" t="str">
            <v>최희갑</v>
          </cell>
          <cell r="C117" t="str">
            <v>NIS팀</v>
          </cell>
          <cell r="D117" t="str">
            <v>4급사원</v>
          </cell>
          <cell r="E117" t="str">
            <v>2000.01.01</v>
          </cell>
          <cell r="F117" t="str">
            <v>721225-1069116</v>
          </cell>
          <cell r="G117" t="str">
            <v>광운대 전자계산</v>
          </cell>
          <cell r="H117" t="str">
            <v>재직</v>
          </cell>
        </row>
        <row r="118">
          <cell r="A118" t="str">
            <v>961538</v>
          </cell>
          <cell r="B118" t="str">
            <v>한영균</v>
          </cell>
          <cell r="C118" t="str">
            <v>시스템개발팀</v>
          </cell>
          <cell r="D118" t="str">
            <v>선임</v>
          </cell>
          <cell r="E118" t="str">
            <v>1996.08.01</v>
          </cell>
          <cell r="F118" t="str">
            <v>660606-1057819</v>
          </cell>
          <cell r="G118" t="str">
            <v>한양대 수학</v>
          </cell>
          <cell r="H118" t="str">
            <v>재직</v>
          </cell>
        </row>
        <row r="119">
          <cell r="A119" t="str">
            <v>001266</v>
          </cell>
          <cell r="B119" t="str">
            <v>한영주</v>
          </cell>
          <cell r="C119" t="str">
            <v>연구소</v>
          </cell>
          <cell r="D119" t="str">
            <v>4급사원</v>
          </cell>
          <cell r="E119" t="str">
            <v>2000.01.01</v>
          </cell>
          <cell r="F119" t="str">
            <v>780207-2122913</v>
          </cell>
          <cell r="G119" t="str">
            <v>부산대 전자계산</v>
          </cell>
          <cell r="H119" t="str">
            <v>재직</v>
          </cell>
        </row>
        <row r="120">
          <cell r="A120" t="str">
            <v>001357</v>
          </cell>
          <cell r="B120" t="str">
            <v>허석</v>
          </cell>
          <cell r="C120" t="str">
            <v>연구소</v>
          </cell>
          <cell r="D120" t="str">
            <v>전임</v>
          </cell>
          <cell r="E120" t="str">
            <v>2000.04.29</v>
          </cell>
          <cell r="F120" t="str">
            <v>690904-1042111</v>
          </cell>
          <cell r="G120" t="str">
            <v>고려대 정보공학</v>
          </cell>
          <cell r="H120" t="str">
            <v>재직</v>
          </cell>
        </row>
        <row r="121">
          <cell r="A121" t="str">
            <v>973077</v>
          </cell>
          <cell r="B121" t="str">
            <v>허준</v>
          </cell>
          <cell r="C121" t="str">
            <v>NIS팀</v>
          </cell>
          <cell r="D121" t="str">
            <v>5급사원</v>
          </cell>
          <cell r="E121" t="str">
            <v>1997.12.19</v>
          </cell>
          <cell r="F121" t="str">
            <v>680209-1634329</v>
          </cell>
          <cell r="G121" t="str">
            <v>순천공업전문 전자계산</v>
          </cell>
          <cell r="H121" t="str">
            <v>재직</v>
          </cell>
        </row>
        <row r="122">
          <cell r="A122" t="str">
            <v>990079</v>
          </cell>
          <cell r="B122" t="str">
            <v>황선우</v>
          </cell>
          <cell r="C122" t="str">
            <v>시스템운영팀</v>
          </cell>
          <cell r="D122" t="str">
            <v>5급사원</v>
          </cell>
          <cell r="E122" t="str">
            <v>1999.05.01</v>
          </cell>
          <cell r="F122" t="str">
            <v>690706-1009019</v>
          </cell>
          <cell r="G122" t="str">
            <v>중앙정보처리학원</v>
          </cell>
          <cell r="H122" t="str">
            <v>재직</v>
          </cell>
        </row>
        <row r="123">
          <cell r="A123" t="str">
            <v>980716</v>
          </cell>
          <cell r="B123" t="str">
            <v>황영보</v>
          </cell>
          <cell r="C123" t="str">
            <v>시스템운영팀</v>
          </cell>
          <cell r="D123" t="str">
            <v>5급사원</v>
          </cell>
          <cell r="E123" t="str">
            <v>1998.09.01</v>
          </cell>
          <cell r="F123" t="str">
            <v>701105-1026016</v>
          </cell>
          <cell r="G123" t="str">
            <v>동국전산 정보처리</v>
          </cell>
          <cell r="H123" t="str">
            <v>재직</v>
          </cell>
        </row>
        <row r="124">
          <cell r="A124" t="str">
            <v>980662</v>
          </cell>
          <cell r="B124" t="str">
            <v>황태하</v>
          </cell>
          <cell r="C124" t="str">
            <v>시스템운영팀</v>
          </cell>
          <cell r="D124" t="str">
            <v>전임</v>
          </cell>
          <cell r="E124" t="str">
            <v>1998.09.01</v>
          </cell>
          <cell r="F124" t="str">
            <v>620714-1524612</v>
          </cell>
          <cell r="G124" t="str">
            <v>숭실전산 정보처리</v>
          </cell>
          <cell r="H124" t="str">
            <v>재직</v>
          </cell>
        </row>
        <row r="125">
          <cell r="A125" t="str">
            <v>970001</v>
          </cell>
          <cell r="B125" t="str">
            <v>이봉</v>
          </cell>
          <cell r="C125" t="str">
            <v>임원실</v>
          </cell>
          <cell r="D125" t="str">
            <v>임원</v>
          </cell>
          <cell r="E125" t="str">
            <v>1997.06.30</v>
          </cell>
          <cell r="F125" t="str">
            <v>500720-1941001</v>
          </cell>
          <cell r="G125" t="str">
            <v>콜롬비아대학원 재정학</v>
          </cell>
          <cell r="H125" t="str">
            <v>재직</v>
          </cell>
        </row>
        <row r="126">
          <cell r="A126" t="str">
            <v>001334</v>
          </cell>
          <cell r="B126" t="str">
            <v>이태영</v>
          </cell>
          <cell r="C126" t="str">
            <v>임원실</v>
          </cell>
          <cell r="D126" t="str">
            <v>임원</v>
          </cell>
          <cell r="E126" t="str">
            <v>2000.04.29</v>
          </cell>
          <cell r="F126" t="str">
            <v>581102-1000914</v>
          </cell>
          <cell r="G126" t="str">
            <v>단국대 무역학</v>
          </cell>
          <cell r="H126" t="str">
            <v>재직</v>
          </cell>
        </row>
      </sheetData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업.일"/>
      <sheetName val="추정12.別"/>
      <sheetName val="總括.12"/>
      <sheetName val="總括.12 (2)"/>
      <sheetName val="원가분석"/>
      <sheetName val="영업.細"/>
      <sheetName val="전년포함"/>
      <sheetName val="xxxxxx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표지"/>
      <sheetName val="목차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울산총계"/>
      <sheetName val="울산1월"/>
      <sheetName val="울산2월"/>
      <sheetName val="울산3월"/>
      <sheetName val="울산4월"/>
      <sheetName val="울산5월"/>
      <sheetName val="울산6월"/>
      <sheetName val="울산7월"/>
      <sheetName val="울산8월"/>
      <sheetName val="울산9월"/>
      <sheetName val="울산10월"/>
      <sheetName val="울산11월"/>
      <sheetName val="울산12월"/>
      <sheetName val="성남총계"/>
      <sheetName val="성남1월"/>
      <sheetName val="성남2월"/>
      <sheetName val="성남3월"/>
      <sheetName val="성남4월"/>
      <sheetName val="성남5월"/>
      <sheetName val="성남6월"/>
      <sheetName val="성남7월"/>
      <sheetName val="성남8월"/>
      <sheetName val="성남9월"/>
      <sheetName val="성남10월"/>
      <sheetName val="성남11월"/>
      <sheetName val="성남12월"/>
      <sheetName val="식품"/>
      <sheetName val="포함"/>
      <sheetName val="울산점"/>
      <sheetName val="대차대조표"/>
      <sheetName val="공표손익"/>
      <sheetName val="18"/>
      <sheetName val="내수"/>
      <sheetName val="94D"/>
      <sheetName val="95D"/>
      <sheetName val="영업.일1"/>
      <sheetName val="TEMP1"/>
      <sheetName val="TEMP2"/>
      <sheetName val="PL"/>
      <sheetName val="거래선"/>
      <sheetName val="K 120"/>
      <sheetName val="BM_NEW2"/>
      <sheetName val="9703"/>
      <sheetName val="추정12"/>
      <sheetName val="***********************00"/>
      <sheetName val="9-1차이내역"/>
      <sheetName val="일반관리비"/>
      <sheetName val="97년 1월"/>
      <sheetName val="`04 MD업무분장"/>
      <sheetName val="Sheet1"/>
      <sheetName val="품종별월계"/>
      <sheetName val="56"/>
      <sheetName val="일별1"/>
      <sheetName val="선급미지급비용"/>
      <sheetName val="_______________________00"/>
      <sheetName val="설계명세서(선로)"/>
      <sheetName val="4.경비 5.영업외수지"/>
      <sheetName val="상품매출"/>
      <sheetName val="재고 "/>
      <sheetName val="6월매출"/>
      <sheetName val="22.투자유가증권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강"/>
      <sheetName val="국민"/>
      <sheetName val="퇴충금"/>
      <sheetName val="경조금"/>
      <sheetName val="employee"/>
      <sheetName val="DB"/>
      <sheetName val="S&amp;B(Total)"/>
      <sheetName val="S&amp;B(ISAC)"/>
      <sheetName val="S&amp;B(ITE)"/>
      <sheetName val="S&amp;B(DS)"/>
      <sheetName val="S&amp;B(FN)"/>
      <sheetName val="S&amp;B(HR&amp;PN)"/>
      <sheetName val="Detail"/>
      <sheetName val="기준표"/>
      <sheetName val="MACR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월"/>
      <sheetName val="7월-erp"/>
      <sheetName val="7-1"/>
      <sheetName val="7-2"/>
      <sheetName val="7-3"/>
      <sheetName val="7월-제출"/>
      <sheetName val="7월-제출-0725"/>
      <sheetName val="8월"/>
      <sheetName val="8월-erp"/>
      <sheetName val="8-2"/>
      <sheetName val="8-3"/>
      <sheetName val="8-4"/>
      <sheetName val="8-5"/>
      <sheetName val="8월마감"/>
      <sheetName val="9월"/>
      <sheetName val="9-1"/>
      <sheetName val="9-4"/>
      <sheetName val="9-5"/>
      <sheetName val="10월"/>
      <sheetName val="10-3"/>
      <sheetName val="10-5"/>
      <sheetName val="10-마감"/>
      <sheetName val="10-마감 (2)"/>
      <sheetName val="11월"/>
      <sheetName val="11-2"/>
      <sheetName val="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  <sheetName val="수정시산표"/>
      <sheetName val="출입자명단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시산표"/>
      <sheetName val="4차 BW"/>
      <sheetName val="3차 BW"/>
    </sheetNames>
    <sheetDataSet>
      <sheetData sheetId="0"/>
      <sheetData sheetId="1" refreshError="1"/>
      <sheetData sheetId="2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제조"/>
    </sheetNames>
    <sheetDataSet>
      <sheetData sheetId="0"/>
      <sheetData sheetId="1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무수익자산 담당자"/>
      <sheetName val="Sheet1"/>
      <sheetName val="Sheet2"/>
      <sheetName val="Sheet3"/>
      <sheetName val="경비공통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시산표"/>
      <sheetName val="차입"/>
    </sheetNames>
    <sheetDataSet>
      <sheetData sheetId="0"/>
      <sheetData sheetId="1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97년"/>
      <sheetName val="98년"/>
      <sheetName val="98년(2)"/>
      <sheetName val="99년"/>
      <sheetName val="99년(여과장님)"/>
      <sheetName val="tsuga"/>
      <sheetName val="1월"/>
      <sheetName val="99선급비용"/>
      <sheetName val="3월연장근무"/>
      <sheetName val="코드"/>
      <sheetName val="주요기준"/>
      <sheetName val="보험금"/>
      <sheetName val="controll"/>
      <sheetName val="제품목록"/>
      <sheetName val="(1)2002년 매출목표 산출"/>
      <sheetName val="정의"/>
      <sheetName val="현금"/>
      <sheetName val="수정시산표"/>
      <sheetName val="분개종합(01)"/>
      <sheetName val="임차비용"/>
      <sheetName val="외화가수금"/>
      <sheetName val="식음료"/>
      <sheetName val="첨부1"/>
      <sheetName val="시산표"/>
      <sheetName val="예적금"/>
      <sheetName val="시산표12월(수정후)"/>
      <sheetName val="단체(2)"/>
      <sheetName val="추가예산"/>
      <sheetName val="출입자명단"/>
      <sheetName val="집계표결과"/>
      <sheetName val="TEMP1"/>
      <sheetName val="평균차입이자율"/>
      <sheetName val="지분법평가(반기)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.12"/>
      <sheetName val="98.8N"/>
      <sheetName val="98.상반기"/>
      <sheetName val="98.년간"/>
      <sheetName val="98.12N"/>
      <sheetName val="98.1"/>
      <sheetName val="98.2"/>
      <sheetName val="98.3"/>
      <sheetName val="98.4"/>
      <sheetName val="98.5"/>
      <sheetName val="98.6"/>
      <sheetName val="98.6관리"/>
      <sheetName val="98.6재무"/>
      <sheetName val="98.7"/>
      <sheetName val="98.8"/>
      <sheetName val="98.9"/>
      <sheetName val="98.10"/>
      <sheetName val="98.11"/>
      <sheetName val="98.12"/>
      <sheetName val="98.12장부"/>
      <sheetName val="타N"/>
      <sheetName val="타1"/>
      <sheetName val="타2"/>
      <sheetName val="타3"/>
      <sheetName val="타4"/>
      <sheetName val="타5"/>
      <sheetName val="타6관"/>
      <sheetName val="타6재"/>
      <sheetName val="타7"/>
      <sheetName val="타8"/>
      <sheetName val="타9"/>
      <sheetName val="타10"/>
      <sheetName val="타11"/>
      <sheetName val="타12"/>
      <sheetName val="표지"/>
      <sheetName val="97년"/>
      <sheetName val="tsuga"/>
      <sheetName val="1월"/>
      <sheetName val="99선급비용"/>
      <sheetName val="3월연장근무"/>
      <sheetName val="코드"/>
      <sheetName val="주요기준"/>
      <sheetName val="보험금"/>
      <sheetName val="controll"/>
      <sheetName val="제품목록"/>
      <sheetName val="(1)2002년 매출목표 산출"/>
      <sheetName val="정의"/>
      <sheetName val="현금"/>
      <sheetName val="분개종합(01)"/>
      <sheetName val="외화가수금"/>
      <sheetName val="임차비용"/>
      <sheetName val="식음료"/>
      <sheetName val="첨부1"/>
      <sheetName val="예적금"/>
      <sheetName val="시산표12월(수정후)"/>
      <sheetName val="시산표"/>
      <sheetName val="단체(2)"/>
      <sheetName val="수정시산표"/>
      <sheetName val="추가예산"/>
      <sheetName val="집계표결과"/>
      <sheetName val="TEMP1"/>
      <sheetName val="I-O98"/>
      <sheetName val="지분법평가(반기)"/>
      <sheetName val="현금및현금등가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 (2)"/>
      <sheetName val="표지"/>
      <sheetName val="목차"/>
      <sheetName val="一. 대차대조표"/>
      <sheetName val="대차대조표"/>
      <sheetName val="二.손익계산서"/>
      <sheetName val="손익계산서"/>
      <sheetName val="三.합계잔액시산표"/>
      <sheetName val="합계잔액시산표"/>
      <sheetName val="四.현금흐름표"/>
      <sheetName val="현금흐름표"/>
      <sheetName val="五.대차대조표계정명세서"/>
      <sheetName val="(一) 유동자산"/>
      <sheetName val="(1)당좌자산"/>
      <sheetName val="1.현금및현금등가물"/>
      <sheetName val="2.단기금융상품"/>
      <sheetName val="3.유가증권"/>
      <sheetName val="4-1)외상매출금"/>
      <sheetName val="4-2)받을어음"/>
      <sheetName val="5.미수금"/>
      <sheetName val="6.미수수익"/>
      <sheetName val="7.선급금"/>
      <sheetName val="8.선급비용-본사"/>
      <sheetName val="8.선급비용-포항"/>
      <sheetName val="(2)재고자산"/>
      <sheetName val="재고자산명세서"/>
      <sheetName val="미착품"/>
      <sheetName val="(二)고정자산"/>
      <sheetName val="(1)투자자산"/>
      <sheetName val="1.장기금융상품"/>
      <sheetName val="2-1)유가증권"/>
      <sheetName val="2-2)관계사주식"/>
      <sheetName val="2-3)출자금"/>
      <sheetName val="3.선급리스부대비"/>
      <sheetName val="4-1)주임종장기대여금"/>
      <sheetName val="5.장기성매출채권"/>
      <sheetName val="6-1)보증금-전화가입권"/>
      <sheetName val="6-2)보증금-보증예치금"/>
      <sheetName val="7.이연법인세차"/>
      <sheetName val="(2)유형자산"/>
      <sheetName val="유형자산명세서"/>
      <sheetName val="1.토지"/>
      <sheetName val="2.건물"/>
      <sheetName val="3.구축물"/>
      <sheetName val="4.기계장치 "/>
      <sheetName val="5.차량운반구"/>
      <sheetName val="6.공기구 "/>
      <sheetName val="7.비품"/>
      <sheetName val="8.건설중인자산"/>
      <sheetName val="(3)무형자산"/>
      <sheetName val="1.산업재산권"/>
      <sheetName val="(三)유동부채"/>
      <sheetName val="1-1)외상매입금"/>
      <sheetName val="2)지급어음"/>
      <sheetName val="2.단기차입금"/>
      <sheetName val="3.미지급금-본사"/>
      <sheetName val="3.미지급금 -포항"/>
      <sheetName val="4.선수금"/>
      <sheetName val="5.예수금"/>
      <sheetName val="6.미지급비용-본사"/>
      <sheetName val="6.미지급비용-포항"/>
      <sheetName val="7.미지급법인세"/>
      <sheetName val="8.유동성장기부채"/>
      <sheetName val="9.보증예수금"/>
      <sheetName val="(四)고정부채"/>
      <sheetName val="1.장기차입금-외화"/>
      <sheetName val="1.장기차입금-원화"/>
      <sheetName val="2.퇴직급여충당금"/>
      <sheetName val="국민연금전환금"/>
      <sheetName val="퇴직신탁"/>
      <sheetName val="3.대손충당금"/>
      <sheetName val="4.이연법인세대"/>
      <sheetName val="(五) 자 본"/>
      <sheetName val="(1) 자본금"/>
      <sheetName val="자본금"/>
      <sheetName val="(2) 잉여금명세서"/>
      <sheetName val="잉여금명세서"/>
      <sheetName val="손익계산서부속명세"/>
      <sheetName val="(一)매출액명세서"/>
      <sheetName val="매출액명세서"/>
      <sheetName val="(二)매출원가명세서"/>
      <sheetName val="매출원가명세서"/>
      <sheetName val="(三)제조원가명세서"/>
      <sheetName val="제조원가명세서"/>
      <sheetName val="(四)상품수불명세서"/>
      <sheetName val="상품수불"/>
      <sheetName val="(五)제품수불명세서"/>
      <sheetName val="제품수불명세서"/>
      <sheetName val="(六)재공품수불명세서"/>
      <sheetName val="재공품수불명세서"/>
      <sheetName val="(七)원재료수불명세서"/>
      <sheetName val="원재료"/>
      <sheetName val="(八)저장품수불명세서"/>
      <sheetName val="저장품수불명세서"/>
      <sheetName val="(九)영업외수익명세서"/>
      <sheetName val="영업외수익"/>
      <sheetName val="(十)영업외비용명세서"/>
      <sheetName val="영업외비용"/>
      <sheetName val="(十一)특별손실명세서"/>
      <sheetName val="특별손실"/>
      <sheetName val="(十二)법인세비용명세서"/>
      <sheetName val="법인세비용조정명세서"/>
      <sheetName val="(十三)감가상각비명세서"/>
      <sheetName val="감가상각비명세서"/>
      <sheetName val="(十四)이익잉여금처분계산서"/>
      <sheetName val="이익잉여금처분계산서"/>
      <sheetName val="감사보고서"/>
      <sheetName val="소득금액조정합계표"/>
      <sheetName val="자본금과적립금조정명세서"/>
      <sheetName val="어음"/>
      <sheetName val="관계사와의거래(미지금)"/>
      <sheetName val="관계사(외출)"/>
      <sheetName val="손익계산서(管理)"/>
      <sheetName val="Assumption"/>
      <sheetName val="지급어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8">
          <cell r="A8" t="str">
            <v>Ⅰ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매출채"/>
      <sheetName val="카드채"/>
      <sheetName val="미수금"/>
      <sheetName val="선급비용"/>
      <sheetName val="본점"/>
      <sheetName val="재고"/>
      <sheetName val="저장품"/>
      <sheetName val="전화"/>
      <sheetName val="임차보"/>
      <sheetName val="영업보"/>
      <sheetName val="고정자산"/>
      <sheetName val="무형자산"/>
      <sheetName val="매입채무"/>
      <sheetName val="미지급금"/>
      <sheetName val="선수금"/>
      <sheetName val="예수금"/>
      <sheetName val="예수보"/>
      <sheetName val="상품매출액"/>
      <sheetName val="에누리"/>
      <sheetName val="매출액"/>
      <sheetName val="매출원가"/>
      <sheetName val="세금공과"/>
      <sheetName val="영업외수익"/>
      <sheetName val="영업외비용"/>
      <sheetName val="Assump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장기차입금"/>
      <sheetName val="단기차입금"/>
      <sheetName val="외화차입금 (2)"/>
      <sheetName val="현금흐름표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영계획"/>
      <sheetName val="지급수수료"/>
      <sheetName val="기밀,접대,기타선비"/>
      <sheetName val="외지송금수수료"/>
      <sheetName val="수입이자(예금) "/>
      <sheetName val="수입이자(적금) "/>
      <sheetName val="수입배당금"/>
      <sheetName val="이율변동상환차손익"/>
      <sheetName val="외화환산이익 (2)"/>
      <sheetName val="잡이익"/>
      <sheetName val="지급이자-산업외"/>
      <sheetName val="운영이자 "/>
      <sheetName val="현재가치"/>
      <sheetName val="지급보증료"/>
      <sheetName val="연구개발"/>
      <sheetName val="97환율조정차(30)"/>
      <sheetName val="98환율조정차(31)"/>
      <sheetName val="98.12월상각(32)"/>
      <sheetName val="98.12월상각(33)"/>
      <sheetName val="99.12상각(32)"/>
      <sheetName val="잡손실"/>
      <sheetName val="Sheet1"/>
      <sheetName val="Sheet2"/>
      <sheetName val="Sheet3"/>
      <sheetName val="Sheet4"/>
      <sheetName val="Sheet5"/>
      <sheetName val="대차대조표"/>
      <sheetName val="제조원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设置"/>
      <sheetName val="凭证汇总表"/>
      <sheetName val="总帐科目汇总表"/>
      <sheetName val="明细科目汇总表"/>
      <sheetName val="现金流量表"/>
      <sheetName val="Reconciliation"/>
      <sheetName val="其他应收款明细及帐龄分析(表5)"/>
      <sheetName val="97년"/>
      <sheetName val="科目汇总AT&amp;T"/>
      <sheetName val="외화"/>
      <sheetName val="재무제표3년"/>
      <sheetName val="수정시산표"/>
      <sheetName val="출입자명단"/>
      <sheetName val="발생집계"/>
    </sheetNames>
    <sheetDataSet>
      <sheetData sheetId="0" refreshError="1">
        <row r="3">
          <cell r="K3">
            <v>8.2774999999999999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합계잔액시산표20"/>
      <sheetName val="받을어음등 명세서"/>
      <sheetName val="할인어음"/>
      <sheetName val="지급어음 (2)"/>
      <sheetName val="지급어음"/>
      <sheetName val="본지점대"/>
      <sheetName val="장기차입"/>
      <sheetName val="단기차입"/>
      <sheetName val="유동성장기부채"/>
      <sheetName val="장기차입금"/>
      <sheetName val="단기금융"/>
      <sheetName val="장기금융"/>
      <sheetName val="보험공원"/>
      <sheetName val="보험교육"/>
      <sheetName val="보험분판"/>
      <sheetName val="보험제조"/>
      <sheetName val="보험판관"/>
      <sheetName val="지급이자"/>
      <sheetName val="지급이자4분기"/>
      <sheetName val="분양수수"/>
      <sheetName val="구매자금"/>
      <sheetName val="기술신용보증기금이자관련"/>
      <sheetName val="지급이자1년분"/>
      <sheetName val="지급보증"/>
      <sheetName val="잔외출"/>
      <sheetName val="잔미수금"/>
      <sheetName val="잔선급금"/>
      <sheetName val="잔외매"/>
      <sheetName val="잔미지급금"/>
      <sheetName val="잔선수금"/>
      <sheetName val="잔미지은"/>
      <sheetName val="잔미지급"/>
      <sheetName val="잔미지윤"/>
      <sheetName val="선급법인"/>
      <sheetName val="임대보증"/>
      <sheetName val="임대보증금"/>
      <sheetName val="용사원선"/>
      <sheetName val="보경선수"/>
      <sheetName val="용대한세"/>
      <sheetName val="용대한소"/>
      <sheetName val="용봉원수"/>
      <sheetName val="용봉원급"/>
      <sheetName val="수분양C"/>
      <sheetName val="용일용직"/>
      <sheetName val="용이스선"/>
      <sheetName val="용사원미"/>
      <sheetName val="용하이테"/>
      <sheetName val="품종별월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"/>
      <sheetName val="종속회사 투자자본 history"/>
      <sheetName val="종속관계사주식BV_20YE"/>
      <sheetName val="환율"/>
      <sheetName val="FX"/>
      <sheetName val="Mapping Table_IFRS"/>
      <sheetName val="CoA"/>
      <sheetName val="A-2. 별도FS(값붙여넣기)"/>
      <sheetName val="A. 별도FS 환산"/>
      <sheetName val="A-1. 별도FS"/>
      <sheetName val="B.연결조정분개 요약표"/>
      <sheetName val="내부거래"/>
      <sheetName val="C.연결조정 정산표"/>
      <sheetName val="지분법회계처리"/>
      <sheetName val="SDB"/>
      <sheetName val="B-1. 연결범위변동"/>
      <sheetName val="D.연결BS"/>
      <sheetName val="E.연결PL"/>
      <sheetName val="F.연결CSE"/>
      <sheetName val="G.공시CF"/>
      <sheetName val="H.요약재무정보"/>
      <sheetName val="I. 연결순자산 검증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C5" t="str">
            <v>자산</v>
          </cell>
        </row>
      </sheetData>
      <sheetData sheetId="7"/>
      <sheetData sheetId="8">
        <row r="3">
          <cell r="E3" t="str">
            <v>KRW</v>
          </cell>
          <cell r="F3" t="str">
            <v>USD</v>
          </cell>
        </row>
        <row r="5">
          <cell r="B5">
            <v>44196</v>
          </cell>
        </row>
      </sheetData>
      <sheetData sheetId="9"/>
      <sheetData sheetId="10"/>
      <sheetData sheetId="11"/>
      <sheetData sheetId="12">
        <row r="46">
          <cell r="J46">
            <v>224476358006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"/>
      <sheetName val="종속회사 투자자본 history"/>
      <sheetName val="종속관계사주식BV_19YE"/>
      <sheetName val="환율"/>
      <sheetName val="FX"/>
      <sheetName val="Mapping Table_IFRS"/>
      <sheetName val="CoA"/>
      <sheetName val="A-1. 별도FS"/>
      <sheetName val="A-2. 별도FS(값붙여넣기)"/>
      <sheetName val="A. 별도FS 환산"/>
      <sheetName val="B.연결조정분개 요약표"/>
      <sheetName val="지분법회계처리"/>
      <sheetName val="SDB"/>
      <sheetName val="B-1. 연결범위변동"/>
      <sheetName val="C.연결조정 정산표"/>
      <sheetName val="D.연결BS"/>
      <sheetName val="E.연결PL"/>
      <sheetName val="F.연결CSE"/>
      <sheetName val="G.공시CF"/>
      <sheetName val="H.요약재무정보"/>
      <sheetName val="I. 연결순자산 검증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>IFRS</v>
          </cell>
          <cell r="C3" t="str">
            <v>Low Level</v>
          </cell>
        </row>
        <row r="4">
          <cell r="B4" t="str">
            <v>Code</v>
          </cell>
          <cell r="C4" t="str">
            <v>Account</v>
          </cell>
        </row>
        <row r="5">
          <cell r="C5" t="str">
            <v>자산</v>
          </cell>
        </row>
        <row r="6">
          <cell r="B6" t="str">
            <v>A1000</v>
          </cell>
          <cell r="C6" t="str">
            <v>유동자산</v>
          </cell>
        </row>
        <row r="7">
          <cell r="B7" t="str">
            <v>A1100</v>
          </cell>
          <cell r="C7" t="str">
            <v>당좌자산</v>
          </cell>
        </row>
        <row r="8">
          <cell r="B8" t="str">
            <v>A1101</v>
          </cell>
          <cell r="C8" t="str">
            <v>현금시재</v>
          </cell>
        </row>
        <row r="9">
          <cell r="B9" t="str">
            <v>A1102</v>
          </cell>
          <cell r="C9" t="str">
            <v>보통예금</v>
          </cell>
        </row>
        <row r="10">
          <cell r="B10" t="str">
            <v>A1103</v>
          </cell>
          <cell r="C10" t="str">
            <v>국고보조금-현금및현금성자산</v>
          </cell>
        </row>
        <row r="11">
          <cell r="B11" t="str">
            <v>A1104</v>
          </cell>
          <cell r="C11" t="str">
            <v>정기예.적금</v>
          </cell>
        </row>
        <row r="12">
          <cell r="B12" t="str">
            <v>A1105</v>
          </cell>
          <cell r="C12" t="str">
            <v>당기손익-공정가치금융자산(유동)</v>
          </cell>
        </row>
        <row r="13">
          <cell r="B13" t="str">
            <v>A1106</v>
          </cell>
          <cell r="C13" t="str">
            <v>외상매출금</v>
          </cell>
        </row>
        <row r="14">
          <cell r="B14" t="str">
            <v>A1106C</v>
          </cell>
          <cell r="C14" t="str">
            <v>외상매출금/Intercompany</v>
          </cell>
        </row>
        <row r="15">
          <cell r="B15" t="str">
            <v>A1106-1</v>
          </cell>
          <cell r="C15" t="str">
            <v>현재가치할인차금(유동)-외상매출금</v>
          </cell>
        </row>
        <row r="16">
          <cell r="B16" t="str">
            <v>A1107</v>
          </cell>
          <cell r="C16" t="str">
            <v>대손충당금-외상매출금</v>
          </cell>
        </row>
        <row r="17">
          <cell r="B17" t="str">
            <v>A1107C</v>
          </cell>
          <cell r="C17" t="str">
            <v>대손충당금-외상매출금/Intercompany</v>
          </cell>
        </row>
        <row r="18">
          <cell r="B18" t="str">
            <v>A1108</v>
          </cell>
          <cell r="C18" t="str">
            <v>받을어음</v>
          </cell>
        </row>
        <row r="19">
          <cell r="B19" t="str">
            <v>A1109</v>
          </cell>
          <cell r="C19" t="str">
            <v>단기대여금</v>
          </cell>
        </row>
        <row r="20">
          <cell r="B20" t="str">
            <v>A1109C</v>
          </cell>
          <cell r="C20" t="str">
            <v>단기대여금/Intercompany</v>
          </cell>
        </row>
        <row r="21">
          <cell r="B21" t="str">
            <v>A1109-1</v>
          </cell>
          <cell r="C21" t="str">
            <v>현재가치할인차금-단기대여금</v>
          </cell>
        </row>
        <row r="22">
          <cell r="B22" t="str">
            <v>A1110</v>
          </cell>
          <cell r="C22" t="str">
            <v>대손충당금-단기대여금</v>
          </cell>
        </row>
        <row r="23">
          <cell r="B23" t="str">
            <v>A1110C</v>
          </cell>
          <cell r="C23" t="str">
            <v>대손충당금-단기대여금/Intercompany</v>
          </cell>
        </row>
        <row r="24">
          <cell r="B24" t="str">
            <v>A1111</v>
          </cell>
          <cell r="C24" t="str">
            <v>미수수익</v>
          </cell>
        </row>
        <row r="25">
          <cell r="B25" t="str">
            <v>A1112</v>
          </cell>
          <cell r="C25" t="str">
            <v>미수금</v>
          </cell>
        </row>
        <row r="26">
          <cell r="B26" t="str">
            <v>A1113</v>
          </cell>
          <cell r="C26" t="str">
            <v>국고보조금-미수금</v>
          </cell>
        </row>
        <row r="27">
          <cell r="B27" t="str">
            <v>A1114</v>
          </cell>
          <cell r="C27" t="str">
            <v>이자율스왑</v>
          </cell>
        </row>
        <row r="28">
          <cell r="B28" t="str">
            <v>A1115</v>
          </cell>
          <cell r="C28" t="str">
            <v>선급금</v>
          </cell>
        </row>
        <row r="29">
          <cell r="B29" t="str">
            <v>A1116</v>
          </cell>
          <cell r="C29" t="str">
            <v>선급비용</v>
          </cell>
        </row>
        <row r="30">
          <cell r="B30" t="str">
            <v>A1117</v>
          </cell>
          <cell r="C30" t="str">
            <v>부가세대급금</v>
          </cell>
        </row>
        <row r="31">
          <cell r="B31" t="str">
            <v>A1118</v>
          </cell>
          <cell r="C31" t="str">
            <v>유동성이연법인세자산</v>
          </cell>
        </row>
        <row r="32">
          <cell r="B32" t="str">
            <v>A1119</v>
          </cell>
          <cell r="C32" t="str">
            <v>당기법인세자산</v>
          </cell>
        </row>
        <row r="33">
          <cell r="B33" t="str">
            <v>A1120</v>
          </cell>
          <cell r="C33" t="str">
            <v>임차보증금(유동)</v>
          </cell>
        </row>
        <row r="34">
          <cell r="B34" t="str">
            <v>A1121</v>
          </cell>
          <cell r="C34" t="str">
            <v>반환재고회수권(계약자산)</v>
          </cell>
        </row>
        <row r="36">
          <cell r="B36" t="str">
            <v>A1200</v>
          </cell>
          <cell r="C36" t="str">
            <v>재고자산</v>
          </cell>
        </row>
        <row r="37">
          <cell r="B37" t="str">
            <v>A1201</v>
          </cell>
          <cell r="C37" t="str">
            <v>상품</v>
          </cell>
        </row>
        <row r="38">
          <cell r="B38" t="str">
            <v>A1202</v>
          </cell>
          <cell r="C38" t="str">
            <v>제품</v>
          </cell>
        </row>
        <row r="39">
          <cell r="B39" t="str">
            <v>A1203</v>
          </cell>
          <cell r="C39" t="str">
            <v>제품평가충당금</v>
          </cell>
        </row>
        <row r="40">
          <cell r="B40" t="str">
            <v>A1204</v>
          </cell>
          <cell r="C40" t="str">
            <v>원재료</v>
          </cell>
        </row>
        <row r="41">
          <cell r="B41" t="str">
            <v>A1205</v>
          </cell>
          <cell r="C41" t="str">
            <v>원재료평가충당금</v>
          </cell>
        </row>
        <row r="42">
          <cell r="B42" t="str">
            <v>A1206</v>
          </cell>
          <cell r="C42" t="str">
            <v>부재료</v>
          </cell>
        </row>
        <row r="43">
          <cell r="B43" t="str">
            <v>A1207</v>
          </cell>
          <cell r="C43" t="str">
            <v>재공품</v>
          </cell>
        </row>
        <row r="44">
          <cell r="B44" t="str">
            <v>A1208</v>
          </cell>
          <cell r="C44" t="str">
            <v>재공품평가충당금</v>
          </cell>
        </row>
        <row r="45">
          <cell r="B45" t="str">
            <v>A1209</v>
          </cell>
          <cell r="C45" t="str">
            <v>반제품</v>
          </cell>
        </row>
        <row r="46">
          <cell r="B46" t="str">
            <v>A1210</v>
          </cell>
          <cell r="C46" t="str">
            <v>반제품평가충당금</v>
          </cell>
        </row>
        <row r="47">
          <cell r="B47" t="str">
            <v>A1211</v>
          </cell>
          <cell r="C47" t="str">
            <v>미착품</v>
          </cell>
        </row>
        <row r="49">
          <cell r="B49" t="str">
            <v>A2000</v>
          </cell>
          <cell r="C49" t="str">
            <v>비유동자산</v>
          </cell>
        </row>
        <row r="50">
          <cell r="B50" t="str">
            <v>A2100</v>
          </cell>
          <cell r="C50" t="str">
            <v>투자자산</v>
          </cell>
        </row>
        <row r="51">
          <cell r="B51" t="str">
            <v>A2101</v>
          </cell>
          <cell r="C51" t="str">
            <v>장기성예금</v>
          </cell>
        </row>
        <row r="52">
          <cell r="B52" t="str">
            <v>A2102</v>
          </cell>
          <cell r="C52" t="str">
            <v>당기손익-공정가치금융자산(비유동)</v>
          </cell>
        </row>
        <row r="53">
          <cell r="B53" t="str">
            <v>A2103</v>
          </cell>
          <cell r="C53" t="str">
            <v>장기대여금</v>
          </cell>
        </row>
        <row r="54">
          <cell r="B54" t="str">
            <v>A2103-1</v>
          </cell>
          <cell r="C54" t="str">
            <v>현재가치할인차금-장기대여금</v>
          </cell>
        </row>
        <row r="55">
          <cell r="B55" t="str">
            <v>A2104</v>
          </cell>
          <cell r="C55" t="str">
            <v>장기매도가능증권</v>
          </cell>
        </row>
        <row r="56">
          <cell r="B56" t="str">
            <v>A2105</v>
          </cell>
          <cell r="C56" t="str">
            <v>감액손실누계액-매도가능증권</v>
          </cell>
        </row>
        <row r="57">
          <cell r="B57" t="str">
            <v>A2106</v>
          </cell>
          <cell r="C57" t="str">
            <v>종속기업투자</v>
          </cell>
        </row>
        <row r="58">
          <cell r="B58" t="str">
            <v>A2107</v>
          </cell>
          <cell r="C58" t="str">
            <v>관계기업투자</v>
          </cell>
        </row>
        <row r="59">
          <cell r="B59" t="str">
            <v>A2108</v>
          </cell>
          <cell r="C59" t="str">
            <v>투자부동산(토지)</v>
          </cell>
        </row>
        <row r="60">
          <cell r="B60" t="str">
            <v>A2109</v>
          </cell>
          <cell r="C60" t="str">
            <v>투자부동산(건물)</v>
          </cell>
        </row>
        <row r="61">
          <cell r="B61" t="str">
            <v>A2110</v>
          </cell>
          <cell r="C61" t="str">
            <v>투자부동산(건물-감가상각누계액)</v>
          </cell>
        </row>
        <row r="62">
          <cell r="B62" t="str">
            <v>A2200</v>
          </cell>
          <cell r="C62" t="str">
            <v>유형자산</v>
          </cell>
        </row>
        <row r="63">
          <cell r="B63" t="str">
            <v>A2201</v>
          </cell>
          <cell r="C63" t="str">
            <v>토지</v>
          </cell>
        </row>
        <row r="64">
          <cell r="B64" t="str">
            <v>A2202</v>
          </cell>
          <cell r="C64" t="str">
            <v>건물</v>
          </cell>
        </row>
        <row r="65">
          <cell r="B65" t="str">
            <v>A2202-1</v>
          </cell>
          <cell r="C65" t="str">
            <v>감가상각누계액-건물</v>
          </cell>
        </row>
        <row r="66">
          <cell r="B66" t="str">
            <v>A2203</v>
          </cell>
          <cell r="C66" t="str">
            <v>구축물</v>
          </cell>
        </row>
        <row r="67">
          <cell r="B67" t="str">
            <v>A2203-1</v>
          </cell>
          <cell r="C67" t="str">
            <v>감가상각누계액-구축물</v>
          </cell>
        </row>
        <row r="68">
          <cell r="B68" t="str">
            <v>A2204</v>
          </cell>
          <cell r="C68" t="str">
            <v>기계장치</v>
          </cell>
        </row>
        <row r="69">
          <cell r="B69" t="str">
            <v>A2204-1</v>
          </cell>
          <cell r="C69" t="str">
            <v>감가상각누계액-기계장치</v>
          </cell>
        </row>
        <row r="70">
          <cell r="B70" t="str">
            <v>A2204-2</v>
          </cell>
          <cell r="C70" t="str">
            <v>손상차손누계액-기계장치</v>
          </cell>
        </row>
        <row r="71">
          <cell r="B71" t="str">
            <v>A2205</v>
          </cell>
          <cell r="C71" t="str">
            <v>차량운반구</v>
          </cell>
        </row>
        <row r="72">
          <cell r="B72" t="str">
            <v>A2205-1</v>
          </cell>
          <cell r="C72" t="str">
            <v>감가상각누계액-차량운반구</v>
          </cell>
        </row>
        <row r="73">
          <cell r="B73" t="str">
            <v>A2206</v>
          </cell>
          <cell r="C73" t="str">
            <v>공구와기구</v>
          </cell>
        </row>
        <row r="74">
          <cell r="B74" t="str">
            <v>A2206-1</v>
          </cell>
          <cell r="C74" t="str">
            <v>감가상각누계액-공구와기구</v>
          </cell>
        </row>
        <row r="75">
          <cell r="B75" t="str">
            <v>A2206-2</v>
          </cell>
          <cell r="C75" t="str">
            <v>손상차손누계액-공구와기구</v>
          </cell>
        </row>
        <row r="76">
          <cell r="B76" t="str">
            <v>A2207</v>
          </cell>
          <cell r="C76" t="str">
            <v>비품</v>
          </cell>
        </row>
        <row r="77">
          <cell r="B77" t="str">
            <v>A2207-1</v>
          </cell>
          <cell r="C77" t="str">
            <v>감가상각누계액-비품</v>
          </cell>
        </row>
        <row r="78">
          <cell r="B78" t="str">
            <v>A2208</v>
          </cell>
          <cell r="C78" t="str">
            <v>건설중인자산</v>
          </cell>
        </row>
        <row r="79">
          <cell r="B79" t="str">
            <v>A2209</v>
          </cell>
          <cell r="C79" t="str">
            <v>시설장치</v>
          </cell>
        </row>
        <row r="80">
          <cell r="B80" t="str">
            <v>A2209-1</v>
          </cell>
          <cell r="C80" t="str">
            <v>감가상각누계액-시설장치</v>
          </cell>
        </row>
        <row r="81">
          <cell r="B81" t="str">
            <v>A2210</v>
          </cell>
          <cell r="C81" t="str">
            <v>미착기계</v>
          </cell>
        </row>
        <row r="82">
          <cell r="B82" t="str">
            <v>A2211</v>
          </cell>
          <cell r="C82" t="str">
            <v>사용권자산</v>
          </cell>
        </row>
        <row r="83">
          <cell r="B83" t="str">
            <v>A2211-1</v>
          </cell>
          <cell r="C83" t="str">
            <v>사용권자산-감가상각누계액</v>
          </cell>
        </row>
        <row r="85">
          <cell r="B85" t="str">
            <v>A2300</v>
          </cell>
          <cell r="C85" t="str">
            <v>무형자산</v>
          </cell>
        </row>
        <row r="86">
          <cell r="B86" t="str">
            <v>A2301</v>
          </cell>
          <cell r="C86" t="str">
            <v>영업권</v>
          </cell>
        </row>
        <row r="87">
          <cell r="B87" t="str">
            <v>A2302</v>
          </cell>
          <cell r="C87" t="str">
            <v>소프트웨어</v>
          </cell>
        </row>
        <row r="88">
          <cell r="B88" t="str">
            <v>A2302-1</v>
          </cell>
          <cell r="C88" t="str">
            <v>상각누계액-소프트웨어</v>
          </cell>
        </row>
        <row r="89">
          <cell r="B89" t="str">
            <v>A2303</v>
          </cell>
          <cell r="C89" t="str">
            <v>산업재산권</v>
          </cell>
        </row>
        <row r="90">
          <cell r="B90" t="str">
            <v>A2303-1</v>
          </cell>
          <cell r="C90" t="str">
            <v>상각누계액-산업재산권</v>
          </cell>
        </row>
        <row r="91">
          <cell r="B91" t="str">
            <v>A2304</v>
          </cell>
          <cell r="C91" t="str">
            <v>골프회원권</v>
          </cell>
        </row>
        <row r="92">
          <cell r="B92" t="str">
            <v>A2305</v>
          </cell>
          <cell r="C92" t="str">
            <v>토지이용권</v>
          </cell>
        </row>
        <row r="93">
          <cell r="B93" t="str">
            <v>A2306</v>
          </cell>
          <cell r="C93" t="str">
            <v>고객관계</v>
          </cell>
        </row>
        <row r="94">
          <cell r="B94" t="str">
            <v>A2400</v>
          </cell>
          <cell r="C94" t="str">
            <v>기타비유동자산</v>
          </cell>
        </row>
        <row r="95">
          <cell r="B95" t="str">
            <v>A2401</v>
          </cell>
          <cell r="C95" t="str">
            <v>이연법인세자산</v>
          </cell>
        </row>
        <row r="96">
          <cell r="B96" t="str">
            <v>A2406</v>
          </cell>
          <cell r="C96" t="str">
            <v>비유동매출채권</v>
          </cell>
        </row>
        <row r="97">
          <cell r="B97" t="str">
            <v>A2406C</v>
          </cell>
          <cell r="C97" t="str">
            <v>비유동매출채권/Intercompany</v>
          </cell>
        </row>
        <row r="98">
          <cell r="B98" t="str">
            <v>A2406-1</v>
          </cell>
          <cell r="C98" t="str">
            <v>현재가치할인차금(비유동)-비유동외상매출금</v>
          </cell>
        </row>
        <row r="99">
          <cell r="B99" t="str">
            <v>A2406-2</v>
          </cell>
          <cell r="C99" t="str">
            <v>대손충당금-비유동매출채권</v>
          </cell>
        </row>
        <row r="100">
          <cell r="B100" t="str">
            <v>A2402</v>
          </cell>
          <cell r="C100" t="str">
            <v>임차보증금</v>
          </cell>
        </row>
        <row r="101">
          <cell r="B101" t="str">
            <v>A2402-1</v>
          </cell>
          <cell r="C101" t="str">
            <v>현재가치할인차금-임차보증금</v>
          </cell>
        </row>
        <row r="102">
          <cell r="B102" t="str">
            <v>A2403</v>
          </cell>
          <cell r="C102" t="str">
            <v>회원권</v>
          </cell>
        </row>
        <row r="103">
          <cell r="B103" t="str">
            <v>A2404</v>
          </cell>
          <cell r="C103" t="str">
            <v>장기미수금</v>
          </cell>
        </row>
        <row r="104">
          <cell r="B104" t="str">
            <v>A2405</v>
          </cell>
          <cell r="C104" t="str">
            <v>장기선급비용</v>
          </cell>
        </row>
        <row r="106">
          <cell r="C106" t="str">
            <v>자산총계</v>
          </cell>
        </row>
        <row r="107">
          <cell r="B107" t="str">
            <v>L1000</v>
          </cell>
          <cell r="C107" t="str">
            <v>유동부채</v>
          </cell>
        </row>
        <row r="108">
          <cell r="B108" t="str">
            <v>L1001</v>
          </cell>
          <cell r="C108" t="str">
            <v>외상매입금</v>
          </cell>
        </row>
        <row r="109">
          <cell r="B109" t="str">
            <v>L1001C</v>
          </cell>
          <cell r="C109" t="str">
            <v>외상매입금/Intercompany</v>
          </cell>
        </row>
        <row r="110">
          <cell r="B110" t="str">
            <v>L1002</v>
          </cell>
          <cell r="C110" t="str">
            <v>미지급금</v>
          </cell>
        </row>
        <row r="111">
          <cell r="B111" t="str">
            <v>L1002C</v>
          </cell>
          <cell r="C111" t="str">
            <v>미지급금/Intercompany</v>
          </cell>
        </row>
        <row r="112">
          <cell r="B112" t="str">
            <v>L1003</v>
          </cell>
          <cell r="C112" t="str">
            <v>예수금</v>
          </cell>
        </row>
        <row r="113">
          <cell r="B113" t="str">
            <v>L1004</v>
          </cell>
          <cell r="C113" t="str">
            <v>부가세예수금</v>
          </cell>
        </row>
        <row r="114">
          <cell r="B114" t="str">
            <v>L1005</v>
          </cell>
          <cell r="C114" t="str">
            <v>예수보증금</v>
          </cell>
        </row>
        <row r="115">
          <cell r="B115" t="str">
            <v>L1006</v>
          </cell>
          <cell r="C115" t="str">
            <v>선수금</v>
          </cell>
        </row>
        <row r="116">
          <cell r="B116" t="str">
            <v>L1025</v>
          </cell>
          <cell r="C116" t="str">
            <v>선수수익</v>
          </cell>
        </row>
        <row r="117">
          <cell r="B117" t="str">
            <v>L1007</v>
          </cell>
          <cell r="C117" t="str">
            <v>단기차입금</v>
          </cell>
        </row>
        <row r="118">
          <cell r="B118" t="str">
            <v>L1008</v>
          </cell>
          <cell r="C118" t="str">
            <v>미지급세금</v>
          </cell>
        </row>
        <row r="119">
          <cell r="B119" t="str">
            <v>L1009</v>
          </cell>
          <cell r="C119" t="str">
            <v>미지급비용</v>
          </cell>
        </row>
        <row r="120">
          <cell r="B120" t="str">
            <v>L1010</v>
          </cell>
          <cell r="C120" t="str">
            <v>유동성장기부채</v>
          </cell>
        </row>
        <row r="121">
          <cell r="B121" t="str">
            <v>L1011</v>
          </cell>
          <cell r="C121" t="str">
            <v>연월차충당부채</v>
          </cell>
        </row>
        <row r="122">
          <cell r="B122" t="str">
            <v>L1012</v>
          </cell>
          <cell r="C122" t="str">
            <v>통화옵션</v>
          </cell>
        </row>
        <row r="123">
          <cell r="B123" t="str">
            <v>L1013</v>
          </cell>
          <cell r="C123" t="str">
            <v>파생상품부채</v>
          </cell>
        </row>
        <row r="124">
          <cell r="B124" t="str">
            <v>L1014</v>
          </cell>
          <cell r="C124" t="str">
            <v>유동성사채</v>
          </cell>
        </row>
        <row r="125">
          <cell r="B125" t="str">
            <v>L1015</v>
          </cell>
          <cell r="C125" t="str">
            <v>통화선도</v>
          </cell>
        </row>
        <row r="126">
          <cell r="B126" t="str">
            <v>L1016</v>
          </cell>
          <cell r="C126" t="str">
            <v>지급어음</v>
          </cell>
        </row>
        <row r="127">
          <cell r="B127" t="str">
            <v>L1017</v>
          </cell>
          <cell r="C127" t="str">
            <v>계약부채</v>
          </cell>
        </row>
        <row r="128">
          <cell r="B128" t="str">
            <v>L1018</v>
          </cell>
          <cell r="C128" t="str">
            <v>상환우선주(유동)</v>
          </cell>
        </row>
        <row r="129">
          <cell r="B129" t="str">
            <v>L1019</v>
          </cell>
          <cell r="C129" t="str">
            <v>상환우선주상환할증금(유동)</v>
          </cell>
        </row>
        <row r="130">
          <cell r="B130" t="str">
            <v>L1020</v>
          </cell>
          <cell r="C130" t="str">
            <v>상환우선주할인발행차금(유동)</v>
          </cell>
        </row>
        <row r="131">
          <cell r="B131" t="str">
            <v>L1021</v>
          </cell>
          <cell r="C131" t="str">
            <v>당기손익공정가치금융부채(유동)</v>
          </cell>
        </row>
        <row r="132">
          <cell r="B132" t="str">
            <v>L1022</v>
          </cell>
          <cell r="C132" t="str">
            <v>리스부채(유동)</v>
          </cell>
        </row>
        <row r="133">
          <cell r="B133" t="str">
            <v>L1022-1</v>
          </cell>
          <cell r="C133" t="str">
            <v>현재가치할인차금-리스부채(유동)</v>
          </cell>
        </row>
        <row r="134">
          <cell r="B134" t="str">
            <v>L1023</v>
          </cell>
          <cell r="C134" t="str">
            <v>환불부채(반품관련)</v>
          </cell>
        </row>
        <row r="135">
          <cell r="B135" t="str">
            <v>L1024</v>
          </cell>
          <cell r="C135" t="str">
            <v>판매보증충당부채</v>
          </cell>
        </row>
        <row r="136">
          <cell r="B136" t="str">
            <v>L2000</v>
          </cell>
          <cell r="C136" t="str">
            <v>비유동부채</v>
          </cell>
        </row>
        <row r="137">
          <cell r="B137" t="str">
            <v>L2001</v>
          </cell>
          <cell r="C137" t="str">
            <v>사채</v>
          </cell>
        </row>
        <row r="138">
          <cell r="B138" t="str">
            <v>L2002</v>
          </cell>
          <cell r="C138" t="str">
            <v>장기차입금</v>
          </cell>
        </row>
        <row r="139">
          <cell r="B139" t="str">
            <v>L2003</v>
          </cell>
          <cell r="C139" t="str">
            <v>임대보증금</v>
          </cell>
        </row>
        <row r="140">
          <cell r="B140" t="str">
            <v>L2004</v>
          </cell>
          <cell r="C140" t="str">
            <v>퇴직급여충당부채</v>
          </cell>
        </row>
        <row r="141">
          <cell r="B141" t="str">
            <v>L2005</v>
          </cell>
          <cell r="C141" t="str">
            <v>퇴직보험예치금</v>
          </cell>
        </row>
        <row r="142">
          <cell r="B142" t="str">
            <v>L2006</v>
          </cell>
          <cell r="C142" t="str">
            <v>지급보증부채</v>
          </cell>
        </row>
        <row r="143">
          <cell r="B143" t="str">
            <v>L2007</v>
          </cell>
          <cell r="C143" t="str">
            <v>장기미지급금</v>
          </cell>
        </row>
        <row r="144">
          <cell r="B144" t="str">
            <v>L2008</v>
          </cell>
          <cell r="C144" t="str">
            <v>전환사채</v>
          </cell>
        </row>
        <row r="145">
          <cell r="B145" t="str">
            <v>L2009</v>
          </cell>
          <cell r="C145" t="str">
            <v>전환권조정-전환사채</v>
          </cell>
        </row>
        <row r="146">
          <cell r="B146" t="str">
            <v>L2010</v>
          </cell>
          <cell r="C146" t="str">
            <v>사채상환할증금-전환사채</v>
          </cell>
        </row>
        <row r="147">
          <cell r="B147" t="str">
            <v>L2011</v>
          </cell>
          <cell r="C147" t="str">
            <v>기타장기종업원급여채무</v>
          </cell>
        </row>
        <row r="148">
          <cell r="B148" t="str">
            <v>L2012</v>
          </cell>
          <cell r="C148" t="str">
            <v>파생상품부채(비유동)</v>
          </cell>
        </row>
        <row r="149">
          <cell r="B149" t="str">
            <v>L2013</v>
          </cell>
          <cell r="C149" t="str">
            <v>상환우선주</v>
          </cell>
        </row>
        <row r="150">
          <cell r="B150" t="str">
            <v>L2014</v>
          </cell>
          <cell r="C150" t="str">
            <v>상환우선주상환할증금</v>
          </cell>
        </row>
        <row r="151">
          <cell r="B151" t="str">
            <v>L2015</v>
          </cell>
          <cell r="C151" t="str">
            <v>상환우선주할인발행차금</v>
          </cell>
        </row>
        <row r="152">
          <cell r="B152" t="str">
            <v>L2016</v>
          </cell>
          <cell r="C152" t="str">
            <v>리스부채(비유동)</v>
          </cell>
        </row>
        <row r="153">
          <cell r="B153" t="str">
            <v>L2016-1</v>
          </cell>
          <cell r="C153" t="str">
            <v>현재가치할인차금-리스부채(비유동)</v>
          </cell>
        </row>
        <row r="154">
          <cell r="B154" t="str">
            <v>L2017</v>
          </cell>
          <cell r="C154" t="str">
            <v>예수보증금(비유동)</v>
          </cell>
        </row>
        <row r="156">
          <cell r="C156" t="str">
            <v>부채총계</v>
          </cell>
        </row>
        <row r="157">
          <cell r="C157" t="str">
            <v>자본</v>
          </cell>
        </row>
        <row r="158">
          <cell r="B158" t="str">
            <v>S1000</v>
          </cell>
          <cell r="C158" t="str">
            <v>자본금</v>
          </cell>
        </row>
        <row r="159">
          <cell r="B159" t="str">
            <v>S1001</v>
          </cell>
          <cell r="C159" t="str">
            <v>보통주자본금</v>
          </cell>
        </row>
        <row r="160">
          <cell r="B160" t="str">
            <v>S1002</v>
          </cell>
          <cell r="C160" t="str">
            <v>우선주자본금</v>
          </cell>
        </row>
        <row r="161">
          <cell r="B161" t="str">
            <v>S2000</v>
          </cell>
          <cell r="C161" t="str">
            <v>자본잉여금</v>
          </cell>
        </row>
        <row r="162">
          <cell r="B162" t="str">
            <v>S2001</v>
          </cell>
          <cell r="C162" t="str">
            <v>주식발행초과금</v>
          </cell>
        </row>
        <row r="163">
          <cell r="B163" t="str">
            <v>S2002</v>
          </cell>
          <cell r="C163" t="str">
            <v>자기주식처분이익</v>
          </cell>
        </row>
        <row r="164">
          <cell r="B164" t="str">
            <v>S2003</v>
          </cell>
          <cell r="C164" t="str">
            <v>전환권대가</v>
          </cell>
        </row>
        <row r="165">
          <cell r="B165" t="str">
            <v>S3000</v>
          </cell>
          <cell r="C165" t="str">
            <v>자본조정</v>
          </cell>
        </row>
        <row r="166">
          <cell r="B166" t="str">
            <v>S3001</v>
          </cell>
        </row>
        <row r="167">
          <cell r="B167" t="str">
            <v>S5000</v>
          </cell>
          <cell r="C167" t="str">
            <v>기타포괄손익누계액</v>
          </cell>
        </row>
        <row r="168">
          <cell r="B168" t="str">
            <v>S5001</v>
          </cell>
          <cell r="C168" t="str">
            <v>관계기업의기타포괄손익에대한지분(AOCI)</v>
          </cell>
        </row>
        <row r="169">
          <cell r="B169" t="str">
            <v>S5002</v>
          </cell>
          <cell r="C169" t="str">
            <v>해외사업환산손익(AOCI)</v>
          </cell>
        </row>
        <row r="170">
          <cell r="B170" t="str">
            <v>S5003</v>
          </cell>
          <cell r="C170" t="str">
            <v>재평가잉여금</v>
          </cell>
        </row>
        <row r="171">
          <cell r="B171" t="str">
            <v>S5004</v>
          </cell>
          <cell r="C171" t="str">
            <v>매도가능증권평가손익</v>
          </cell>
        </row>
        <row r="173">
          <cell r="B173" t="str">
            <v>S4000</v>
          </cell>
          <cell r="C173" t="str">
            <v>이익잉여금</v>
          </cell>
        </row>
        <row r="174">
          <cell r="B174" t="str">
            <v>S4001</v>
          </cell>
          <cell r="C174" t="str">
            <v>이익준비금</v>
          </cell>
        </row>
        <row r="175">
          <cell r="B175" t="str">
            <v>S4002</v>
          </cell>
          <cell r="C175" t="str">
            <v>관계기업의이익잉여금에대한지분(AOCI)</v>
          </cell>
        </row>
        <row r="176">
          <cell r="B176" t="str">
            <v>S4005</v>
          </cell>
          <cell r="C176" t="str">
            <v>순확정부채재측정요소(AOCI)</v>
          </cell>
        </row>
        <row r="177">
          <cell r="B177" t="str">
            <v>S4003</v>
          </cell>
          <cell r="C177" t="str">
            <v>당기순이익</v>
          </cell>
        </row>
        <row r="178">
          <cell r="B178" t="str">
            <v>S4004</v>
          </cell>
          <cell r="C178" t="str">
            <v>미처분이익잉여금</v>
          </cell>
        </row>
        <row r="180">
          <cell r="B180" t="str">
            <v>S0501</v>
          </cell>
          <cell r="C180" t="str">
            <v>비지배지분</v>
          </cell>
        </row>
        <row r="181">
          <cell r="B181" t="str">
            <v>S0501N</v>
          </cell>
          <cell r="C181" t="str">
            <v>비지배지분-자본금</v>
          </cell>
        </row>
        <row r="182">
          <cell r="B182" t="str">
            <v>S0502N</v>
          </cell>
          <cell r="C182" t="str">
            <v>비지배지분-자본잉여금</v>
          </cell>
        </row>
        <row r="183">
          <cell r="B183" t="str">
            <v>S0503N</v>
          </cell>
          <cell r="C183" t="str">
            <v>비지배지분-기타포괄손익누계액</v>
          </cell>
        </row>
        <row r="184">
          <cell r="B184" t="str">
            <v>S0504N</v>
          </cell>
          <cell r="C184" t="str">
            <v>비지배지분-이익잉여금(결손금)</v>
          </cell>
        </row>
        <row r="186">
          <cell r="C186" t="str">
            <v>자본총계</v>
          </cell>
        </row>
        <row r="187">
          <cell r="C187" t="str">
            <v>부채와자본총계</v>
          </cell>
        </row>
        <row r="189">
          <cell r="C189" t="str">
            <v>매출액</v>
          </cell>
        </row>
        <row r="190">
          <cell r="B190" t="str">
            <v>P1100</v>
          </cell>
          <cell r="C190" t="str">
            <v>매출액</v>
          </cell>
        </row>
        <row r="191">
          <cell r="B191" t="str">
            <v>P1101</v>
          </cell>
          <cell r="C191" t="str">
            <v>상품매출</v>
          </cell>
        </row>
        <row r="192">
          <cell r="B192" t="str">
            <v>P1101C</v>
          </cell>
          <cell r="C192" t="str">
            <v>상품매출/Intercompany</v>
          </cell>
        </row>
        <row r="193">
          <cell r="B193" t="str">
            <v>P1102</v>
          </cell>
          <cell r="C193" t="str">
            <v>제품매출</v>
          </cell>
        </row>
        <row r="194">
          <cell r="B194" t="str">
            <v>P1102C</v>
          </cell>
          <cell r="C194" t="str">
            <v>제품매출/Intercompany</v>
          </cell>
        </row>
        <row r="195">
          <cell r="B195" t="str">
            <v>P1103</v>
          </cell>
          <cell r="C195" t="str">
            <v>제품수출매출</v>
          </cell>
        </row>
        <row r="196">
          <cell r="B196" t="str">
            <v>P1103C</v>
          </cell>
          <cell r="C196" t="str">
            <v>제품수출매출/Intercompany</v>
          </cell>
        </row>
        <row r="197">
          <cell r="B197" t="str">
            <v>P1104</v>
          </cell>
          <cell r="C197" t="str">
            <v>용역매출</v>
          </cell>
        </row>
        <row r="198">
          <cell r="B198" t="str">
            <v>P1105</v>
          </cell>
          <cell r="C198" t="str">
            <v>상품매출-수출</v>
          </cell>
        </row>
        <row r="199">
          <cell r="B199" t="str">
            <v>P1106</v>
          </cell>
          <cell r="C199" t="str">
            <v>로열티매출</v>
          </cell>
        </row>
        <row r="200">
          <cell r="B200" t="str">
            <v>P1107</v>
          </cell>
          <cell r="C200" t="str">
            <v>기타매출</v>
          </cell>
        </row>
        <row r="201">
          <cell r="B201" t="str">
            <v>E1000</v>
          </cell>
          <cell r="C201" t="str">
            <v>매출원가</v>
          </cell>
        </row>
        <row r="202">
          <cell r="B202" t="str">
            <v>E1001</v>
          </cell>
          <cell r="C202" t="str">
            <v>상품매출원가</v>
          </cell>
        </row>
        <row r="203">
          <cell r="B203" t="str">
            <v>E1001C</v>
          </cell>
          <cell r="C203" t="str">
            <v>상품매출원가/Intercompany</v>
          </cell>
        </row>
        <row r="204">
          <cell r="B204" t="str">
            <v>E1002</v>
          </cell>
          <cell r="C204" t="str">
            <v>제품매출원가</v>
          </cell>
        </row>
        <row r="205">
          <cell r="B205" t="str">
            <v>E1002C</v>
          </cell>
          <cell r="C205" t="str">
            <v>제품매출원가/Intercompany</v>
          </cell>
        </row>
        <row r="206">
          <cell r="B206" t="str">
            <v>E1003</v>
          </cell>
          <cell r="C206" t="str">
            <v>수출매출원가</v>
          </cell>
        </row>
        <row r="207">
          <cell r="B207" t="str">
            <v>E1003C</v>
          </cell>
          <cell r="C207" t="str">
            <v>수출매출원가/Intercompany</v>
          </cell>
        </row>
        <row r="208">
          <cell r="B208" t="str">
            <v>E1004</v>
          </cell>
          <cell r="C208" t="str">
            <v>상푸매출원가-수출</v>
          </cell>
        </row>
        <row r="209">
          <cell r="B209" t="str">
            <v>E1005</v>
          </cell>
          <cell r="C209" t="str">
            <v>로열티매출원가</v>
          </cell>
        </row>
        <row r="210">
          <cell r="B210" t="str">
            <v>E1006</v>
          </cell>
          <cell r="C210" t="str">
            <v>용역매출원가</v>
          </cell>
        </row>
        <row r="211">
          <cell r="C211" t="str">
            <v>매출총이익</v>
          </cell>
        </row>
        <row r="212">
          <cell r="B212" t="str">
            <v>E2000</v>
          </cell>
          <cell r="C212" t="str">
            <v>판매비와관리비</v>
          </cell>
        </row>
        <row r="213">
          <cell r="B213" t="str">
            <v>E2001</v>
          </cell>
          <cell r="C213" t="str">
            <v>임원급여</v>
          </cell>
        </row>
        <row r="214">
          <cell r="B214" t="str">
            <v>E2002</v>
          </cell>
          <cell r="C214" t="str">
            <v>직원급여</v>
          </cell>
        </row>
        <row r="215">
          <cell r="B215" t="str">
            <v>E2003</v>
          </cell>
          <cell r="C215" t="str">
            <v>퇴직급여</v>
          </cell>
        </row>
        <row r="216">
          <cell r="B216" t="str">
            <v>E2004</v>
          </cell>
          <cell r="C216" t="str">
            <v>복리후생비</v>
          </cell>
        </row>
        <row r="217">
          <cell r="B217" t="str">
            <v>E2005</v>
          </cell>
          <cell r="C217" t="str">
            <v>여비교통비</v>
          </cell>
        </row>
        <row r="218">
          <cell r="B218" t="str">
            <v>E2006</v>
          </cell>
          <cell r="C218" t="str">
            <v>접대비</v>
          </cell>
        </row>
        <row r="219">
          <cell r="B219" t="str">
            <v>E2007</v>
          </cell>
          <cell r="C219" t="str">
            <v>통신비</v>
          </cell>
        </row>
        <row r="220">
          <cell r="B220" t="str">
            <v>E2008</v>
          </cell>
          <cell r="C220" t="str">
            <v>전력비</v>
          </cell>
        </row>
        <row r="221">
          <cell r="B221" t="str">
            <v>E2009</v>
          </cell>
          <cell r="C221" t="str">
            <v>세금과공과금</v>
          </cell>
        </row>
        <row r="222">
          <cell r="B222" t="str">
            <v>E2010</v>
          </cell>
          <cell r="C222" t="str">
            <v>감가상각비</v>
          </cell>
        </row>
        <row r="223">
          <cell r="B223" t="str">
            <v>E2011</v>
          </cell>
          <cell r="C223" t="str">
            <v>지급임차료</v>
          </cell>
        </row>
        <row r="224">
          <cell r="B224" t="str">
            <v>E2012</v>
          </cell>
          <cell r="C224" t="str">
            <v>보험료</v>
          </cell>
        </row>
        <row r="225">
          <cell r="B225" t="str">
            <v>E2013</v>
          </cell>
          <cell r="C225" t="str">
            <v>수선비</v>
          </cell>
        </row>
        <row r="226">
          <cell r="B226" t="str">
            <v>E2014</v>
          </cell>
          <cell r="C226" t="str">
            <v>차량유지비</v>
          </cell>
        </row>
        <row r="227">
          <cell r="B227" t="str">
            <v>E2015</v>
          </cell>
          <cell r="C227" t="str">
            <v>경상연구개발비</v>
          </cell>
        </row>
        <row r="228">
          <cell r="B228" t="str">
            <v>E2015C</v>
          </cell>
          <cell r="C228" t="str">
            <v>경상연구개발비/Intercompany</v>
          </cell>
        </row>
        <row r="229">
          <cell r="B229" t="str">
            <v>E2016</v>
          </cell>
          <cell r="C229" t="str">
            <v>운반비</v>
          </cell>
        </row>
        <row r="230">
          <cell r="B230" t="str">
            <v>E2016C</v>
          </cell>
          <cell r="C230" t="str">
            <v>운반비/Intercompany</v>
          </cell>
        </row>
        <row r="231">
          <cell r="B231" t="str">
            <v>E2017</v>
          </cell>
          <cell r="C231" t="str">
            <v>교육훈련비</v>
          </cell>
        </row>
        <row r="232">
          <cell r="B232" t="str">
            <v>E2018</v>
          </cell>
          <cell r="C232" t="str">
            <v>도서인쇄비</v>
          </cell>
        </row>
        <row r="233">
          <cell r="B233" t="str">
            <v>E2019</v>
          </cell>
          <cell r="C233" t="str">
            <v>소모품비</v>
          </cell>
        </row>
        <row r="234">
          <cell r="B234" t="str">
            <v>E2019C</v>
          </cell>
          <cell r="C234" t="str">
            <v>소모품비/Intercompany</v>
          </cell>
        </row>
        <row r="235">
          <cell r="B235" t="str">
            <v>E2020</v>
          </cell>
          <cell r="C235" t="str">
            <v>지급수수료</v>
          </cell>
        </row>
        <row r="236">
          <cell r="B236" t="str">
            <v>E2020C</v>
          </cell>
          <cell r="C236" t="str">
            <v>지급수수료/Intercompany</v>
          </cell>
        </row>
        <row r="237">
          <cell r="B237" t="str">
            <v>E2021</v>
          </cell>
          <cell r="C237" t="str">
            <v>광고선전비</v>
          </cell>
        </row>
        <row r="238">
          <cell r="B238" t="str">
            <v>E2022</v>
          </cell>
          <cell r="C238" t="str">
            <v>대손상각비</v>
          </cell>
        </row>
        <row r="239">
          <cell r="B239" t="str">
            <v>E2023</v>
          </cell>
          <cell r="C239" t="str">
            <v>판매촉진비</v>
          </cell>
        </row>
        <row r="240">
          <cell r="B240" t="str">
            <v>E2024</v>
          </cell>
          <cell r="C240" t="str">
            <v>수출제비용</v>
          </cell>
        </row>
        <row r="241">
          <cell r="B241" t="str">
            <v>E2024C</v>
          </cell>
          <cell r="C241" t="str">
            <v>수출제비용/Intercompany</v>
          </cell>
        </row>
        <row r="242">
          <cell r="B242" t="str">
            <v>E2025</v>
          </cell>
          <cell r="C242" t="str">
            <v>무형고정자산상각</v>
          </cell>
        </row>
        <row r="243">
          <cell r="B243" t="str">
            <v>E2026</v>
          </cell>
          <cell r="C243" t="str">
            <v>해외시장개척비</v>
          </cell>
        </row>
        <row r="244">
          <cell r="B244" t="str">
            <v>E2027</v>
          </cell>
          <cell r="C244" t="str">
            <v>반품충당부채전입</v>
          </cell>
        </row>
        <row r="245">
          <cell r="B245" t="str">
            <v>E2028</v>
          </cell>
          <cell r="C245" t="str">
            <v>기타의판매관리비</v>
          </cell>
        </row>
        <row r="246">
          <cell r="B246" t="str">
            <v>E2029</v>
          </cell>
          <cell r="C246" t="str">
            <v>판매보증비</v>
          </cell>
        </row>
        <row r="247">
          <cell r="B247" t="str">
            <v>E2030</v>
          </cell>
          <cell r="C247" t="str">
            <v>주식보상비용</v>
          </cell>
        </row>
        <row r="248">
          <cell r="B248" t="str">
            <v>E2031</v>
          </cell>
          <cell r="C248" t="str">
            <v>수도광열비</v>
          </cell>
        </row>
        <row r="250">
          <cell r="C250" t="str">
            <v>영업이익</v>
          </cell>
        </row>
        <row r="251">
          <cell r="B251" t="str">
            <v>P2000</v>
          </cell>
          <cell r="C251" t="str">
            <v>영업외수익</v>
          </cell>
        </row>
        <row r="252">
          <cell r="B252" t="str">
            <v>P2001</v>
          </cell>
          <cell r="C252" t="str">
            <v>이자수익</v>
          </cell>
        </row>
        <row r="253">
          <cell r="B253" t="str">
            <v>P2002</v>
          </cell>
          <cell r="C253" t="str">
            <v>외환차익</v>
          </cell>
        </row>
        <row r="254">
          <cell r="B254" t="str">
            <v>P2003</v>
          </cell>
          <cell r="C254" t="str">
            <v>외화환산이익</v>
          </cell>
        </row>
        <row r="255">
          <cell r="B255" t="str">
            <v>P2004</v>
          </cell>
          <cell r="C255" t="str">
            <v>국고보조금이익</v>
          </cell>
        </row>
        <row r="256">
          <cell r="B256" t="str">
            <v>P2005</v>
          </cell>
          <cell r="C256" t="str">
            <v>이자율스왑평가이익</v>
          </cell>
        </row>
        <row r="257">
          <cell r="B257" t="str">
            <v>P2006</v>
          </cell>
          <cell r="C257" t="str">
            <v>유형자산처분이익</v>
          </cell>
        </row>
        <row r="258">
          <cell r="B258" t="str">
            <v>P2007</v>
          </cell>
          <cell r="C258" t="str">
            <v>보험차익</v>
          </cell>
        </row>
        <row r="259">
          <cell r="B259" t="str">
            <v>P2008</v>
          </cell>
          <cell r="C259" t="str">
            <v>전환사채상환이익</v>
          </cell>
        </row>
        <row r="260">
          <cell r="B260" t="str">
            <v>P2009</v>
          </cell>
          <cell r="C260" t="str">
            <v>통화옵션거래이익</v>
          </cell>
        </row>
        <row r="261">
          <cell r="B261" t="str">
            <v>P2010</v>
          </cell>
          <cell r="C261" t="str">
            <v>퇴직연금운용수익</v>
          </cell>
        </row>
        <row r="262">
          <cell r="B262" t="str">
            <v>P2011</v>
          </cell>
          <cell r="C262" t="str">
            <v>채무면제이익</v>
          </cell>
        </row>
        <row r="263">
          <cell r="B263" t="str">
            <v>P2012</v>
          </cell>
          <cell r="C263" t="str">
            <v>투자자산처분이익</v>
          </cell>
        </row>
        <row r="264">
          <cell r="B264" t="str">
            <v>P2013</v>
          </cell>
          <cell r="C264" t="str">
            <v>지분법이익</v>
          </cell>
        </row>
        <row r="265">
          <cell r="B265" t="str">
            <v>P2014</v>
          </cell>
          <cell r="C265" t="str">
            <v>잡이익</v>
          </cell>
        </row>
        <row r="266">
          <cell r="B266" t="str">
            <v>P2015</v>
          </cell>
          <cell r="C266" t="str">
            <v>수입임대료</v>
          </cell>
        </row>
        <row r="268">
          <cell r="B268" t="str">
            <v>E3000</v>
          </cell>
          <cell r="C268" t="str">
            <v>영업외비용</v>
          </cell>
        </row>
        <row r="269">
          <cell r="B269" t="str">
            <v>E3001</v>
          </cell>
          <cell r="C269" t="str">
            <v>이자비용</v>
          </cell>
        </row>
        <row r="270">
          <cell r="B270" t="str">
            <v>E3002</v>
          </cell>
          <cell r="C270" t="str">
            <v>외환차손</v>
          </cell>
        </row>
        <row r="271">
          <cell r="B271" t="str">
            <v>E3003</v>
          </cell>
          <cell r="C271" t="str">
            <v>기타의대손상각비</v>
          </cell>
        </row>
        <row r="272">
          <cell r="B272" t="str">
            <v>E3004</v>
          </cell>
          <cell r="C272" t="str">
            <v>기부금</v>
          </cell>
        </row>
        <row r="273">
          <cell r="B273" t="str">
            <v>E3005</v>
          </cell>
          <cell r="C273" t="str">
            <v>외화환산손실</v>
          </cell>
        </row>
        <row r="274">
          <cell r="B274" t="str">
            <v>E3006</v>
          </cell>
          <cell r="C274" t="str">
            <v>재고자산감모손실</v>
          </cell>
        </row>
        <row r="275">
          <cell r="B275" t="str">
            <v>E3007</v>
          </cell>
          <cell r="C275" t="str">
            <v>매도가능증권감액손실</v>
          </cell>
        </row>
        <row r="276">
          <cell r="B276" t="str">
            <v>E3008</v>
          </cell>
          <cell r="C276" t="str">
            <v>유형자산처분손실</v>
          </cell>
        </row>
        <row r="277">
          <cell r="B277" t="str">
            <v>E3009</v>
          </cell>
          <cell r="C277" t="str">
            <v>통화옵션거래손실</v>
          </cell>
        </row>
        <row r="278">
          <cell r="B278" t="str">
            <v>E3010</v>
          </cell>
          <cell r="C278" t="str">
            <v>통화옵션평가손실</v>
          </cell>
        </row>
        <row r="279">
          <cell r="B279" t="str">
            <v>E3011</v>
          </cell>
          <cell r="C279" t="str">
            <v>통화선도평가손실</v>
          </cell>
        </row>
        <row r="280">
          <cell r="B280" t="str">
            <v>E3012</v>
          </cell>
          <cell r="C280" t="str">
            <v>투자자산손상차손</v>
          </cell>
        </row>
        <row r="281">
          <cell r="B281" t="str">
            <v>E3013</v>
          </cell>
          <cell r="C281" t="str">
            <v>기타의대손상각비</v>
          </cell>
        </row>
        <row r="282">
          <cell r="B282" t="str">
            <v>E3014</v>
          </cell>
          <cell r="C282" t="str">
            <v>매출채권처분손실</v>
          </cell>
        </row>
        <row r="283">
          <cell r="B283" t="str">
            <v>E3015</v>
          </cell>
          <cell r="C283" t="str">
            <v>투자자산처분손실</v>
          </cell>
        </row>
        <row r="284">
          <cell r="B284" t="str">
            <v>E3016</v>
          </cell>
          <cell r="C284" t="str">
            <v>지분법손실</v>
          </cell>
        </row>
        <row r="285">
          <cell r="B285" t="str">
            <v>E3017</v>
          </cell>
          <cell r="C285" t="str">
            <v>잡손실</v>
          </cell>
        </row>
        <row r="286">
          <cell r="B286" t="str">
            <v>E3018</v>
          </cell>
        </row>
        <row r="288">
          <cell r="B288" t="str">
            <v>P3000</v>
          </cell>
          <cell r="C288" t="str">
            <v>금융수익</v>
          </cell>
        </row>
        <row r="289">
          <cell r="B289" t="str">
            <v>P3001</v>
          </cell>
          <cell r="C289" t="str">
            <v>이자수익(금융)</v>
          </cell>
        </row>
        <row r="290">
          <cell r="B290" t="str">
            <v>P3001C</v>
          </cell>
          <cell r="C290" t="str">
            <v>이자수익(금융)/Intercompany</v>
          </cell>
        </row>
        <row r="291">
          <cell r="B291" t="str">
            <v>P3002</v>
          </cell>
          <cell r="C291" t="str">
            <v>외환차익(금융)</v>
          </cell>
        </row>
        <row r="292">
          <cell r="B292" t="str">
            <v>P3003</v>
          </cell>
          <cell r="C292" t="str">
            <v>외화환산이익(금융)</v>
          </cell>
        </row>
        <row r="293">
          <cell r="B293" t="str">
            <v>P3004</v>
          </cell>
          <cell r="C293" t="str">
            <v>파생상품평가이익</v>
          </cell>
        </row>
        <row r="294">
          <cell r="B294" t="str">
            <v>P3005</v>
          </cell>
          <cell r="C294" t="str">
            <v>금융부채평가이익</v>
          </cell>
        </row>
        <row r="295">
          <cell r="B295" t="str">
            <v>P3006</v>
          </cell>
          <cell r="C295" t="str">
            <v>금융자산처분이익</v>
          </cell>
        </row>
        <row r="296">
          <cell r="B296" t="str">
            <v>P3007</v>
          </cell>
          <cell r="C296" t="str">
            <v>파생상품거래이익</v>
          </cell>
        </row>
        <row r="297">
          <cell r="B297" t="str">
            <v>P3008</v>
          </cell>
          <cell r="C297" t="str">
            <v>금융부채거래이익</v>
          </cell>
        </row>
        <row r="298">
          <cell r="B298" t="str">
            <v>P3009</v>
          </cell>
          <cell r="C298" t="str">
            <v>통화선도거래이익</v>
          </cell>
        </row>
        <row r="299">
          <cell r="B299" t="str">
            <v>P3010</v>
          </cell>
          <cell r="C299" t="str">
            <v>금융자산평가이익</v>
          </cell>
        </row>
        <row r="301">
          <cell r="B301" t="str">
            <v>E4000</v>
          </cell>
          <cell r="C301" t="str">
            <v>금융비용</v>
          </cell>
        </row>
        <row r="302">
          <cell r="B302" t="str">
            <v>E4001</v>
          </cell>
          <cell r="C302" t="str">
            <v>이자비용(금융)</v>
          </cell>
        </row>
        <row r="303">
          <cell r="B303" t="str">
            <v>E4001C</v>
          </cell>
          <cell r="C303" t="str">
            <v>이자비용(금융)/Intercompany</v>
          </cell>
        </row>
        <row r="304">
          <cell r="B304" t="str">
            <v>E4002</v>
          </cell>
          <cell r="C304" t="str">
            <v>외환차손(금융)</v>
          </cell>
        </row>
        <row r="305">
          <cell r="B305" t="str">
            <v>E4003</v>
          </cell>
          <cell r="C305" t="str">
            <v>외화환산손실(금융)</v>
          </cell>
        </row>
        <row r="306">
          <cell r="B306" t="str">
            <v>E4004</v>
          </cell>
          <cell r="C306" t="str">
            <v>금융부채평가손실</v>
          </cell>
        </row>
        <row r="307">
          <cell r="B307" t="str">
            <v>E4005</v>
          </cell>
          <cell r="C307" t="str">
            <v>금융자산처분손실</v>
          </cell>
        </row>
        <row r="308">
          <cell r="B308" t="str">
            <v>E4006</v>
          </cell>
          <cell r="C308" t="str">
            <v>파생상품평가손실</v>
          </cell>
        </row>
        <row r="309">
          <cell r="B309" t="str">
            <v>E4007</v>
          </cell>
          <cell r="C309" t="str">
            <v>파생상품거래손실</v>
          </cell>
        </row>
        <row r="310">
          <cell r="B310" t="str">
            <v>E4008</v>
          </cell>
          <cell r="C310" t="str">
            <v>금융부채거래손실</v>
          </cell>
        </row>
        <row r="311">
          <cell r="B311" t="str">
            <v>E4009</v>
          </cell>
          <cell r="C311" t="str">
            <v>금융자산평가손실</v>
          </cell>
        </row>
        <row r="312">
          <cell r="B312" t="str">
            <v>E4010</v>
          </cell>
          <cell r="C312" t="str">
            <v>이자율스왑거래손실</v>
          </cell>
        </row>
        <row r="313">
          <cell r="B313" t="str">
            <v>P4000</v>
          </cell>
          <cell r="C313" t="str">
            <v>종속기업의당기손익에대한지분</v>
          </cell>
        </row>
        <row r="314">
          <cell r="B314" t="str">
            <v>P4001</v>
          </cell>
          <cell r="C314" t="str">
            <v>종속기업의당기손익에대한지분(P&amp;L)</v>
          </cell>
        </row>
        <row r="315">
          <cell r="C315" t="str">
            <v>법인세차감전계속사업이익</v>
          </cell>
        </row>
        <row r="316">
          <cell r="B316" t="str">
            <v>E5001</v>
          </cell>
          <cell r="C316" t="str">
            <v>법인세비용</v>
          </cell>
        </row>
        <row r="317">
          <cell r="C317" t="str">
            <v>당기순이익</v>
          </cell>
        </row>
        <row r="318">
          <cell r="B318" t="str">
            <v>P0501N</v>
          </cell>
          <cell r="C318" t="str">
            <v>지배주주지분당기순이익(손실)</v>
          </cell>
        </row>
        <row r="319">
          <cell r="B319" t="str">
            <v>N0101N</v>
          </cell>
          <cell r="C319" t="str">
            <v>비지배지분-당기순이익(손실)</v>
          </cell>
        </row>
        <row r="321">
          <cell r="C321" t="str">
            <v>기본주당순이익</v>
          </cell>
        </row>
        <row r="322">
          <cell r="C322" t="str">
            <v>희석주당순이익</v>
          </cell>
        </row>
        <row r="323">
          <cell r="C323" t="str">
            <v>기타포괄손익</v>
          </cell>
        </row>
        <row r="324">
          <cell r="B324" t="str">
            <v>O1001</v>
          </cell>
          <cell r="C324" t="str">
            <v>순확정급여부채의재측정요소(OCI)</v>
          </cell>
        </row>
        <row r="325">
          <cell r="B325" t="str">
            <v>O1002</v>
          </cell>
          <cell r="C325" t="str">
            <v>종속관계기업의기타포괄손익에대한지분(OCI)</v>
          </cell>
        </row>
        <row r="326">
          <cell r="B326" t="str">
            <v>O1003</v>
          </cell>
          <cell r="C326" t="str">
            <v>해외사업환산손익(OCI)</v>
          </cell>
        </row>
        <row r="327">
          <cell r="B327" t="str">
            <v>O1004</v>
          </cell>
          <cell r="C327" t="str">
            <v>매도가능금융자산의평가손익(OCI)</v>
          </cell>
        </row>
        <row r="328">
          <cell r="B328" t="str">
            <v>O1005</v>
          </cell>
          <cell r="C328" t="str">
            <v>현금흐름위험회피파생상품평가손익(OCI)</v>
          </cell>
        </row>
        <row r="329">
          <cell r="B329" t="str">
            <v>O1006</v>
          </cell>
          <cell r="C329" t="str">
            <v>종속관계기업의이익이여금에대한지분(OCI)</v>
          </cell>
        </row>
        <row r="330">
          <cell r="C330" t="str">
            <v>기타포괄손익-비지배지분</v>
          </cell>
        </row>
        <row r="331">
          <cell r="B331" t="str">
            <v>O1001N</v>
          </cell>
          <cell r="C331" t="str">
            <v>비지배지분-(OCI)순확정급여부채의재측정요소</v>
          </cell>
        </row>
        <row r="332">
          <cell r="B332" t="str">
            <v>O1002N</v>
          </cell>
          <cell r="C332" t="str">
            <v>비지배지분-(OCI)관계기업의기타포괄손익에대한지분</v>
          </cell>
        </row>
        <row r="333">
          <cell r="B333" t="str">
            <v>O1003N</v>
          </cell>
          <cell r="C333" t="str">
            <v>비지배지분-(OCI)해외사업환산손익</v>
          </cell>
        </row>
        <row r="334">
          <cell r="B334" t="str">
            <v>O1004N</v>
          </cell>
          <cell r="C334" t="str">
            <v>비지배지분-(OCI)매도가능금융자산의평가손익</v>
          </cell>
        </row>
        <row r="335">
          <cell r="B335" t="str">
            <v>O1005N</v>
          </cell>
          <cell r="C335" t="str">
            <v>비지배지분-(OCI)현금흐름위험회피파생상품평가손익</v>
          </cell>
        </row>
        <row r="336">
          <cell r="B336" t="str">
            <v>O1006N</v>
          </cell>
          <cell r="C336" t="str">
            <v>비지배지분-(OCI)관계기업의이익잉여금에대한지분</v>
          </cell>
        </row>
        <row r="338">
          <cell r="C338" t="str">
            <v>총포괄손익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  <sheetName val="PL PBC"/>
      <sheetName val="BS PBC"/>
      <sheetName val="IFRS 전환효과"/>
      <sheetName val="Conversion ADJ List"/>
      <sheetName val="정산표"/>
      <sheetName val="투자재무활동"/>
      <sheetName val="대체거래"/>
      <sheetName val="CF정산표_19"/>
      <sheetName val="공시CF"/>
      <sheetName val="공시SFP"/>
      <sheetName val="공시SI"/>
      <sheetName val="공시SCE"/>
      <sheetName val="주석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/>
        </row>
        <row r="5">
          <cell r="C5" t="str">
            <v>Balance Verification</v>
          </cell>
        </row>
        <row r="220">
          <cell r="L220">
            <v>83347124</v>
          </cell>
        </row>
        <row r="227">
          <cell r="L227">
            <v>251878308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3DBF-88D8-4698-AA91-CA54C5870AE6}">
  <dimension ref="B1:AH1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5" sqref="F5"/>
    </sheetView>
  </sheetViews>
  <sheetFormatPr defaultRowHeight="16.5"/>
  <cols>
    <col min="1" max="1" width="2.625" customWidth="1"/>
    <col min="3" max="14" width="11.25" customWidth="1"/>
  </cols>
  <sheetData>
    <row r="1" spans="2:34" ht="18">
      <c r="B1" s="1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2:34">
      <c r="B2" s="2"/>
      <c r="C2" s="2"/>
      <c r="D2" s="2"/>
      <c r="E2" s="2"/>
      <c r="F2" s="2"/>
      <c r="G2" s="2"/>
      <c r="H2" s="2"/>
      <c r="I2" s="2"/>
      <c r="J2" s="2"/>
      <c r="K2" s="2" t="s">
        <v>4</v>
      </c>
      <c r="L2" s="2" t="s">
        <v>5</v>
      </c>
      <c r="M2" s="2" t="s">
        <v>4</v>
      </c>
      <c r="N2" s="2" t="s">
        <v>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2:34">
      <c r="B3" s="3" t="s">
        <v>6</v>
      </c>
      <c r="C3" s="4" t="s">
        <v>0</v>
      </c>
      <c r="D3" s="4">
        <v>43100</v>
      </c>
      <c r="E3" s="4" t="s">
        <v>7</v>
      </c>
      <c r="F3" s="4">
        <v>43465</v>
      </c>
      <c r="G3" s="4" t="s">
        <v>8</v>
      </c>
      <c r="H3" s="4">
        <v>43646</v>
      </c>
      <c r="I3" s="4" t="s">
        <v>9</v>
      </c>
      <c r="J3" s="4">
        <v>43738</v>
      </c>
      <c r="K3" s="4" t="s">
        <v>10</v>
      </c>
      <c r="L3" s="4">
        <v>43830</v>
      </c>
      <c r="M3" s="4" t="s">
        <v>972</v>
      </c>
      <c r="N3" s="4">
        <v>44196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2:34">
      <c r="B4" s="3" t="s">
        <v>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7"/>
      <c r="AF4" s="7"/>
      <c r="AG4" s="8"/>
      <c r="AH4" s="8"/>
    </row>
    <row r="5" spans="2:34">
      <c r="B5" s="3" t="s">
        <v>11</v>
      </c>
      <c r="C5" s="5">
        <v>1130.8399999999999</v>
      </c>
      <c r="D5" s="5">
        <v>1071.4000000000001</v>
      </c>
      <c r="E5" s="5">
        <v>1100.3</v>
      </c>
      <c r="F5" s="5">
        <v>1118.0999999999999</v>
      </c>
      <c r="G5" s="5">
        <v>1145.78</v>
      </c>
      <c r="H5" s="5">
        <v>1156.8</v>
      </c>
      <c r="I5" s="5">
        <v>1162.18</v>
      </c>
      <c r="J5" s="5">
        <v>1201.3</v>
      </c>
      <c r="K5" s="5">
        <v>1165.6500000000001</v>
      </c>
      <c r="L5" s="5">
        <v>1157.8</v>
      </c>
      <c r="M5" s="5">
        <v>1182.7</v>
      </c>
      <c r="N5" s="5">
        <v>1088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6"/>
      <c r="AG5" s="8"/>
      <c r="AH5" s="8"/>
    </row>
    <row r="6" spans="2:34">
      <c r="B6" s="3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7"/>
      <c r="AF6" s="7"/>
      <c r="AG6" s="8"/>
      <c r="AH6" s="8"/>
    </row>
    <row r="7" spans="2:34">
      <c r="B7" s="3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2:34">
      <c r="B8" s="3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2:34">
      <c r="B9" s="3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2:34">
      <c r="B10" s="3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2:34">
      <c r="B11" s="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2:34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2:34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2:3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2:3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2:34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2:34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2:34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2:34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6543-B9BD-4F89-9D69-0C359DA98DBC}">
  <dimension ref="B1:V27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B2" sqref="B2"/>
    </sheetView>
  </sheetViews>
  <sheetFormatPr defaultColWidth="8.75" defaultRowHeight="12" outlineLevelCol="1"/>
  <cols>
    <col min="1" max="1" width="4.125" style="13" customWidth="1"/>
    <col min="2" max="2" width="10.5" style="13" customWidth="1"/>
    <col min="3" max="3" width="25.875" style="13" customWidth="1"/>
    <col min="4" max="4" width="16" style="13" customWidth="1"/>
    <col min="5" max="8" width="16" style="13" customWidth="1" outlineLevel="1"/>
    <col min="9" max="9" width="4.75" style="13" customWidth="1" outlineLevel="1"/>
    <col min="10" max="10" width="8.875" style="13" bestFit="1" customWidth="1"/>
    <col min="11" max="16" width="8.75" style="13"/>
    <col min="17" max="17" width="12.25" style="13" bestFit="1" customWidth="1"/>
    <col min="18" max="20" width="8.75" style="13"/>
    <col min="21" max="21" width="8.75" style="13" bestFit="1" customWidth="1"/>
    <col min="22" max="22" width="12.25" style="13" bestFit="1" customWidth="1"/>
    <col min="23" max="16384" width="8.75" style="13"/>
  </cols>
  <sheetData>
    <row r="1" spans="2:22">
      <c r="C1" s="9" t="s">
        <v>497</v>
      </c>
      <c r="D1" s="10"/>
      <c r="E1" s="10"/>
      <c r="F1" s="10"/>
      <c r="G1" s="10"/>
      <c r="H1" s="10"/>
      <c r="I1" s="11"/>
      <c r="J1" s="12"/>
      <c r="K1" s="12"/>
      <c r="L1" s="12"/>
    </row>
    <row r="2" spans="2:22">
      <c r="B2" s="49" t="s">
        <v>949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2:22">
      <c r="B3" s="14"/>
      <c r="C3" s="353"/>
      <c r="D3" s="15">
        <v>0</v>
      </c>
      <c r="E3" s="15"/>
      <c r="F3" s="15"/>
      <c r="G3" s="15"/>
      <c r="H3" s="15"/>
      <c r="I3" s="16"/>
      <c r="J3" s="2"/>
      <c r="K3" s="2"/>
      <c r="L3" s="2"/>
    </row>
    <row r="4" spans="2:22">
      <c r="B4" s="14"/>
      <c r="C4" s="354"/>
      <c r="D4" s="15">
        <v>0</v>
      </c>
      <c r="E4" s="15"/>
      <c r="F4" s="15"/>
      <c r="G4" s="15"/>
      <c r="H4" s="15"/>
      <c r="I4" s="16"/>
      <c r="J4" s="2"/>
      <c r="K4" s="2"/>
      <c r="L4" s="2"/>
    </row>
    <row r="5" spans="2:22">
      <c r="B5" s="17">
        <v>43465</v>
      </c>
      <c r="C5" s="18" t="s">
        <v>498</v>
      </c>
      <c r="D5" s="19" t="s">
        <v>1</v>
      </c>
      <c r="E5" s="19"/>
      <c r="F5" s="19"/>
      <c r="G5" s="19"/>
      <c r="H5" s="19"/>
      <c r="I5" s="20"/>
      <c r="J5" s="21" t="s">
        <v>499</v>
      </c>
      <c r="K5" s="21" t="s">
        <v>500</v>
      </c>
      <c r="L5" s="2"/>
      <c r="O5" s="13" t="s">
        <v>911</v>
      </c>
      <c r="P5" s="13" t="s">
        <v>912</v>
      </c>
      <c r="Q5" s="285">
        <v>43465</v>
      </c>
    </row>
    <row r="6" spans="2:22">
      <c r="B6" s="18" t="s">
        <v>12</v>
      </c>
      <c r="C6" s="18" t="s">
        <v>13</v>
      </c>
      <c r="D6" s="19" t="s">
        <v>501</v>
      </c>
      <c r="E6" s="22"/>
      <c r="F6" s="22"/>
      <c r="G6" s="22"/>
      <c r="H6" s="22"/>
      <c r="I6" s="20"/>
      <c r="J6" s="21" t="s">
        <v>502</v>
      </c>
      <c r="K6" s="21" t="s">
        <v>503</v>
      </c>
      <c r="L6" s="23"/>
      <c r="Q6" s="285" t="s">
        <v>946</v>
      </c>
    </row>
    <row r="7" spans="2:22">
      <c r="B7" s="24"/>
      <c r="C7" s="25" t="s">
        <v>14</v>
      </c>
      <c r="D7" s="26"/>
      <c r="E7" s="26"/>
      <c r="F7" s="26"/>
      <c r="G7" s="26"/>
      <c r="H7" s="26"/>
      <c r="I7" s="27"/>
      <c r="J7" s="28"/>
      <c r="K7" s="2"/>
      <c r="L7" s="2"/>
      <c r="P7" s="13" t="s">
        <v>14</v>
      </c>
      <c r="Q7" s="285"/>
      <c r="S7" s="13" t="s">
        <v>14</v>
      </c>
      <c r="U7" s="285" t="b">
        <f>O7=R7</f>
        <v>1</v>
      </c>
      <c r="V7" s="285">
        <f>Q7-T7</f>
        <v>0</v>
      </c>
    </row>
    <row r="8" spans="2:22">
      <c r="B8" s="29" t="s">
        <v>913</v>
      </c>
      <c r="C8" s="30" t="s">
        <v>566</v>
      </c>
      <c r="D8" s="31">
        <v>20601572410</v>
      </c>
      <c r="E8" s="31"/>
      <c r="F8" s="31"/>
      <c r="G8" s="31"/>
      <c r="H8" s="31"/>
      <c r="I8" s="32"/>
      <c r="J8" s="33"/>
      <c r="K8" s="2"/>
      <c r="L8" s="34"/>
      <c r="N8" s="13" t="b">
        <f>O8=B8</f>
        <v>1</v>
      </c>
      <c r="O8" s="13" t="s">
        <v>913</v>
      </c>
      <c r="P8" s="13" t="s">
        <v>566</v>
      </c>
      <c r="Q8" s="285">
        <v>20601572410</v>
      </c>
      <c r="R8" s="13" t="s">
        <v>913</v>
      </c>
      <c r="S8" s="13" t="s">
        <v>566</v>
      </c>
      <c r="T8" s="13">
        <v>19598469183</v>
      </c>
      <c r="U8" s="285" t="b">
        <f t="shared" ref="U8:U71" si="0">O8=R8</f>
        <v>1</v>
      </c>
      <c r="V8" s="285">
        <f t="shared" ref="V8:V71" si="1">Q8-T8</f>
        <v>1003103227</v>
      </c>
    </row>
    <row r="9" spans="2:22">
      <c r="B9" s="24" t="s">
        <v>914</v>
      </c>
      <c r="C9" s="25" t="s">
        <v>567</v>
      </c>
      <c r="D9" s="35">
        <v>12638713835</v>
      </c>
      <c r="E9" s="35"/>
      <c r="F9" s="35"/>
      <c r="G9" s="35"/>
      <c r="H9" s="35"/>
      <c r="I9" s="32"/>
      <c r="J9" s="36"/>
      <c r="K9" s="36"/>
      <c r="L9" s="34"/>
      <c r="N9" s="13" t="b">
        <f t="shared" ref="N9:N72" si="2">O9=B9</f>
        <v>1</v>
      </c>
      <c r="O9" s="13" t="s">
        <v>914</v>
      </c>
      <c r="P9" s="13" t="s">
        <v>567</v>
      </c>
      <c r="Q9" s="285">
        <v>12638713835</v>
      </c>
      <c r="R9" s="13" t="s">
        <v>914</v>
      </c>
      <c r="S9" s="13" t="s">
        <v>567</v>
      </c>
      <c r="T9" s="13">
        <v>11635610608</v>
      </c>
      <c r="U9" s="285" t="b">
        <f t="shared" si="0"/>
        <v>1</v>
      </c>
      <c r="V9" s="285">
        <f t="shared" si="1"/>
        <v>1003103227</v>
      </c>
    </row>
    <row r="10" spans="2:22">
      <c r="B10" s="37" t="s">
        <v>17</v>
      </c>
      <c r="C10" s="2" t="s">
        <v>18</v>
      </c>
      <c r="D10" s="32">
        <v>0</v>
      </c>
      <c r="E10" s="32"/>
      <c r="F10" s="32"/>
      <c r="G10" s="32"/>
      <c r="H10" s="32"/>
      <c r="I10" s="32"/>
      <c r="J10" s="38" t="s">
        <v>19</v>
      </c>
      <c r="K10" s="2" t="s">
        <v>20</v>
      </c>
      <c r="L10" s="34"/>
      <c r="N10" s="13" t="b">
        <f t="shared" si="2"/>
        <v>1</v>
      </c>
      <c r="O10" s="13" t="s">
        <v>17</v>
      </c>
      <c r="P10" s="13" t="s">
        <v>18</v>
      </c>
      <c r="Q10" s="285">
        <v>0</v>
      </c>
      <c r="R10" s="13" t="s">
        <v>17</v>
      </c>
      <c r="S10" s="13" t="s">
        <v>18</v>
      </c>
      <c r="T10" s="13">
        <v>0</v>
      </c>
      <c r="U10" s="285" t="b">
        <f t="shared" si="0"/>
        <v>1</v>
      </c>
      <c r="V10" s="285">
        <f t="shared" si="1"/>
        <v>0</v>
      </c>
    </row>
    <row r="11" spans="2:22">
      <c r="B11" s="37" t="s">
        <v>21</v>
      </c>
      <c r="C11" s="2" t="s">
        <v>22</v>
      </c>
      <c r="D11" s="32">
        <v>3941765038</v>
      </c>
      <c r="E11" s="32"/>
      <c r="F11" s="32"/>
      <c r="G11" s="32"/>
      <c r="H11" s="32"/>
      <c r="I11" s="32"/>
      <c r="J11" s="38" t="s">
        <v>19</v>
      </c>
      <c r="K11" s="2" t="s">
        <v>20</v>
      </c>
      <c r="L11" s="34"/>
      <c r="N11" s="13" t="b">
        <f t="shared" si="2"/>
        <v>1</v>
      </c>
      <c r="O11" s="13" t="s">
        <v>21</v>
      </c>
      <c r="P11" s="13" t="s">
        <v>22</v>
      </c>
      <c r="Q11" s="285">
        <v>3941765038</v>
      </c>
      <c r="R11" s="13" t="s">
        <v>21</v>
      </c>
      <c r="S11" s="13" t="s">
        <v>22</v>
      </c>
      <c r="T11" s="13">
        <v>3941765038</v>
      </c>
      <c r="U11" s="285" t="b">
        <f t="shared" si="0"/>
        <v>1</v>
      </c>
      <c r="V11" s="285">
        <f t="shared" si="1"/>
        <v>0</v>
      </c>
    </row>
    <row r="12" spans="2:22">
      <c r="B12" s="37" t="s">
        <v>23</v>
      </c>
      <c r="C12" s="2" t="s">
        <v>24</v>
      </c>
      <c r="D12" s="32">
        <v>0</v>
      </c>
      <c r="E12" s="32"/>
      <c r="F12" s="32"/>
      <c r="G12" s="32"/>
      <c r="H12" s="32"/>
      <c r="I12" s="32"/>
      <c r="J12" s="38" t="s">
        <v>19</v>
      </c>
      <c r="K12" s="2" t="s">
        <v>20</v>
      </c>
      <c r="L12" s="38"/>
      <c r="N12" s="13" t="b">
        <f t="shared" si="2"/>
        <v>1</v>
      </c>
      <c r="O12" s="13" t="s">
        <v>23</v>
      </c>
      <c r="P12" s="13" t="s">
        <v>24</v>
      </c>
      <c r="Q12" s="285">
        <v>0</v>
      </c>
      <c r="R12" s="13" t="s">
        <v>23</v>
      </c>
      <c r="S12" s="13" t="s">
        <v>24</v>
      </c>
      <c r="T12" s="13">
        <v>0</v>
      </c>
      <c r="U12" s="285" t="b">
        <f t="shared" si="0"/>
        <v>1</v>
      </c>
      <c r="V12" s="285">
        <f t="shared" si="1"/>
        <v>0</v>
      </c>
    </row>
    <row r="13" spans="2:22">
      <c r="B13" s="37" t="s">
        <v>25</v>
      </c>
      <c r="C13" s="2" t="s">
        <v>26</v>
      </c>
      <c r="D13" s="32">
        <v>0</v>
      </c>
      <c r="E13" s="32"/>
      <c r="F13" s="32"/>
      <c r="G13" s="32"/>
      <c r="H13" s="32"/>
      <c r="I13" s="32"/>
      <c r="J13" s="38" t="s">
        <v>27</v>
      </c>
      <c r="K13" s="2" t="s">
        <v>28</v>
      </c>
      <c r="L13" s="38"/>
      <c r="N13" s="13" t="b">
        <f t="shared" si="2"/>
        <v>1</v>
      </c>
      <c r="O13" s="13" t="s">
        <v>25</v>
      </c>
      <c r="P13" s="13" t="s">
        <v>26</v>
      </c>
      <c r="Q13" s="285">
        <v>0</v>
      </c>
      <c r="R13" s="13" t="s">
        <v>25</v>
      </c>
      <c r="S13" s="13" t="s">
        <v>26</v>
      </c>
      <c r="T13" s="13">
        <v>0</v>
      </c>
      <c r="U13" s="285" t="b">
        <f t="shared" si="0"/>
        <v>1</v>
      </c>
      <c r="V13" s="285">
        <f t="shared" si="1"/>
        <v>0</v>
      </c>
    </row>
    <row r="14" spans="2:22">
      <c r="B14" s="37" t="s">
        <v>29</v>
      </c>
      <c r="C14" s="2" t="s">
        <v>30</v>
      </c>
      <c r="D14" s="32">
        <v>1003103227</v>
      </c>
      <c r="E14" s="32"/>
      <c r="F14" s="32"/>
      <c r="G14" s="32"/>
      <c r="H14" s="32"/>
      <c r="I14" s="32"/>
      <c r="J14" s="38" t="s">
        <v>504</v>
      </c>
      <c r="K14" s="2" t="s">
        <v>30</v>
      </c>
      <c r="L14" s="38"/>
      <c r="N14" s="13" t="b">
        <f t="shared" si="2"/>
        <v>1</v>
      </c>
      <c r="O14" s="13" t="s">
        <v>29</v>
      </c>
      <c r="P14" s="13" t="s">
        <v>30</v>
      </c>
      <c r="Q14" s="285">
        <v>1003103227</v>
      </c>
      <c r="R14" s="13" t="s">
        <v>29</v>
      </c>
      <c r="S14" s="13" t="s">
        <v>30</v>
      </c>
      <c r="T14" s="13">
        <v>0</v>
      </c>
      <c r="U14" s="285" t="b">
        <f t="shared" si="0"/>
        <v>1</v>
      </c>
      <c r="V14" s="285">
        <f t="shared" si="1"/>
        <v>1003103227</v>
      </c>
    </row>
    <row r="15" spans="2:22">
      <c r="B15" s="37" t="s">
        <v>31</v>
      </c>
      <c r="C15" s="2" t="s">
        <v>32</v>
      </c>
      <c r="D15" s="32">
        <v>7723897995</v>
      </c>
      <c r="E15" s="32"/>
      <c r="F15" s="32"/>
      <c r="G15" s="32"/>
      <c r="H15" s="32"/>
      <c r="I15" s="32"/>
      <c r="J15" s="38" t="s">
        <v>33</v>
      </c>
      <c r="K15" s="2" t="s">
        <v>34</v>
      </c>
      <c r="L15" s="38"/>
      <c r="N15" s="13" t="b">
        <f t="shared" si="2"/>
        <v>1</v>
      </c>
      <c r="O15" s="13" t="s">
        <v>31</v>
      </c>
      <c r="P15" s="13" t="s">
        <v>32</v>
      </c>
      <c r="Q15" s="285">
        <v>7723897995</v>
      </c>
      <c r="R15" s="13" t="s">
        <v>31</v>
      </c>
      <c r="S15" s="13" t="s">
        <v>32</v>
      </c>
      <c r="T15" s="13">
        <v>7723897995</v>
      </c>
      <c r="U15" s="285" t="b">
        <f t="shared" si="0"/>
        <v>1</v>
      </c>
      <c r="V15" s="285">
        <f t="shared" si="1"/>
        <v>0</v>
      </c>
    </row>
    <row r="16" spans="2:22">
      <c r="B16" s="37" t="s">
        <v>35</v>
      </c>
      <c r="C16" s="2" t="s">
        <v>36</v>
      </c>
      <c r="D16" s="32">
        <v>0</v>
      </c>
      <c r="E16" s="32"/>
      <c r="F16" s="32"/>
      <c r="G16" s="32"/>
      <c r="H16" s="32"/>
      <c r="I16" s="32"/>
      <c r="J16" s="38" t="s">
        <v>33</v>
      </c>
      <c r="K16" s="2" t="s">
        <v>34</v>
      </c>
      <c r="L16" s="38"/>
      <c r="N16" s="13" t="b">
        <f t="shared" si="2"/>
        <v>1</v>
      </c>
      <c r="O16" s="13" t="s">
        <v>35</v>
      </c>
      <c r="P16" s="13" t="s">
        <v>36</v>
      </c>
      <c r="Q16" s="285">
        <v>0</v>
      </c>
      <c r="R16" s="13" t="s">
        <v>35</v>
      </c>
      <c r="S16" s="13" t="s">
        <v>36</v>
      </c>
      <c r="T16" s="13">
        <v>0</v>
      </c>
      <c r="U16" s="285" t="b">
        <f t="shared" si="0"/>
        <v>1</v>
      </c>
      <c r="V16" s="285">
        <f t="shared" si="1"/>
        <v>0</v>
      </c>
    </row>
    <row r="17" spans="2:22">
      <c r="B17" s="37" t="s">
        <v>37</v>
      </c>
      <c r="C17" s="2" t="s">
        <v>38</v>
      </c>
      <c r="D17" s="32">
        <v>0</v>
      </c>
      <c r="E17" s="32"/>
      <c r="F17" s="32"/>
      <c r="G17" s="32"/>
      <c r="H17" s="32"/>
      <c r="I17" s="32"/>
      <c r="J17" s="38" t="s">
        <v>33</v>
      </c>
      <c r="K17" s="2" t="s">
        <v>34</v>
      </c>
      <c r="L17" s="38"/>
      <c r="N17" s="13" t="b">
        <f t="shared" si="2"/>
        <v>1</v>
      </c>
      <c r="O17" s="13" t="s">
        <v>37</v>
      </c>
      <c r="P17" s="13" t="s">
        <v>38</v>
      </c>
      <c r="Q17" s="285">
        <v>0</v>
      </c>
      <c r="R17" s="13" t="s">
        <v>37</v>
      </c>
      <c r="S17" s="13" t="s">
        <v>38</v>
      </c>
      <c r="T17" s="13">
        <v>0</v>
      </c>
      <c r="U17" s="285" t="b">
        <f t="shared" si="0"/>
        <v>1</v>
      </c>
      <c r="V17" s="285">
        <f t="shared" si="1"/>
        <v>0</v>
      </c>
    </row>
    <row r="18" spans="2:22">
      <c r="B18" s="37" t="s">
        <v>39</v>
      </c>
      <c r="C18" s="2" t="s">
        <v>40</v>
      </c>
      <c r="D18" s="32">
        <v>-713339131</v>
      </c>
      <c r="E18" s="32"/>
      <c r="F18" s="32"/>
      <c r="G18" s="32"/>
      <c r="H18" s="32"/>
      <c r="I18" s="32"/>
      <c r="J18" s="38" t="s">
        <v>33</v>
      </c>
      <c r="K18" s="2" t="s">
        <v>34</v>
      </c>
      <c r="L18" s="38"/>
      <c r="N18" s="13" t="b">
        <f t="shared" si="2"/>
        <v>1</v>
      </c>
      <c r="O18" s="13" t="s">
        <v>39</v>
      </c>
      <c r="P18" s="13" t="s">
        <v>40</v>
      </c>
      <c r="Q18" s="285">
        <v>-713339131</v>
      </c>
      <c r="R18" s="13" t="s">
        <v>39</v>
      </c>
      <c r="S18" s="13" t="s">
        <v>40</v>
      </c>
      <c r="T18" s="13">
        <v>-713339131</v>
      </c>
      <c r="U18" s="285" t="b">
        <f t="shared" si="0"/>
        <v>1</v>
      </c>
      <c r="V18" s="285">
        <f t="shared" si="1"/>
        <v>0</v>
      </c>
    </row>
    <row r="19" spans="2:22">
      <c r="B19" s="37" t="s">
        <v>41</v>
      </c>
      <c r="C19" s="2" t="s">
        <v>42</v>
      </c>
      <c r="D19" s="32">
        <v>0</v>
      </c>
      <c r="E19" s="32"/>
      <c r="F19" s="32"/>
      <c r="G19" s="32"/>
      <c r="H19" s="32"/>
      <c r="I19" s="32"/>
      <c r="J19" s="38" t="s">
        <v>33</v>
      </c>
      <c r="K19" s="2" t="s">
        <v>34</v>
      </c>
      <c r="L19" s="38"/>
      <c r="N19" s="13" t="b">
        <f t="shared" si="2"/>
        <v>1</v>
      </c>
      <c r="O19" s="13" t="s">
        <v>41</v>
      </c>
      <c r="P19" s="13" t="s">
        <v>42</v>
      </c>
      <c r="Q19" s="285">
        <v>0</v>
      </c>
      <c r="R19" s="13" t="s">
        <v>41</v>
      </c>
      <c r="S19" s="13" t="s">
        <v>42</v>
      </c>
      <c r="T19" s="13">
        <v>0</v>
      </c>
      <c r="U19" s="285" t="b">
        <f t="shared" si="0"/>
        <v>1</v>
      </c>
      <c r="V19" s="285">
        <f t="shared" si="1"/>
        <v>0</v>
      </c>
    </row>
    <row r="20" spans="2:22">
      <c r="B20" s="37" t="s">
        <v>43</v>
      </c>
      <c r="C20" s="2" t="s">
        <v>44</v>
      </c>
      <c r="D20" s="32">
        <v>0</v>
      </c>
      <c r="E20" s="32"/>
      <c r="F20" s="32"/>
      <c r="G20" s="32"/>
      <c r="H20" s="32"/>
      <c r="I20" s="32"/>
      <c r="J20" s="38" t="s">
        <v>45</v>
      </c>
      <c r="K20" s="2" t="s">
        <v>46</v>
      </c>
      <c r="L20" s="38"/>
      <c r="N20" s="13" t="b">
        <f t="shared" si="2"/>
        <v>1</v>
      </c>
      <c r="O20" s="13" t="s">
        <v>43</v>
      </c>
      <c r="P20" s="13" t="s">
        <v>44</v>
      </c>
      <c r="Q20" s="285">
        <v>0</v>
      </c>
      <c r="R20" s="13" t="s">
        <v>43</v>
      </c>
      <c r="S20" s="13" t="s">
        <v>44</v>
      </c>
      <c r="T20" s="13">
        <v>0</v>
      </c>
      <c r="U20" s="285" t="b">
        <f t="shared" si="0"/>
        <v>1</v>
      </c>
      <c r="V20" s="285">
        <f t="shared" si="1"/>
        <v>0</v>
      </c>
    </row>
    <row r="21" spans="2:22">
      <c r="B21" s="37" t="s">
        <v>47</v>
      </c>
      <c r="C21" s="2" t="s">
        <v>48</v>
      </c>
      <c r="D21" s="32">
        <v>0</v>
      </c>
      <c r="E21" s="32"/>
      <c r="F21" s="32"/>
      <c r="G21" s="32"/>
      <c r="H21" s="32"/>
      <c r="I21" s="32"/>
      <c r="J21" s="38" t="s">
        <v>45</v>
      </c>
      <c r="K21" s="2" t="s">
        <v>46</v>
      </c>
      <c r="L21" s="38"/>
      <c r="N21" s="13" t="b">
        <f t="shared" si="2"/>
        <v>1</v>
      </c>
      <c r="O21" s="13" t="s">
        <v>47</v>
      </c>
      <c r="P21" s="13" t="s">
        <v>48</v>
      </c>
      <c r="Q21" s="285">
        <v>0</v>
      </c>
      <c r="R21" s="13" t="s">
        <v>47</v>
      </c>
      <c r="S21" s="13" t="s">
        <v>48</v>
      </c>
      <c r="T21" s="13">
        <v>0</v>
      </c>
      <c r="U21" s="285" t="b">
        <f t="shared" si="0"/>
        <v>1</v>
      </c>
      <c r="V21" s="285">
        <f t="shared" si="1"/>
        <v>0</v>
      </c>
    </row>
    <row r="22" spans="2:22">
      <c r="B22" s="37" t="s">
        <v>49</v>
      </c>
      <c r="C22" s="2" t="s">
        <v>50</v>
      </c>
      <c r="D22" s="32">
        <v>0</v>
      </c>
      <c r="E22" s="32"/>
      <c r="F22" s="32"/>
      <c r="G22" s="32"/>
      <c r="H22" s="32"/>
      <c r="I22" s="32"/>
      <c r="J22" s="38" t="s">
        <v>45</v>
      </c>
      <c r="K22" s="2" t="s">
        <v>46</v>
      </c>
      <c r="L22" s="38"/>
      <c r="N22" s="13" t="b">
        <f t="shared" si="2"/>
        <v>1</v>
      </c>
      <c r="O22" s="13" t="s">
        <v>49</v>
      </c>
      <c r="P22" s="13" t="s">
        <v>50</v>
      </c>
      <c r="Q22" s="285">
        <v>0</v>
      </c>
      <c r="R22" s="13" t="s">
        <v>49</v>
      </c>
      <c r="S22" s="13" t="s">
        <v>50</v>
      </c>
      <c r="T22" s="13">
        <v>0</v>
      </c>
      <c r="U22" s="285" t="b">
        <f t="shared" si="0"/>
        <v>1</v>
      </c>
      <c r="V22" s="285">
        <f t="shared" si="1"/>
        <v>0</v>
      </c>
    </row>
    <row r="23" spans="2:22">
      <c r="B23" s="37" t="s">
        <v>51</v>
      </c>
      <c r="C23" s="2" t="s">
        <v>52</v>
      </c>
      <c r="D23" s="32">
        <v>173521051</v>
      </c>
      <c r="E23" s="32"/>
      <c r="F23" s="32"/>
      <c r="G23" s="32"/>
      <c r="H23" s="32"/>
      <c r="I23" s="32"/>
      <c r="J23" s="38" t="s">
        <v>45</v>
      </c>
      <c r="K23" s="2" t="s">
        <v>46</v>
      </c>
      <c r="L23" s="38"/>
      <c r="N23" s="13" t="b">
        <f t="shared" si="2"/>
        <v>1</v>
      </c>
      <c r="O23" s="13" t="s">
        <v>51</v>
      </c>
      <c r="P23" s="13" t="s">
        <v>52</v>
      </c>
      <c r="Q23" s="285">
        <v>173521051</v>
      </c>
      <c r="R23" s="13" t="s">
        <v>51</v>
      </c>
      <c r="S23" s="13" t="s">
        <v>52</v>
      </c>
      <c r="T23" s="13">
        <v>173521051</v>
      </c>
      <c r="U23" s="285" t="b">
        <f t="shared" si="0"/>
        <v>1</v>
      </c>
      <c r="V23" s="285">
        <f t="shared" si="1"/>
        <v>0</v>
      </c>
    </row>
    <row r="24" spans="2:22">
      <c r="B24" s="37" t="s">
        <v>53</v>
      </c>
      <c r="C24" s="2" t="s">
        <v>54</v>
      </c>
      <c r="D24" s="32">
        <v>327436063</v>
      </c>
      <c r="E24" s="32"/>
      <c r="F24" s="32"/>
      <c r="G24" s="32"/>
      <c r="H24" s="32"/>
      <c r="I24" s="32"/>
      <c r="J24" s="38" t="s">
        <v>55</v>
      </c>
      <c r="K24" s="2" t="s">
        <v>56</v>
      </c>
      <c r="L24" s="38"/>
      <c r="N24" s="13" t="b">
        <f t="shared" si="2"/>
        <v>1</v>
      </c>
      <c r="O24" s="13" t="s">
        <v>53</v>
      </c>
      <c r="P24" s="13" t="s">
        <v>54</v>
      </c>
      <c r="Q24" s="285">
        <v>327436063</v>
      </c>
      <c r="R24" s="13" t="s">
        <v>53</v>
      </c>
      <c r="S24" s="13" t="s">
        <v>54</v>
      </c>
      <c r="T24" s="13">
        <v>327436063</v>
      </c>
      <c r="U24" s="285" t="b">
        <f t="shared" si="0"/>
        <v>1</v>
      </c>
      <c r="V24" s="285">
        <f t="shared" si="1"/>
        <v>0</v>
      </c>
    </row>
    <row r="25" spans="2:22">
      <c r="B25" s="37" t="s">
        <v>57</v>
      </c>
      <c r="C25" s="2" t="s">
        <v>58</v>
      </c>
      <c r="D25" s="32">
        <v>25040713</v>
      </c>
      <c r="E25" s="32"/>
      <c r="F25" s="32"/>
      <c r="G25" s="32"/>
      <c r="H25" s="32"/>
      <c r="I25" s="32"/>
      <c r="J25" s="38" t="s">
        <v>55</v>
      </c>
      <c r="K25" s="2" t="s">
        <v>56</v>
      </c>
      <c r="L25" s="38"/>
      <c r="N25" s="13" t="b">
        <f t="shared" si="2"/>
        <v>1</v>
      </c>
      <c r="O25" s="13" t="s">
        <v>57</v>
      </c>
      <c r="P25" s="13" t="s">
        <v>58</v>
      </c>
      <c r="Q25" s="285">
        <v>25040713</v>
      </c>
      <c r="R25" s="13" t="s">
        <v>57</v>
      </c>
      <c r="S25" s="13" t="s">
        <v>58</v>
      </c>
      <c r="T25" s="13">
        <v>25040713</v>
      </c>
      <c r="U25" s="285" t="b">
        <f t="shared" si="0"/>
        <v>1</v>
      </c>
      <c r="V25" s="285">
        <f t="shared" si="1"/>
        <v>0</v>
      </c>
    </row>
    <row r="26" spans="2:22">
      <c r="B26" s="37" t="s">
        <v>837</v>
      </c>
      <c r="C26" s="2" t="s">
        <v>838</v>
      </c>
      <c r="D26" s="32">
        <v>157288879</v>
      </c>
      <c r="E26" s="32"/>
      <c r="F26" s="32"/>
      <c r="G26" s="32"/>
      <c r="H26" s="32"/>
      <c r="I26" s="32"/>
      <c r="J26" s="38" t="s">
        <v>55</v>
      </c>
      <c r="K26" s="2" t="s">
        <v>56</v>
      </c>
      <c r="L26" s="38"/>
      <c r="N26" s="13" t="b">
        <f t="shared" si="2"/>
        <v>1</v>
      </c>
      <c r="O26" s="13" t="s">
        <v>837</v>
      </c>
      <c r="P26" s="13" t="s">
        <v>838</v>
      </c>
      <c r="Q26" s="285">
        <v>157288879</v>
      </c>
      <c r="R26" s="13" t="s">
        <v>837</v>
      </c>
      <c r="S26" s="13" t="s">
        <v>838</v>
      </c>
      <c r="T26" s="13">
        <v>157288879</v>
      </c>
      <c r="U26" s="285" t="b">
        <f t="shared" si="0"/>
        <v>1</v>
      </c>
      <c r="V26" s="285">
        <f t="shared" si="1"/>
        <v>0</v>
      </c>
    </row>
    <row r="27" spans="2:22">
      <c r="B27" s="37" t="s">
        <v>59</v>
      </c>
      <c r="C27" s="2" t="s">
        <v>60</v>
      </c>
      <c r="D27" s="32">
        <v>0</v>
      </c>
      <c r="E27" s="32"/>
      <c r="F27" s="32"/>
      <c r="G27" s="32"/>
      <c r="H27" s="32"/>
      <c r="I27" s="32"/>
      <c r="J27" s="38" t="s">
        <v>61</v>
      </c>
      <c r="K27" s="2" t="s">
        <v>60</v>
      </c>
      <c r="L27" s="38"/>
      <c r="N27" s="13" t="b">
        <f t="shared" si="2"/>
        <v>1</v>
      </c>
      <c r="O27" s="13" t="s">
        <v>59</v>
      </c>
      <c r="P27" s="13" t="s">
        <v>60</v>
      </c>
      <c r="Q27" s="285">
        <v>0</v>
      </c>
      <c r="R27" s="13" t="s">
        <v>59</v>
      </c>
      <c r="S27" s="13" t="s">
        <v>60</v>
      </c>
      <c r="T27" s="13">
        <v>0</v>
      </c>
      <c r="U27" s="285" t="b">
        <f t="shared" si="0"/>
        <v>1</v>
      </c>
      <c r="V27" s="285">
        <f t="shared" si="1"/>
        <v>0</v>
      </c>
    </row>
    <row r="28" spans="2:22">
      <c r="B28" s="37" t="s">
        <v>62</v>
      </c>
      <c r="C28" s="2" t="s">
        <v>63</v>
      </c>
      <c r="D28" s="32">
        <v>0</v>
      </c>
      <c r="E28" s="32"/>
      <c r="F28" s="32"/>
      <c r="G28" s="32"/>
      <c r="H28" s="32"/>
      <c r="I28" s="32"/>
      <c r="J28" s="38" t="s">
        <v>64</v>
      </c>
      <c r="K28" s="2" t="s">
        <v>65</v>
      </c>
      <c r="L28" s="38"/>
      <c r="N28" s="13" t="b">
        <f t="shared" si="2"/>
        <v>1</v>
      </c>
      <c r="O28" s="13" t="s">
        <v>62</v>
      </c>
      <c r="P28" s="13" t="s">
        <v>63</v>
      </c>
      <c r="Q28" s="285">
        <v>0</v>
      </c>
      <c r="R28" s="13" t="s">
        <v>62</v>
      </c>
      <c r="S28" s="13" t="s">
        <v>63</v>
      </c>
      <c r="T28" s="13">
        <v>0</v>
      </c>
      <c r="U28" s="285" t="b">
        <f t="shared" si="0"/>
        <v>1</v>
      </c>
      <c r="V28" s="285">
        <f t="shared" si="1"/>
        <v>0</v>
      </c>
    </row>
    <row r="29" spans="2:22">
      <c r="B29" s="37" t="s">
        <v>505</v>
      </c>
      <c r="C29" s="2" t="s">
        <v>506</v>
      </c>
      <c r="D29" s="32">
        <v>0</v>
      </c>
      <c r="E29" s="32"/>
      <c r="F29" s="32"/>
      <c r="G29" s="32"/>
      <c r="H29" s="32"/>
      <c r="I29" s="32"/>
      <c r="J29" s="38" t="s">
        <v>55</v>
      </c>
      <c r="K29" s="2" t="s">
        <v>56</v>
      </c>
      <c r="L29" s="38"/>
      <c r="N29" s="13" t="b">
        <f t="shared" si="2"/>
        <v>1</v>
      </c>
      <c r="O29" s="13" t="s">
        <v>505</v>
      </c>
      <c r="P29" s="13" t="s">
        <v>506</v>
      </c>
      <c r="Q29" s="285">
        <v>0</v>
      </c>
      <c r="R29" s="13" t="s">
        <v>505</v>
      </c>
      <c r="S29" s="13" t="s">
        <v>506</v>
      </c>
      <c r="T29" s="13">
        <v>0</v>
      </c>
      <c r="U29" s="285" t="b">
        <f t="shared" si="0"/>
        <v>1</v>
      </c>
      <c r="V29" s="285">
        <f t="shared" si="1"/>
        <v>0</v>
      </c>
    </row>
    <row r="30" spans="2:22">
      <c r="B30" s="37" t="s">
        <v>839</v>
      </c>
      <c r="C30" s="2" t="s">
        <v>840</v>
      </c>
      <c r="D30" s="32">
        <v>0</v>
      </c>
      <c r="E30" s="32"/>
      <c r="F30" s="32"/>
      <c r="G30" s="32"/>
      <c r="H30" s="32"/>
      <c r="I30" s="32"/>
      <c r="J30" s="38"/>
      <c r="K30" s="2"/>
      <c r="L30" s="38"/>
      <c r="N30" s="13" t="b">
        <f t="shared" si="2"/>
        <v>1</v>
      </c>
      <c r="O30" s="13" t="s">
        <v>839</v>
      </c>
      <c r="P30" s="13" t="s">
        <v>840</v>
      </c>
      <c r="Q30" s="285">
        <v>0</v>
      </c>
      <c r="R30" s="13" t="s">
        <v>839</v>
      </c>
      <c r="S30" s="13" t="s">
        <v>840</v>
      </c>
      <c r="T30" s="13">
        <v>0</v>
      </c>
      <c r="U30" s="285" t="b">
        <f t="shared" si="0"/>
        <v>1</v>
      </c>
      <c r="V30" s="285">
        <f t="shared" si="1"/>
        <v>0</v>
      </c>
    </row>
    <row r="31" spans="2:22">
      <c r="B31" s="24" t="s">
        <v>806</v>
      </c>
      <c r="C31" s="25" t="s">
        <v>70</v>
      </c>
      <c r="D31" s="35">
        <v>7962858575</v>
      </c>
      <c r="E31" s="35"/>
      <c r="F31" s="35"/>
      <c r="G31" s="35"/>
      <c r="H31" s="35"/>
      <c r="I31" s="32"/>
      <c r="J31" s="38">
        <v>0</v>
      </c>
      <c r="K31" s="2" t="s">
        <v>66</v>
      </c>
      <c r="L31" s="38"/>
      <c r="N31" s="13" t="b">
        <f t="shared" si="2"/>
        <v>1</v>
      </c>
      <c r="O31" s="13" t="s">
        <v>806</v>
      </c>
      <c r="P31" s="13" t="s">
        <v>70</v>
      </c>
      <c r="Q31" s="285">
        <v>7962858575</v>
      </c>
      <c r="R31" s="13" t="s">
        <v>806</v>
      </c>
      <c r="S31" s="13" t="s">
        <v>70</v>
      </c>
      <c r="T31" s="13">
        <v>7962858575</v>
      </c>
      <c r="U31" s="285" t="b">
        <f t="shared" si="0"/>
        <v>1</v>
      </c>
      <c r="V31" s="285">
        <f t="shared" si="1"/>
        <v>0</v>
      </c>
    </row>
    <row r="32" spans="2:22">
      <c r="B32" s="36" t="s">
        <v>67</v>
      </c>
      <c r="C32" s="2" t="s">
        <v>68</v>
      </c>
      <c r="D32" s="32">
        <v>643428865</v>
      </c>
      <c r="E32" s="32"/>
      <c r="F32" s="32"/>
      <c r="G32" s="32"/>
      <c r="H32" s="32"/>
      <c r="I32" s="32"/>
      <c r="J32" s="38" t="s">
        <v>69</v>
      </c>
      <c r="K32" s="2" t="s">
        <v>70</v>
      </c>
      <c r="L32" s="38"/>
      <c r="N32" s="13" t="b">
        <f t="shared" si="2"/>
        <v>1</v>
      </c>
      <c r="O32" s="13" t="s">
        <v>67</v>
      </c>
      <c r="P32" s="13" t="s">
        <v>68</v>
      </c>
      <c r="Q32" s="285">
        <v>643428865</v>
      </c>
      <c r="R32" s="13" t="s">
        <v>67</v>
      </c>
      <c r="S32" s="13" t="s">
        <v>68</v>
      </c>
      <c r="T32" s="13">
        <v>643428865</v>
      </c>
      <c r="U32" s="285" t="b">
        <f t="shared" si="0"/>
        <v>1</v>
      </c>
      <c r="V32" s="285">
        <f t="shared" si="1"/>
        <v>0</v>
      </c>
    </row>
    <row r="33" spans="2:22">
      <c r="B33" s="36" t="s">
        <v>71</v>
      </c>
      <c r="C33" s="2" t="s">
        <v>72</v>
      </c>
      <c r="D33" s="32">
        <v>1601338285</v>
      </c>
      <c r="E33" s="32"/>
      <c r="F33" s="32"/>
      <c r="G33" s="32"/>
      <c r="H33" s="32"/>
      <c r="I33" s="32"/>
      <c r="J33" s="38" t="s">
        <v>69</v>
      </c>
      <c r="K33" s="2" t="s">
        <v>70</v>
      </c>
      <c r="L33" s="38"/>
      <c r="N33" s="13" t="b">
        <f t="shared" si="2"/>
        <v>1</v>
      </c>
      <c r="O33" s="13" t="s">
        <v>71</v>
      </c>
      <c r="P33" s="13" t="s">
        <v>72</v>
      </c>
      <c r="Q33" s="285">
        <v>1601338285</v>
      </c>
      <c r="R33" s="13" t="s">
        <v>71</v>
      </c>
      <c r="S33" s="13" t="s">
        <v>72</v>
      </c>
      <c r="T33" s="13">
        <v>1601338285</v>
      </c>
      <c r="U33" s="285" t="b">
        <f t="shared" si="0"/>
        <v>1</v>
      </c>
      <c r="V33" s="285">
        <f t="shared" si="1"/>
        <v>0</v>
      </c>
    </row>
    <row r="34" spans="2:22">
      <c r="B34" s="36" t="s">
        <v>73</v>
      </c>
      <c r="C34" s="2" t="s">
        <v>74</v>
      </c>
      <c r="D34" s="32">
        <v>0</v>
      </c>
      <c r="E34" s="32"/>
      <c r="F34" s="32"/>
      <c r="G34" s="32"/>
      <c r="H34" s="32"/>
      <c r="I34" s="32"/>
      <c r="J34" s="38" t="s">
        <v>69</v>
      </c>
      <c r="K34" s="2" t="s">
        <v>70</v>
      </c>
      <c r="L34" s="38"/>
      <c r="N34" s="13" t="b">
        <f t="shared" si="2"/>
        <v>1</v>
      </c>
      <c r="O34" s="13" t="s">
        <v>73</v>
      </c>
      <c r="P34" s="13" t="s">
        <v>74</v>
      </c>
      <c r="Q34" s="285">
        <v>0</v>
      </c>
      <c r="R34" s="13" t="s">
        <v>73</v>
      </c>
      <c r="S34" s="13" t="s">
        <v>74</v>
      </c>
      <c r="T34" s="13">
        <v>0</v>
      </c>
      <c r="U34" s="285" t="b">
        <f t="shared" si="0"/>
        <v>1</v>
      </c>
      <c r="V34" s="285">
        <f t="shared" si="1"/>
        <v>0</v>
      </c>
    </row>
    <row r="35" spans="2:22">
      <c r="B35" s="36" t="s">
        <v>75</v>
      </c>
      <c r="C35" s="2" t="s">
        <v>76</v>
      </c>
      <c r="D35" s="32">
        <v>3027710531</v>
      </c>
      <c r="E35" s="32"/>
      <c r="F35" s="32"/>
      <c r="G35" s="32"/>
      <c r="H35" s="32"/>
      <c r="I35" s="32"/>
      <c r="J35" s="38" t="s">
        <v>69</v>
      </c>
      <c r="K35" s="2" t="s">
        <v>70</v>
      </c>
      <c r="L35" s="38"/>
      <c r="N35" s="13" t="b">
        <f t="shared" si="2"/>
        <v>1</v>
      </c>
      <c r="O35" s="13" t="s">
        <v>75</v>
      </c>
      <c r="P35" s="13" t="s">
        <v>76</v>
      </c>
      <c r="Q35" s="285">
        <v>3027710531</v>
      </c>
      <c r="R35" s="13" t="s">
        <v>75</v>
      </c>
      <c r="S35" s="13" t="s">
        <v>76</v>
      </c>
      <c r="T35" s="13">
        <v>3027710531</v>
      </c>
      <c r="U35" s="285" t="b">
        <f t="shared" si="0"/>
        <v>1</v>
      </c>
      <c r="V35" s="285">
        <f t="shared" si="1"/>
        <v>0</v>
      </c>
    </row>
    <row r="36" spans="2:22">
      <c r="B36" s="36" t="s">
        <v>77</v>
      </c>
      <c r="C36" s="2" t="s">
        <v>78</v>
      </c>
      <c r="D36" s="32">
        <v>0</v>
      </c>
      <c r="E36" s="32"/>
      <c r="F36" s="32"/>
      <c r="G36" s="32"/>
      <c r="H36" s="32"/>
      <c r="I36" s="32"/>
      <c r="J36" s="38" t="s">
        <v>69</v>
      </c>
      <c r="K36" s="2" t="s">
        <v>70</v>
      </c>
      <c r="L36" s="38"/>
      <c r="N36" s="13" t="b">
        <f t="shared" si="2"/>
        <v>1</v>
      </c>
      <c r="O36" s="13" t="s">
        <v>77</v>
      </c>
      <c r="P36" s="13" t="s">
        <v>78</v>
      </c>
      <c r="Q36" s="285">
        <v>0</v>
      </c>
      <c r="R36" s="13" t="s">
        <v>77</v>
      </c>
      <c r="S36" s="13" t="s">
        <v>78</v>
      </c>
      <c r="T36" s="13">
        <v>0</v>
      </c>
      <c r="U36" s="285" t="b">
        <f t="shared" si="0"/>
        <v>1</v>
      </c>
      <c r="V36" s="285">
        <f t="shared" si="1"/>
        <v>0</v>
      </c>
    </row>
    <row r="37" spans="2:22">
      <c r="B37" s="36" t="s">
        <v>79</v>
      </c>
      <c r="C37" s="2" t="s">
        <v>80</v>
      </c>
      <c r="D37" s="32">
        <v>877455290</v>
      </c>
      <c r="E37" s="32"/>
      <c r="F37" s="32"/>
      <c r="G37" s="32"/>
      <c r="H37" s="32"/>
      <c r="I37" s="32"/>
      <c r="J37" s="38" t="s">
        <v>69</v>
      </c>
      <c r="K37" s="2" t="s">
        <v>70</v>
      </c>
      <c r="L37" s="38"/>
      <c r="N37" s="13" t="b">
        <f t="shared" si="2"/>
        <v>1</v>
      </c>
      <c r="O37" s="13" t="s">
        <v>79</v>
      </c>
      <c r="P37" s="13" t="s">
        <v>80</v>
      </c>
      <c r="Q37" s="285">
        <v>877455290</v>
      </c>
      <c r="R37" s="13" t="s">
        <v>79</v>
      </c>
      <c r="S37" s="13" t="s">
        <v>80</v>
      </c>
      <c r="T37" s="13">
        <v>877455290</v>
      </c>
      <c r="U37" s="285" t="b">
        <f t="shared" si="0"/>
        <v>1</v>
      </c>
      <c r="V37" s="285">
        <f t="shared" si="1"/>
        <v>0</v>
      </c>
    </row>
    <row r="38" spans="2:22">
      <c r="B38" s="36" t="s">
        <v>81</v>
      </c>
      <c r="C38" s="2" t="s">
        <v>82</v>
      </c>
      <c r="D38" s="32">
        <v>1791962192</v>
      </c>
      <c r="E38" s="32"/>
      <c r="F38" s="32"/>
      <c r="G38" s="32"/>
      <c r="H38" s="32"/>
      <c r="I38" s="32"/>
      <c r="J38" s="38" t="s">
        <v>69</v>
      </c>
      <c r="K38" s="2" t="s">
        <v>70</v>
      </c>
      <c r="L38" s="38"/>
      <c r="N38" s="13" t="b">
        <f t="shared" si="2"/>
        <v>1</v>
      </c>
      <c r="O38" s="13" t="s">
        <v>81</v>
      </c>
      <c r="P38" s="13" t="s">
        <v>82</v>
      </c>
      <c r="Q38" s="285">
        <v>1791962192</v>
      </c>
      <c r="R38" s="13" t="s">
        <v>81</v>
      </c>
      <c r="S38" s="13" t="s">
        <v>82</v>
      </c>
      <c r="T38" s="13">
        <v>1791962192</v>
      </c>
      <c r="U38" s="285" t="b">
        <f t="shared" si="0"/>
        <v>1</v>
      </c>
      <c r="V38" s="285">
        <f t="shared" si="1"/>
        <v>0</v>
      </c>
    </row>
    <row r="39" spans="2:22">
      <c r="B39" s="37" t="s">
        <v>83</v>
      </c>
      <c r="C39" s="2" t="s">
        <v>84</v>
      </c>
      <c r="D39" s="32">
        <v>0</v>
      </c>
      <c r="E39" s="32"/>
      <c r="F39" s="32"/>
      <c r="G39" s="32"/>
      <c r="H39" s="32"/>
      <c r="I39" s="32"/>
      <c r="J39" s="38" t="s">
        <v>69</v>
      </c>
      <c r="K39" s="2" t="s">
        <v>70</v>
      </c>
      <c r="L39" s="34"/>
      <c r="N39" s="13" t="b">
        <f t="shared" si="2"/>
        <v>1</v>
      </c>
      <c r="O39" s="13" t="s">
        <v>83</v>
      </c>
      <c r="P39" s="13" t="s">
        <v>84</v>
      </c>
      <c r="Q39" s="285">
        <v>0</v>
      </c>
      <c r="R39" s="13" t="s">
        <v>83</v>
      </c>
      <c r="S39" s="13" t="s">
        <v>84</v>
      </c>
      <c r="T39" s="13">
        <v>0</v>
      </c>
      <c r="U39" s="285" t="b">
        <f t="shared" si="0"/>
        <v>1</v>
      </c>
      <c r="V39" s="285">
        <f t="shared" si="1"/>
        <v>0</v>
      </c>
    </row>
    <row r="40" spans="2:22">
      <c r="B40" s="37" t="s">
        <v>85</v>
      </c>
      <c r="C40" s="2" t="s">
        <v>86</v>
      </c>
      <c r="D40" s="32">
        <v>0</v>
      </c>
      <c r="E40" s="32"/>
      <c r="F40" s="32"/>
      <c r="G40" s="32"/>
      <c r="H40" s="32"/>
      <c r="I40" s="32"/>
      <c r="J40" s="38" t="s">
        <v>69</v>
      </c>
      <c r="K40" s="2" t="s">
        <v>70</v>
      </c>
      <c r="L40" s="34"/>
      <c r="N40" s="13" t="b">
        <f t="shared" si="2"/>
        <v>1</v>
      </c>
      <c r="O40" s="13" t="s">
        <v>85</v>
      </c>
      <c r="P40" s="13" t="s">
        <v>86</v>
      </c>
      <c r="Q40" s="285">
        <v>0</v>
      </c>
      <c r="R40" s="13" t="s">
        <v>85</v>
      </c>
      <c r="S40" s="13" t="s">
        <v>86</v>
      </c>
      <c r="T40" s="13">
        <v>0</v>
      </c>
      <c r="U40" s="285" t="b">
        <f t="shared" si="0"/>
        <v>1</v>
      </c>
      <c r="V40" s="285">
        <f t="shared" si="1"/>
        <v>0</v>
      </c>
    </row>
    <row r="41" spans="2:22">
      <c r="B41" s="37" t="s">
        <v>87</v>
      </c>
      <c r="C41" s="2" t="s">
        <v>88</v>
      </c>
      <c r="D41" s="32">
        <v>0</v>
      </c>
      <c r="E41" s="32"/>
      <c r="F41" s="32"/>
      <c r="G41" s="32"/>
      <c r="H41" s="32"/>
      <c r="I41" s="32"/>
      <c r="J41" s="38" t="s">
        <v>69</v>
      </c>
      <c r="K41" s="2" t="s">
        <v>70</v>
      </c>
      <c r="L41" s="34"/>
      <c r="N41" s="13" t="b">
        <f t="shared" si="2"/>
        <v>1</v>
      </c>
      <c r="O41" s="13" t="s">
        <v>87</v>
      </c>
      <c r="P41" s="13" t="s">
        <v>88</v>
      </c>
      <c r="Q41" s="285">
        <v>0</v>
      </c>
      <c r="R41" s="13" t="s">
        <v>87</v>
      </c>
      <c r="S41" s="13" t="s">
        <v>88</v>
      </c>
      <c r="T41" s="13">
        <v>0</v>
      </c>
      <c r="U41" s="285" t="b">
        <f t="shared" si="0"/>
        <v>1</v>
      </c>
      <c r="V41" s="285">
        <f t="shared" si="1"/>
        <v>0</v>
      </c>
    </row>
    <row r="42" spans="2:22">
      <c r="B42" s="37" t="s">
        <v>89</v>
      </c>
      <c r="C42" s="2" t="s">
        <v>90</v>
      </c>
      <c r="D42" s="32">
        <v>20963412</v>
      </c>
      <c r="E42" s="32"/>
      <c r="F42" s="32"/>
      <c r="G42" s="32"/>
      <c r="H42" s="32"/>
      <c r="I42" s="32"/>
      <c r="J42" s="38" t="s">
        <v>69</v>
      </c>
      <c r="K42" s="2" t="s">
        <v>70</v>
      </c>
      <c r="L42" s="34"/>
      <c r="N42" s="13" t="b">
        <f t="shared" si="2"/>
        <v>1</v>
      </c>
      <c r="O42" s="13" t="s">
        <v>89</v>
      </c>
      <c r="P42" s="13" t="s">
        <v>90</v>
      </c>
      <c r="Q42" s="285">
        <v>20963412</v>
      </c>
      <c r="R42" s="13" t="s">
        <v>89</v>
      </c>
      <c r="S42" s="13" t="s">
        <v>90</v>
      </c>
      <c r="T42" s="13">
        <v>20963412</v>
      </c>
      <c r="U42" s="285" t="b">
        <f t="shared" si="0"/>
        <v>1</v>
      </c>
      <c r="V42" s="285">
        <f t="shared" si="1"/>
        <v>0</v>
      </c>
    </row>
    <row r="43" spans="2:22">
      <c r="B43" s="37"/>
      <c r="C43" s="2"/>
      <c r="D43" s="32"/>
      <c r="E43" s="32"/>
      <c r="F43" s="32"/>
      <c r="G43" s="32"/>
      <c r="H43" s="32"/>
      <c r="I43" s="32"/>
      <c r="J43" s="38"/>
      <c r="K43" s="2"/>
      <c r="L43" s="34"/>
      <c r="N43" s="13" t="b">
        <f t="shared" si="2"/>
        <v>1</v>
      </c>
      <c r="Q43" s="285"/>
      <c r="U43" s="285" t="b">
        <f t="shared" si="0"/>
        <v>1</v>
      </c>
      <c r="V43" s="285">
        <f t="shared" si="1"/>
        <v>0</v>
      </c>
    </row>
    <row r="44" spans="2:22">
      <c r="B44" s="29" t="s">
        <v>915</v>
      </c>
      <c r="C44" s="30" t="s">
        <v>575</v>
      </c>
      <c r="D44" s="31">
        <v>58490546866</v>
      </c>
      <c r="E44" s="31"/>
      <c r="F44" s="31"/>
      <c r="G44" s="31"/>
      <c r="H44" s="31"/>
      <c r="I44" s="32"/>
      <c r="J44" s="38">
        <v>0</v>
      </c>
      <c r="K44" s="2" t="s">
        <v>66</v>
      </c>
      <c r="L44" s="34"/>
      <c r="N44" s="13" t="b">
        <f t="shared" si="2"/>
        <v>1</v>
      </c>
      <c r="O44" s="13" t="s">
        <v>915</v>
      </c>
      <c r="P44" s="13" t="s">
        <v>575</v>
      </c>
      <c r="Q44" s="285">
        <v>57949675262</v>
      </c>
      <c r="R44" s="13" t="s">
        <v>915</v>
      </c>
      <c r="S44" s="13" t="s">
        <v>575</v>
      </c>
      <c r="T44" s="13">
        <v>59468906735</v>
      </c>
      <c r="U44" s="285" t="b">
        <f t="shared" si="0"/>
        <v>1</v>
      </c>
      <c r="V44" s="285">
        <f t="shared" si="1"/>
        <v>-1519231473</v>
      </c>
    </row>
    <row r="45" spans="2:22">
      <c r="B45" s="29" t="s">
        <v>916</v>
      </c>
      <c r="C45" s="30" t="s">
        <v>576</v>
      </c>
      <c r="D45" s="31">
        <v>34484040926</v>
      </c>
      <c r="E45" s="31"/>
      <c r="F45" s="31"/>
      <c r="G45" s="31"/>
      <c r="H45" s="31"/>
      <c r="I45" s="32"/>
      <c r="J45" s="38"/>
      <c r="K45" s="2"/>
      <c r="L45" s="34"/>
      <c r="N45" s="13" t="b">
        <f t="shared" si="2"/>
        <v>1</v>
      </c>
      <c r="O45" s="13" t="s">
        <v>916</v>
      </c>
      <c r="P45" s="13" t="s">
        <v>576</v>
      </c>
      <c r="Q45" s="285">
        <v>33941577450</v>
      </c>
      <c r="R45" s="13" t="s">
        <v>916</v>
      </c>
      <c r="S45" s="13" t="s">
        <v>576</v>
      </c>
      <c r="T45" s="13">
        <v>35487144153</v>
      </c>
      <c r="U45" s="285" t="b">
        <f t="shared" si="0"/>
        <v>1</v>
      </c>
      <c r="V45" s="285">
        <f t="shared" si="1"/>
        <v>-1545566703</v>
      </c>
    </row>
    <row r="46" spans="2:22">
      <c r="B46" s="37" t="s">
        <v>92</v>
      </c>
      <c r="C46" s="2" t="s">
        <v>93</v>
      </c>
      <c r="D46" s="32">
        <v>0</v>
      </c>
      <c r="E46" s="32"/>
      <c r="F46" s="32"/>
      <c r="G46" s="32"/>
      <c r="H46" s="32"/>
      <c r="I46" s="32"/>
      <c r="J46" s="38" t="s">
        <v>94</v>
      </c>
      <c r="K46" s="2" t="s">
        <v>95</v>
      </c>
      <c r="L46" s="34"/>
      <c r="N46" s="13" t="b">
        <f t="shared" si="2"/>
        <v>1</v>
      </c>
      <c r="O46" s="13" t="s">
        <v>92</v>
      </c>
      <c r="P46" s="13" t="s">
        <v>93</v>
      </c>
      <c r="Q46" s="285">
        <v>0</v>
      </c>
      <c r="R46" s="13" t="s">
        <v>92</v>
      </c>
      <c r="S46" s="13" t="s">
        <v>93</v>
      </c>
      <c r="T46" s="13">
        <v>0</v>
      </c>
      <c r="U46" s="285" t="b">
        <f t="shared" si="0"/>
        <v>1</v>
      </c>
      <c r="V46" s="285">
        <f t="shared" si="1"/>
        <v>0</v>
      </c>
    </row>
    <row r="47" spans="2:22">
      <c r="B47" s="37" t="s">
        <v>96</v>
      </c>
      <c r="C47" s="2" t="s">
        <v>97</v>
      </c>
      <c r="D47" s="32">
        <v>0</v>
      </c>
      <c r="E47" s="32"/>
      <c r="F47" s="32"/>
      <c r="G47" s="32"/>
      <c r="H47" s="32"/>
      <c r="I47" s="32"/>
      <c r="J47" s="38" t="s">
        <v>94</v>
      </c>
      <c r="K47" s="2" t="s">
        <v>95</v>
      </c>
      <c r="L47" s="34"/>
      <c r="N47" s="13" t="b">
        <f t="shared" si="2"/>
        <v>1</v>
      </c>
      <c r="O47" s="13" t="s">
        <v>96</v>
      </c>
      <c r="P47" s="13" t="s">
        <v>97</v>
      </c>
      <c r="Q47" s="285">
        <v>0</v>
      </c>
      <c r="R47" s="13" t="s">
        <v>96</v>
      </c>
      <c r="S47" s="13" t="s">
        <v>97</v>
      </c>
      <c r="T47" s="13">
        <v>0</v>
      </c>
      <c r="U47" s="285" t="b">
        <f t="shared" si="0"/>
        <v>1</v>
      </c>
      <c r="V47" s="285">
        <f t="shared" si="1"/>
        <v>0</v>
      </c>
    </row>
    <row r="48" spans="2:22">
      <c r="B48" s="37" t="s">
        <v>98</v>
      </c>
      <c r="C48" s="2" t="s">
        <v>99</v>
      </c>
      <c r="D48" s="32">
        <v>34484040926</v>
      </c>
      <c r="E48" s="32"/>
      <c r="F48" s="32"/>
      <c r="G48" s="32"/>
      <c r="H48" s="32"/>
      <c r="I48" s="32"/>
      <c r="J48" s="38" t="s">
        <v>507</v>
      </c>
      <c r="K48" s="2" t="s">
        <v>99</v>
      </c>
      <c r="L48" s="34"/>
      <c r="N48" s="13" t="b">
        <f t="shared" si="2"/>
        <v>1</v>
      </c>
      <c r="O48" s="13" t="s">
        <v>98</v>
      </c>
      <c r="P48" s="13" t="s">
        <v>99</v>
      </c>
      <c r="Q48" s="285">
        <v>1704070304</v>
      </c>
      <c r="R48" s="13" t="s">
        <v>98</v>
      </c>
      <c r="S48" s="13" t="s">
        <v>99</v>
      </c>
      <c r="T48" s="13">
        <v>35487144153</v>
      </c>
      <c r="U48" s="285" t="b">
        <f t="shared" si="0"/>
        <v>1</v>
      </c>
      <c r="V48" s="285">
        <f t="shared" si="1"/>
        <v>-33783073849</v>
      </c>
    </row>
    <row r="49" spans="2:22">
      <c r="B49" s="37" t="s">
        <v>100</v>
      </c>
      <c r="C49" s="2" t="s">
        <v>101</v>
      </c>
      <c r="D49" s="32">
        <v>0</v>
      </c>
      <c r="E49" s="32"/>
      <c r="F49" s="32"/>
      <c r="G49" s="32"/>
      <c r="H49" s="32"/>
      <c r="I49" s="32"/>
      <c r="J49" s="38" t="s">
        <v>102</v>
      </c>
      <c r="K49" s="2" t="s">
        <v>103</v>
      </c>
      <c r="L49" s="34"/>
      <c r="N49" s="13" t="b">
        <f t="shared" si="2"/>
        <v>1</v>
      </c>
      <c r="O49" s="13" t="s">
        <v>100</v>
      </c>
      <c r="P49" s="13" t="s">
        <v>101</v>
      </c>
      <c r="Q49" s="285">
        <v>0</v>
      </c>
      <c r="R49" s="13" t="s">
        <v>100</v>
      </c>
      <c r="S49" s="13" t="s">
        <v>101</v>
      </c>
      <c r="T49" s="13">
        <v>0</v>
      </c>
      <c r="U49" s="285" t="b">
        <f t="shared" si="0"/>
        <v>1</v>
      </c>
      <c r="V49" s="285">
        <f t="shared" si="1"/>
        <v>0</v>
      </c>
    </row>
    <row r="50" spans="2:22">
      <c r="B50" s="37" t="s">
        <v>104</v>
      </c>
      <c r="C50" s="2" t="s">
        <v>105</v>
      </c>
      <c r="D50" s="32">
        <v>0</v>
      </c>
      <c r="E50" s="32"/>
      <c r="F50" s="32"/>
      <c r="G50" s="32"/>
      <c r="H50" s="32"/>
      <c r="I50" s="32"/>
      <c r="J50" s="38" t="s">
        <v>106</v>
      </c>
      <c r="K50" s="2" t="s">
        <v>107</v>
      </c>
      <c r="L50" s="34"/>
      <c r="N50" s="13" t="b">
        <f t="shared" si="2"/>
        <v>1</v>
      </c>
      <c r="O50" s="13" t="s">
        <v>104</v>
      </c>
      <c r="P50" s="13" t="s">
        <v>105</v>
      </c>
      <c r="Q50" s="285">
        <v>0</v>
      </c>
      <c r="R50" s="13" t="s">
        <v>104</v>
      </c>
      <c r="S50" s="13" t="s">
        <v>105</v>
      </c>
      <c r="T50" s="13">
        <v>0</v>
      </c>
      <c r="U50" s="285" t="b">
        <f t="shared" si="0"/>
        <v>1</v>
      </c>
      <c r="V50" s="285">
        <f t="shared" si="1"/>
        <v>0</v>
      </c>
    </row>
    <row r="51" spans="2:22">
      <c r="B51" s="37" t="s">
        <v>108</v>
      </c>
      <c r="C51" s="2" t="s">
        <v>109</v>
      </c>
      <c r="D51" s="32">
        <v>0</v>
      </c>
      <c r="E51" s="32"/>
      <c r="F51" s="32"/>
      <c r="G51" s="32"/>
      <c r="H51" s="32"/>
      <c r="I51" s="32"/>
      <c r="J51" s="38" t="s">
        <v>106</v>
      </c>
      <c r="K51" s="2" t="s">
        <v>107</v>
      </c>
      <c r="L51" s="34"/>
      <c r="N51" s="13" t="b">
        <f t="shared" si="2"/>
        <v>1</v>
      </c>
      <c r="O51" s="13" t="s">
        <v>108</v>
      </c>
      <c r="P51" s="13" t="s">
        <v>109</v>
      </c>
      <c r="Q51" s="285">
        <v>32237507146</v>
      </c>
      <c r="R51" s="13" t="s">
        <v>108</v>
      </c>
      <c r="S51" s="13" t="s">
        <v>109</v>
      </c>
      <c r="T51" s="13">
        <v>0</v>
      </c>
      <c r="U51" s="285" t="b">
        <f t="shared" si="0"/>
        <v>1</v>
      </c>
      <c r="V51" s="285">
        <f t="shared" si="1"/>
        <v>32237507146</v>
      </c>
    </row>
    <row r="52" spans="2:22">
      <c r="B52" s="24" t="s">
        <v>917</v>
      </c>
      <c r="C52" s="25" t="s">
        <v>129</v>
      </c>
      <c r="D52" s="35">
        <v>23406098294</v>
      </c>
      <c r="E52" s="35"/>
      <c r="F52" s="35"/>
      <c r="G52" s="35"/>
      <c r="H52" s="35"/>
      <c r="I52" s="32"/>
      <c r="J52" s="38">
        <v>0</v>
      </c>
      <c r="K52" s="2" t="s">
        <v>66</v>
      </c>
      <c r="L52" s="34"/>
      <c r="N52" s="13" t="b">
        <f t="shared" si="2"/>
        <v>1</v>
      </c>
      <c r="O52" s="13" t="s">
        <v>917</v>
      </c>
      <c r="P52" s="13" t="s">
        <v>129</v>
      </c>
      <c r="Q52" s="285">
        <v>23292009215</v>
      </c>
      <c r="R52" s="13" t="s">
        <v>917</v>
      </c>
      <c r="S52" s="13" t="s">
        <v>129</v>
      </c>
      <c r="T52" s="13">
        <v>23292009215</v>
      </c>
      <c r="U52" s="285" t="b">
        <f t="shared" si="0"/>
        <v>1</v>
      </c>
      <c r="V52" s="285">
        <f t="shared" si="1"/>
        <v>0</v>
      </c>
    </row>
    <row r="53" spans="2:22">
      <c r="B53" s="37" t="s">
        <v>126</v>
      </c>
      <c r="C53" s="2" t="s">
        <v>127</v>
      </c>
      <c r="D53" s="32">
        <v>10242504190</v>
      </c>
      <c r="E53" s="32"/>
      <c r="F53" s="32"/>
      <c r="G53" s="32"/>
      <c r="H53" s="32"/>
      <c r="I53" s="32"/>
      <c r="J53" s="38" t="s">
        <v>128</v>
      </c>
      <c r="K53" s="2" t="s">
        <v>129</v>
      </c>
      <c r="L53" s="34"/>
      <c r="N53" s="13" t="b">
        <f t="shared" si="2"/>
        <v>1</v>
      </c>
      <c r="O53" s="13" t="s">
        <v>126</v>
      </c>
      <c r="P53" s="13" t="s">
        <v>127</v>
      </c>
      <c r="Q53" s="285">
        <v>10242504190</v>
      </c>
      <c r="R53" s="13" t="s">
        <v>126</v>
      </c>
      <c r="S53" s="13" t="s">
        <v>127</v>
      </c>
      <c r="T53" s="13">
        <v>10242504190</v>
      </c>
      <c r="U53" s="285" t="b">
        <f t="shared" si="0"/>
        <v>1</v>
      </c>
      <c r="V53" s="285">
        <f t="shared" si="1"/>
        <v>0</v>
      </c>
    </row>
    <row r="54" spans="2:22">
      <c r="B54" s="37" t="s">
        <v>130</v>
      </c>
      <c r="C54" s="2" t="s">
        <v>131</v>
      </c>
      <c r="D54" s="32">
        <v>9998463438</v>
      </c>
      <c r="E54" s="32"/>
      <c r="F54" s="32"/>
      <c r="G54" s="32"/>
      <c r="H54" s="32"/>
      <c r="I54" s="32"/>
      <c r="J54" s="38" t="s">
        <v>128</v>
      </c>
      <c r="K54" s="2" t="s">
        <v>129</v>
      </c>
      <c r="L54" s="34"/>
      <c r="N54" s="13" t="b">
        <f t="shared" si="2"/>
        <v>1</v>
      </c>
      <c r="O54" s="13" t="s">
        <v>130</v>
      </c>
      <c r="P54" s="13" t="s">
        <v>131</v>
      </c>
      <c r="Q54" s="285">
        <v>9998463438</v>
      </c>
      <c r="R54" s="13" t="s">
        <v>130</v>
      </c>
      <c r="S54" s="13" t="s">
        <v>131</v>
      </c>
      <c r="T54" s="13">
        <v>9998463438</v>
      </c>
      <c r="U54" s="285" t="b">
        <f t="shared" si="0"/>
        <v>1</v>
      </c>
      <c r="V54" s="285">
        <f t="shared" si="1"/>
        <v>0</v>
      </c>
    </row>
    <row r="55" spans="2:22">
      <c r="B55" s="37" t="s">
        <v>132</v>
      </c>
      <c r="C55" s="2" t="s">
        <v>133</v>
      </c>
      <c r="D55" s="32">
        <v>-1181832650</v>
      </c>
      <c r="E55" s="32"/>
      <c r="F55" s="32"/>
      <c r="G55" s="32"/>
      <c r="H55" s="32"/>
      <c r="I55" s="32"/>
      <c r="J55" s="38" t="s">
        <v>128</v>
      </c>
      <c r="K55" s="2" t="s">
        <v>129</v>
      </c>
      <c r="L55" s="34"/>
      <c r="N55" s="13" t="b">
        <f t="shared" si="2"/>
        <v>1</v>
      </c>
      <c r="O55" s="13" t="s">
        <v>132</v>
      </c>
      <c r="P55" s="13" t="s">
        <v>133</v>
      </c>
      <c r="Q55" s="285">
        <v>-1181832650</v>
      </c>
      <c r="R55" s="13" t="s">
        <v>132</v>
      </c>
      <c r="S55" s="13" t="s">
        <v>133</v>
      </c>
      <c r="T55" s="13">
        <v>-1181832650</v>
      </c>
      <c r="U55" s="285" t="b">
        <f t="shared" si="0"/>
        <v>1</v>
      </c>
      <c r="V55" s="285">
        <f t="shared" si="1"/>
        <v>0</v>
      </c>
    </row>
    <row r="56" spans="2:22">
      <c r="B56" s="37" t="s">
        <v>134</v>
      </c>
      <c r="C56" s="2" t="s">
        <v>135</v>
      </c>
      <c r="D56" s="32">
        <v>22700000</v>
      </c>
      <c r="E56" s="32"/>
      <c r="F56" s="32"/>
      <c r="G56" s="32"/>
      <c r="H56" s="32"/>
      <c r="I56" s="32"/>
      <c r="J56" s="38" t="s">
        <v>128</v>
      </c>
      <c r="K56" s="2" t="s">
        <v>129</v>
      </c>
      <c r="L56" s="34"/>
      <c r="N56" s="13" t="b">
        <f t="shared" si="2"/>
        <v>1</v>
      </c>
      <c r="O56" s="13" t="s">
        <v>134</v>
      </c>
      <c r="P56" s="13" t="s">
        <v>135</v>
      </c>
      <c r="Q56" s="285">
        <v>22700000</v>
      </c>
      <c r="R56" s="13" t="s">
        <v>134</v>
      </c>
      <c r="S56" s="13" t="s">
        <v>135</v>
      </c>
      <c r="T56" s="13">
        <v>22700000</v>
      </c>
      <c r="U56" s="285" t="b">
        <f t="shared" si="0"/>
        <v>1</v>
      </c>
      <c r="V56" s="285">
        <f t="shared" si="1"/>
        <v>0</v>
      </c>
    </row>
    <row r="57" spans="2:22">
      <c r="B57" s="37" t="s">
        <v>136</v>
      </c>
      <c r="C57" s="2" t="s">
        <v>137</v>
      </c>
      <c r="D57" s="32">
        <v>-2604375</v>
      </c>
      <c r="E57" s="32"/>
      <c r="F57" s="32"/>
      <c r="G57" s="32"/>
      <c r="H57" s="32"/>
      <c r="I57" s="32"/>
      <c r="J57" s="38" t="s">
        <v>128</v>
      </c>
      <c r="K57" s="2" t="s">
        <v>129</v>
      </c>
      <c r="L57" s="34"/>
      <c r="N57" s="13" t="b">
        <f t="shared" si="2"/>
        <v>1</v>
      </c>
      <c r="O57" s="13" t="s">
        <v>136</v>
      </c>
      <c r="P57" s="13" t="s">
        <v>137</v>
      </c>
      <c r="Q57" s="285">
        <v>-2604375</v>
      </c>
      <c r="R57" s="13" t="s">
        <v>136</v>
      </c>
      <c r="S57" s="13" t="s">
        <v>137</v>
      </c>
      <c r="T57" s="13">
        <v>-2604375</v>
      </c>
      <c r="U57" s="285" t="b">
        <f t="shared" si="0"/>
        <v>1</v>
      </c>
      <c r="V57" s="285">
        <f t="shared" si="1"/>
        <v>0</v>
      </c>
    </row>
    <row r="58" spans="2:22">
      <c r="B58" s="37" t="s">
        <v>138</v>
      </c>
      <c r="C58" s="2" t="s">
        <v>139</v>
      </c>
      <c r="D58" s="32">
        <v>5656057289</v>
      </c>
      <c r="E58" s="32"/>
      <c r="F58" s="32"/>
      <c r="G58" s="32"/>
      <c r="H58" s="32"/>
      <c r="I58" s="32"/>
      <c r="J58" s="38" t="s">
        <v>128</v>
      </c>
      <c r="K58" s="2" t="s">
        <v>129</v>
      </c>
      <c r="L58" s="34"/>
      <c r="N58" s="13" t="b">
        <f t="shared" si="2"/>
        <v>1</v>
      </c>
      <c r="O58" s="13" t="s">
        <v>138</v>
      </c>
      <c r="P58" s="13" t="s">
        <v>139</v>
      </c>
      <c r="Q58" s="285">
        <v>5656057289</v>
      </c>
      <c r="R58" s="13" t="s">
        <v>138</v>
      </c>
      <c r="S58" s="13" t="s">
        <v>139</v>
      </c>
      <c r="T58" s="13">
        <v>5656057289</v>
      </c>
      <c r="U58" s="285" t="b">
        <f t="shared" si="0"/>
        <v>1</v>
      </c>
      <c r="V58" s="285">
        <f t="shared" si="1"/>
        <v>0</v>
      </c>
    </row>
    <row r="59" spans="2:22">
      <c r="B59" s="37" t="s">
        <v>140</v>
      </c>
      <c r="C59" s="2" t="s">
        <v>141</v>
      </c>
      <c r="D59" s="32">
        <v>-2498226496</v>
      </c>
      <c r="E59" s="32"/>
      <c r="F59" s="32"/>
      <c r="G59" s="32"/>
      <c r="H59" s="32"/>
      <c r="I59" s="32"/>
      <c r="J59" s="38" t="s">
        <v>128</v>
      </c>
      <c r="K59" s="2" t="s">
        <v>129</v>
      </c>
      <c r="L59" s="34"/>
      <c r="N59" s="13" t="b">
        <f t="shared" si="2"/>
        <v>1</v>
      </c>
      <c r="O59" s="13" t="s">
        <v>140</v>
      </c>
      <c r="P59" s="13" t="s">
        <v>141</v>
      </c>
      <c r="Q59" s="285">
        <v>-2498226496</v>
      </c>
      <c r="R59" s="13" t="s">
        <v>140</v>
      </c>
      <c r="S59" s="13" t="s">
        <v>141</v>
      </c>
      <c r="T59" s="13">
        <v>-2498226496</v>
      </c>
      <c r="U59" s="285" t="b">
        <f t="shared" si="0"/>
        <v>1</v>
      </c>
      <c r="V59" s="285">
        <f t="shared" si="1"/>
        <v>0</v>
      </c>
    </row>
    <row r="60" spans="2:22">
      <c r="B60" s="37" t="s">
        <v>142</v>
      </c>
      <c r="C60" s="2" t="s">
        <v>143</v>
      </c>
      <c r="D60" s="32">
        <v>0</v>
      </c>
      <c r="E60" s="32"/>
      <c r="F60" s="32"/>
      <c r="G60" s="32"/>
      <c r="H60" s="32"/>
      <c r="I60" s="32"/>
      <c r="J60" s="38" t="s">
        <v>128</v>
      </c>
      <c r="K60" s="2" t="s">
        <v>129</v>
      </c>
      <c r="L60" s="34"/>
      <c r="N60" s="13" t="b">
        <f t="shared" si="2"/>
        <v>1</v>
      </c>
      <c r="O60" s="13" t="s">
        <v>142</v>
      </c>
      <c r="P60" s="13" t="s">
        <v>143</v>
      </c>
      <c r="Q60" s="285">
        <v>0</v>
      </c>
      <c r="R60" s="13" t="s">
        <v>142</v>
      </c>
      <c r="S60" s="13" t="s">
        <v>143</v>
      </c>
      <c r="T60" s="13">
        <v>0</v>
      </c>
      <c r="U60" s="285" t="b">
        <f t="shared" si="0"/>
        <v>1</v>
      </c>
      <c r="V60" s="285">
        <f t="shared" si="1"/>
        <v>0</v>
      </c>
    </row>
    <row r="61" spans="2:22">
      <c r="B61" s="37" t="s">
        <v>144</v>
      </c>
      <c r="C61" s="2" t="s">
        <v>145</v>
      </c>
      <c r="D61" s="32">
        <v>34420100</v>
      </c>
      <c r="E61" s="32"/>
      <c r="F61" s="32"/>
      <c r="G61" s="32"/>
      <c r="H61" s="32"/>
      <c r="I61" s="32"/>
      <c r="J61" s="38" t="s">
        <v>128</v>
      </c>
      <c r="K61" s="2" t="s">
        <v>129</v>
      </c>
      <c r="L61" s="34"/>
      <c r="N61" s="13" t="b">
        <f t="shared" si="2"/>
        <v>1</v>
      </c>
      <c r="O61" s="13" t="s">
        <v>144</v>
      </c>
      <c r="P61" s="13" t="s">
        <v>145</v>
      </c>
      <c r="Q61" s="285">
        <v>34420100</v>
      </c>
      <c r="R61" s="13" t="s">
        <v>144</v>
      </c>
      <c r="S61" s="13" t="s">
        <v>145</v>
      </c>
      <c r="T61" s="13">
        <v>34420100</v>
      </c>
      <c r="U61" s="285" t="b">
        <f t="shared" si="0"/>
        <v>1</v>
      </c>
      <c r="V61" s="285">
        <f t="shared" si="1"/>
        <v>0</v>
      </c>
    </row>
    <row r="62" spans="2:22">
      <c r="B62" s="39" t="s">
        <v>146</v>
      </c>
      <c r="C62" s="2" t="s">
        <v>147</v>
      </c>
      <c r="D62" s="32">
        <v>-25072282</v>
      </c>
      <c r="E62" s="32"/>
      <c r="F62" s="32"/>
      <c r="G62" s="32"/>
      <c r="H62" s="32"/>
      <c r="I62" s="32"/>
      <c r="J62" s="38" t="s">
        <v>128</v>
      </c>
      <c r="K62" s="2" t="s">
        <v>129</v>
      </c>
      <c r="L62" s="34"/>
      <c r="N62" s="13" t="b">
        <f t="shared" si="2"/>
        <v>1</v>
      </c>
      <c r="O62" s="13" t="s">
        <v>146</v>
      </c>
      <c r="P62" s="13" t="s">
        <v>147</v>
      </c>
      <c r="Q62" s="285">
        <v>-25072282</v>
      </c>
      <c r="R62" s="13" t="s">
        <v>146</v>
      </c>
      <c r="S62" s="13" t="s">
        <v>147</v>
      </c>
      <c r="T62" s="13">
        <v>-25072282</v>
      </c>
      <c r="U62" s="285" t="b">
        <f t="shared" si="0"/>
        <v>1</v>
      </c>
      <c r="V62" s="285">
        <f t="shared" si="1"/>
        <v>0</v>
      </c>
    </row>
    <row r="63" spans="2:22">
      <c r="B63" s="37" t="s">
        <v>148</v>
      </c>
      <c r="C63" s="2" t="s">
        <v>149</v>
      </c>
      <c r="D63" s="32">
        <v>176435000</v>
      </c>
      <c r="E63" s="32"/>
      <c r="F63" s="32"/>
      <c r="G63" s="32"/>
      <c r="H63" s="32"/>
      <c r="I63" s="32"/>
      <c r="J63" s="38" t="s">
        <v>128</v>
      </c>
      <c r="K63" s="2" t="s">
        <v>129</v>
      </c>
      <c r="L63" s="34"/>
      <c r="N63" s="13" t="b">
        <f t="shared" si="2"/>
        <v>1</v>
      </c>
      <c r="O63" s="13" t="s">
        <v>148</v>
      </c>
      <c r="P63" s="13" t="s">
        <v>149</v>
      </c>
      <c r="Q63" s="285">
        <v>176435000</v>
      </c>
      <c r="R63" s="13" t="s">
        <v>148</v>
      </c>
      <c r="S63" s="13" t="s">
        <v>149</v>
      </c>
      <c r="T63" s="13">
        <v>176435000</v>
      </c>
      <c r="U63" s="285" t="b">
        <f t="shared" si="0"/>
        <v>1</v>
      </c>
      <c r="V63" s="285">
        <f t="shared" si="1"/>
        <v>0</v>
      </c>
    </row>
    <row r="64" spans="2:22">
      <c r="B64" s="37" t="s">
        <v>150</v>
      </c>
      <c r="C64" s="2" t="s">
        <v>151</v>
      </c>
      <c r="D64" s="32">
        <v>-136389679</v>
      </c>
      <c r="E64" s="32"/>
      <c r="F64" s="32"/>
      <c r="G64" s="32"/>
      <c r="H64" s="32"/>
      <c r="I64" s="32"/>
      <c r="J64" s="38" t="s">
        <v>128</v>
      </c>
      <c r="K64" s="2" t="s">
        <v>129</v>
      </c>
      <c r="L64" s="34"/>
      <c r="N64" s="13" t="b">
        <f t="shared" si="2"/>
        <v>1</v>
      </c>
      <c r="O64" s="13" t="s">
        <v>150</v>
      </c>
      <c r="P64" s="13" t="s">
        <v>151</v>
      </c>
      <c r="Q64" s="285">
        <v>-136389679</v>
      </c>
      <c r="R64" s="13" t="s">
        <v>150</v>
      </c>
      <c r="S64" s="13" t="s">
        <v>151</v>
      </c>
      <c r="T64" s="13">
        <v>-136389679</v>
      </c>
      <c r="U64" s="285" t="b">
        <f t="shared" si="0"/>
        <v>1</v>
      </c>
      <c r="V64" s="285">
        <f t="shared" si="1"/>
        <v>0</v>
      </c>
    </row>
    <row r="65" spans="2:22">
      <c r="B65" s="37" t="s">
        <v>152</v>
      </c>
      <c r="C65" s="2" t="s">
        <v>153</v>
      </c>
      <c r="D65" s="32">
        <v>0</v>
      </c>
      <c r="E65" s="32"/>
      <c r="F65" s="32"/>
      <c r="G65" s="32"/>
      <c r="H65" s="32"/>
      <c r="I65" s="32"/>
      <c r="J65" s="38" t="s">
        <v>128</v>
      </c>
      <c r="K65" s="2" t="s">
        <v>129</v>
      </c>
      <c r="L65" s="34"/>
      <c r="N65" s="13" t="b">
        <f t="shared" si="2"/>
        <v>1</v>
      </c>
      <c r="O65" s="13" t="s">
        <v>152</v>
      </c>
      <c r="P65" s="13" t="s">
        <v>153</v>
      </c>
      <c r="Q65" s="285">
        <v>0</v>
      </c>
      <c r="R65" s="13" t="s">
        <v>152</v>
      </c>
      <c r="S65" s="13" t="s">
        <v>153</v>
      </c>
      <c r="T65" s="13">
        <v>0</v>
      </c>
      <c r="U65" s="285" t="b">
        <f t="shared" si="0"/>
        <v>1</v>
      </c>
      <c r="V65" s="285">
        <f t="shared" si="1"/>
        <v>0</v>
      </c>
    </row>
    <row r="66" spans="2:22">
      <c r="B66" s="37" t="s">
        <v>154</v>
      </c>
      <c r="C66" s="2" t="s">
        <v>155</v>
      </c>
      <c r="D66" s="32">
        <v>1167831562</v>
      </c>
      <c r="E66" s="32"/>
      <c r="F66" s="32"/>
      <c r="G66" s="32"/>
      <c r="H66" s="32"/>
      <c r="I66" s="32"/>
      <c r="J66" s="38" t="s">
        <v>128</v>
      </c>
      <c r="K66" s="2" t="s">
        <v>129</v>
      </c>
      <c r="L66" s="34"/>
      <c r="N66" s="13" t="b">
        <f t="shared" si="2"/>
        <v>1</v>
      </c>
      <c r="O66" s="13" t="s">
        <v>154</v>
      </c>
      <c r="P66" s="13" t="s">
        <v>155</v>
      </c>
      <c r="Q66" s="285">
        <v>1167831562</v>
      </c>
      <c r="R66" s="13" t="s">
        <v>154</v>
      </c>
      <c r="S66" s="13" t="s">
        <v>155</v>
      </c>
      <c r="T66" s="13">
        <v>1167831562</v>
      </c>
      <c r="U66" s="285" t="b">
        <f t="shared" si="0"/>
        <v>1</v>
      </c>
      <c r="V66" s="285">
        <f t="shared" si="1"/>
        <v>0</v>
      </c>
    </row>
    <row r="67" spans="2:22">
      <c r="B67" s="37" t="s">
        <v>156</v>
      </c>
      <c r="C67" s="2" t="s">
        <v>157</v>
      </c>
      <c r="D67" s="32">
        <v>-739926609</v>
      </c>
      <c r="E67" s="32"/>
      <c r="F67" s="32"/>
      <c r="G67" s="32"/>
      <c r="H67" s="32"/>
      <c r="I67" s="32"/>
      <c r="J67" s="38" t="s">
        <v>128</v>
      </c>
      <c r="K67" s="2" t="s">
        <v>129</v>
      </c>
      <c r="L67" s="34"/>
      <c r="N67" s="13" t="b">
        <f t="shared" si="2"/>
        <v>1</v>
      </c>
      <c r="O67" s="13" t="s">
        <v>156</v>
      </c>
      <c r="P67" s="13" t="s">
        <v>157</v>
      </c>
      <c r="Q67" s="285">
        <v>-739926609</v>
      </c>
      <c r="R67" s="13" t="s">
        <v>156</v>
      </c>
      <c r="S67" s="13" t="s">
        <v>157</v>
      </c>
      <c r="T67" s="13">
        <v>-739926609</v>
      </c>
      <c r="U67" s="285" t="b">
        <f t="shared" si="0"/>
        <v>1</v>
      </c>
      <c r="V67" s="285">
        <f t="shared" si="1"/>
        <v>0</v>
      </c>
    </row>
    <row r="68" spans="2:22">
      <c r="B68" s="37" t="s">
        <v>158</v>
      </c>
      <c r="C68" s="2" t="s">
        <v>159</v>
      </c>
      <c r="D68" s="32">
        <v>114269418</v>
      </c>
      <c r="E68" s="32"/>
      <c r="F68" s="32"/>
      <c r="G68" s="32"/>
      <c r="H68" s="32"/>
      <c r="I68" s="32"/>
      <c r="J68" s="38" t="s">
        <v>128</v>
      </c>
      <c r="K68" s="2" t="s">
        <v>129</v>
      </c>
      <c r="L68" s="34"/>
      <c r="N68" s="13" t="b">
        <f t="shared" si="2"/>
        <v>1</v>
      </c>
      <c r="O68" s="13" t="s">
        <v>158</v>
      </c>
      <c r="P68" s="13" t="s">
        <v>159</v>
      </c>
      <c r="Q68" s="285">
        <v>114269418</v>
      </c>
      <c r="R68" s="13" t="s">
        <v>158</v>
      </c>
      <c r="S68" s="13" t="s">
        <v>159</v>
      </c>
      <c r="T68" s="13">
        <v>114269418</v>
      </c>
      <c r="U68" s="285" t="b">
        <f t="shared" si="0"/>
        <v>1</v>
      </c>
      <c r="V68" s="285">
        <f t="shared" si="1"/>
        <v>0</v>
      </c>
    </row>
    <row r="69" spans="2:22">
      <c r="B69" s="37" t="s">
        <v>160</v>
      </c>
      <c r="C69" s="2" t="s">
        <v>161</v>
      </c>
      <c r="D69" s="32">
        <v>1449267723</v>
      </c>
      <c r="E69" s="32"/>
      <c r="F69" s="32"/>
      <c r="G69" s="32"/>
      <c r="H69" s="32"/>
      <c r="I69" s="32"/>
      <c r="J69" s="38" t="s">
        <v>128</v>
      </c>
      <c r="K69" s="2" t="s">
        <v>129</v>
      </c>
      <c r="L69" s="34"/>
      <c r="N69" s="13" t="b">
        <f t="shared" si="2"/>
        <v>1</v>
      </c>
      <c r="O69" s="13" t="s">
        <v>160</v>
      </c>
      <c r="P69" s="13" t="s">
        <v>161</v>
      </c>
      <c r="Q69" s="285">
        <v>1449267723</v>
      </c>
      <c r="R69" s="13" t="s">
        <v>160</v>
      </c>
      <c r="S69" s="13" t="s">
        <v>161</v>
      </c>
      <c r="T69" s="13">
        <v>1449267723</v>
      </c>
      <c r="U69" s="285" t="b">
        <f t="shared" si="0"/>
        <v>1</v>
      </c>
      <c r="V69" s="285">
        <f t="shared" si="1"/>
        <v>0</v>
      </c>
    </row>
    <row r="70" spans="2:22">
      <c r="B70" s="37" t="s">
        <v>162</v>
      </c>
      <c r="C70" s="2" t="s">
        <v>163</v>
      </c>
      <c r="D70" s="32">
        <v>-985887414</v>
      </c>
      <c r="E70" s="32"/>
      <c r="F70" s="32"/>
      <c r="G70" s="32"/>
      <c r="H70" s="32"/>
      <c r="I70" s="32"/>
      <c r="J70" s="38" t="s">
        <v>128</v>
      </c>
      <c r="K70" s="2" t="s">
        <v>129</v>
      </c>
      <c r="L70" s="34"/>
      <c r="N70" s="13" t="b">
        <f t="shared" si="2"/>
        <v>1</v>
      </c>
      <c r="O70" s="13" t="s">
        <v>162</v>
      </c>
      <c r="P70" s="13" t="s">
        <v>163</v>
      </c>
      <c r="Q70" s="285">
        <v>-985887414</v>
      </c>
      <c r="R70" s="13" t="s">
        <v>162</v>
      </c>
      <c r="S70" s="13" t="s">
        <v>163</v>
      </c>
      <c r="T70" s="13">
        <v>-985887414</v>
      </c>
      <c r="U70" s="285" t="b">
        <f t="shared" si="0"/>
        <v>1</v>
      </c>
      <c r="V70" s="285">
        <f t="shared" si="1"/>
        <v>0</v>
      </c>
    </row>
    <row r="71" spans="2:22">
      <c r="B71" s="37" t="s">
        <v>164</v>
      </c>
      <c r="C71" s="2" t="s">
        <v>165</v>
      </c>
      <c r="D71" s="32">
        <v>114089079</v>
      </c>
      <c r="E71" s="32"/>
      <c r="F71" s="32"/>
      <c r="G71" s="32"/>
      <c r="H71" s="32"/>
      <c r="I71" s="32"/>
      <c r="J71" s="38" t="s">
        <v>128</v>
      </c>
      <c r="K71" s="2" t="s">
        <v>129</v>
      </c>
      <c r="L71" s="34"/>
      <c r="N71" s="13" t="b">
        <f t="shared" si="2"/>
        <v>1</v>
      </c>
      <c r="O71" s="13" t="s">
        <v>164</v>
      </c>
      <c r="P71" s="13" t="s">
        <v>165</v>
      </c>
      <c r="Q71" s="285">
        <v>0</v>
      </c>
      <c r="R71" s="13" t="s">
        <v>164</v>
      </c>
      <c r="S71" s="13" t="s">
        <v>165</v>
      </c>
      <c r="T71" s="13">
        <v>0</v>
      </c>
      <c r="U71" s="285" t="b">
        <f t="shared" si="0"/>
        <v>1</v>
      </c>
      <c r="V71" s="285">
        <f t="shared" si="1"/>
        <v>0</v>
      </c>
    </row>
    <row r="72" spans="2:22">
      <c r="B72" s="37" t="s">
        <v>166</v>
      </c>
      <c r="C72" s="2" t="s">
        <v>167</v>
      </c>
      <c r="D72" s="32">
        <v>0</v>
      </c>
      <c r="E72" s="32"/>
      <c r="F72" s="32"/>
      <c r="G72" s="32"/>
      <c r="H72" s="32"/>
      <c r="I72" s="32"/>
      <c r="J72" s="38" t="s">
        <v>128</v>
      </c>
      <c r="K72" s="2" t="s">
        <v>129</v>
      </c>
      <c r="L72" s="34"/>
      <c r="N72" s="13" t="b">
        <f t="shared" si="2"/>
        <v>1</v>
      </c>
      <c r="O72" s="13" t="s">
        <v>166</v>
      </c>
      <c r="P72" s="13" t="s">
        <v>167</v>
      </c>
      <c r="Q72" s="285">
        <v>0</v>
      </c>
      <c r="R72" s="13" t="s">
        <v>166</v>
      </c>
      <c r="S72" s="13" t="s">
        <v>167</v>
      </c>
      <c r="T72" s="13">
        <v>0</v>
      </c>
      <c r="U72" s="285" t="b">
        <f t="shared" ref="U72:U135" si="3">O72=R72</f>
        <v>1</v>
      </c>
      <c r="V72" s="285">
        <f t="shared" ref="V72:V135" si="4">Q72-T72</f>
        <v>0</v>
      </c>
    </row>
    <row r="73" spans="2:22">
      <c r="B73" s="37"/>
      <c r="C73" s="2"/>
      <c r="D73" s="32"/>
      <c r="E73" s="32"/>
      <c r="F73" s="32"/>
      <c r="G73" s="32"/>
      <c r="H73" s="32"/>
      <c r="I73" s="32"/>
      <c r="J73" s="38"/>
      <c r="K73" s="2"/>
      <c r="L73" s="34"/>
      <c r="N73" s="13" t="b">
        <f t="shared" ref="N73:N136" si="5">O73=B73</f>
        <v>1</v>
      </c>
      <c r="Q73" s="285"/>
      <c r="U73" s="285" t="b">
        <f t="shared" si="3"/>
        <v>1</v>
      </c>
      <c r="V73" s="285">
        <f t="shared" si="4"/>
        <v>0</v>
      </c>
    </row>
    <row r="74" spans="2:22">
      <c r="B74" s="24" t="s">
        <v>918</v>
      </c>
      <c r="C74" s="25" t="s">
        <v>172</v>
      </c>
      <c r="D74" s="35">
        <v>378450698</v>
      </c>
      <c r="E74" s="35"/>
      <c r="F74" s="35"/>
      <c r="G74" s="35"/>
      <c r="H74" s="35"/>
      <c r="I74" s="32"/>
      <c r="J74" s="38">
        <v>0</v>
      </c>
      <c r="K74" s="2" t="s">
        <v>66</v>
      </c>
      <c r="L74" s="34"/>
      <c r="N74" s="13" t="b">
        <f t="shared" si="5"/>
        <v>1</v>
      </c>
      <c r="O74" s="13" t="s">
        <v>918</v>
      </c>
      <c r="P74" s="13" t="s">
        <v>172</v>
      </c>
      <c r="Q74" s="285">
        <v>378450698</v>
      </c>
      <c r="R74" s="13" t="s">
        <v>918</v>
      </c>
      <c r="S74" s="13" t="s">
        <v>172</v>
      </c>
      <c r="T74" s="13">
        <v>471457433</v>
      </c>
      <c r="U74" s="285" t="b">
        <f t="shared" si="3"/>
        <v>1</v>
      </c>
      <c r="V74" s="285">
        <f t="shared" si="4"/>
        <v>-93006735</v>
      </c>
    </row>
    <row r="75" spans="2:22">
      <c r="B75" s="37" t="s">
        <v>169</v>
      </c>
      <c r="C75" s="2" t="s">
        <v>170</v>
      </c>
      <c r="D75" s="32">
        <v>0</v>
      </c>
      <c r="E75" s="32"/>
      <c r="F75" s="32"/>
      <c r="G75" s="32"/>
      <c r="H75" s="32"/>
      <c r="I75" s="32"/>
      <c r="J75" s="38" t="s">
        <v>171</v>
      </c>
      <c r="K75" s="2" t="s">
        <v>172</v>
      </c>
      <c r="L75" s="34"/>
      <c r="N75" s="13" t="b">
        <f t="shared" si="5"/>
        <v>1</v>
      </c>
      <c r="O75" s="13" t="s">
        <v>169</v>
      </c>
      <c r="P75" s="13" t="s">
        <v>170</v>
      </c>
      <c r="Q75" s="285">
        <v>0</v>
      </c>
      <c r="R75" s="13" t="s">
        <v>169</v>
      </c>
      <c r="S75" s="13" t="s">
        <v>170</v>
      </c>
      <c r="T75" s="13">
        <v>93006735</v>
      </c>
      <c r="U75" s="285" t="b">
        <f t="shared" si="3"/>
        <v>1</v>
      </c>
      <c r="V75" s="285">
        <f t="shared" si="4"/>
        <v>-93006735</v>
      </c>
    </row>
    <row r="76" spans="2:22">
      <c r="B76" s="37" t="s">
        <v>173</v>
      </c>
      <c r="C76" s="2" t="s">
        <v>174</v>
      </c>
      <c r="D76" s="32">
        <v>110266289</v>
      </c>
      <c r="E76" s="32"/>
      <c r="F76" s="32"/>
      <c r="G76" s="32"/>
      <c r="H76" s="32"/>
      <c r="I76" s="32"/>
      <c r="J76" s="38" t="s">
        <v>171</v>
      </c>
      <c r="K76" s="2" t="s">
        <v>172</v>
      </c>
      <c r="L76" s="34"/>
      <c r="N76" s="13" t="b">
        <f t="shared" si="5"/>
        <v>1</v>
      </c>
      <c r="O76" s="13" t="s">
        <v>173</v>
      </c>
      <c r="P76" s="13" t="s">
        <v>174</v>
      </c>
      <c r="Q76" s="285">
        <v>110266289</v>
      </c>
      <c r="R76" s="13" t="s">
        <v>173</v>
      </c>
      <c r="S76" s="13" t="s">
        <v>174</v>
      </c>
      <c r="T76" s="13">
        <v>110266289</v>
      </c>
      <c r="U76" s="285" t="b">
        <f t="shared" si="3"/>
        <v>1</v>
      </c>
      <c r="V76" s="285">
        <f t="shared" si="4"/>
        <v>0</v>
      </c>
    </row>
    <row r="77" spans="2:22">
      <c r="B77" s="37" t="s">
        <v>847</v>
      </c>
      <c r="C77" s="2" t="s">
        <v>848</v>
      </c>
      <c r="D77" s="32">
        <v>-91389288</v>
      </c>
      <c r="E77" s="32"/>
      <c r="F77" s="32"/>
      <c r="G77" s="32"/>
      <c r="H77" s="32"/>
      <c r="I77" s="32"/>
      <c r="J77" s="38" t="s">
        <v>171</v>
      </c>
      <c r="K77" s="2" t="s">
        <v>172</v>
      </c>
      <c r="L77" s="34"/>
      <c r="N77" s="13" t="b">
        <f t="shared" si="5"/>
        <v>1</v>
      </c>
      <c r="O77" s="13" t="s">
        <v>847</v>
      </c>
      <c r="P77" s="13" t="s">
        <v>848</v>
      </c>
      <c r="Q77" s="285">
        <v>-91389288</v>
      </c>
      <c r="R77" s="13" t="s">
        <v>847</v>
      </c>
      <c r="S77" s="13" t="s">
        <v>848</v>
      </c>
      <c r="T77" s="13">
        <v>-91389288</v>
      </c>
      <c r="U77" s="285" t="b">
        <f t="shared" si="3"/>
        <v>1</v>
      </c>
      <c r="V77" s="285">
        <f t="shared" si="4"/>
        <v>0</v>
      </c>
    </row>
    <row r="78" spans="2:22">
      <c r="B78" s="37" t="s">
        <v>175</v>
      </c>
      <c r="C78" s="2" t="s">
        <v>176</v>
      </c>
      <c r="D78" s="32">
        <v>455258699</v>
      </c>
      <c r="E78" s="32"/>
      <c r="F78" s="32"/>
      <c r="G78" s="32"/>
      <c r="H78" s="32"/>
      <c r="I78" s="32"/>
      <c r="J78" s="38" t="s">
        <v>171</v>
      </c>
      <c r="K78" s="2" t="s">
        <v>172</v>
      </c>
      <c r="L78" s="34"/>
      <c r="N78" s="13" t="b">
        <f t="shared" si="5"/>
        <v>1</v>
      </c>
      <c r="O78" s="13" t="s">
        <v>175</v>
      </c>
      <c r="P78" s="13" t="s">
        <v>176</v>
      </c>
      <c r="Q78" s="285">
        <v>455258699</v>
      </c>
      <c r="R78" s="13" t="s">
        <v>175</v>
      </c>
      <c r="S78" s="13" t="s">
        <v>176</v>
      </c>
      <c r="T78" s="13">
        <v>455258699</v>
      </c>
      <c r="U78" s="285" t="b">
        <f t="shared" si="3"/>
        <v>1</v>
      </c>
      <c r="V78" s="285">
        <f t="shared" si="4"/>
        <v>0</v>
      </c>
    </row>
    <row r="79" spans="2:22">
      <c r="B79" s="37" t="s">
        <v>849</v>
      </c>
      <c r="C79" s="2" t="s">
        <v>850</v>
      </c>
      <c r="D79" s="32">
        <v>-268155002</v>
      </c>
      <c r="E79" s="32"/>
      <c r="F79" s="32"/>
      <c r="G79" s="32"/>
      <c r="H79" s="32"/>
      <c r="I79" s="32"/>
      <c r="J79" s="38" t="s">
        <v>171</v>
      </c>
      <c r="K79" s="2" t="s">
        <v>172</v>
      </c>
      <c r="L79" s="34"/>
      <c r="N79" s="13" t="b">
        <f t="shared" si="5"/>
        <v>1</v>
      </c>
      <c r="O79" s="13" t="s">
        <v>849</v>
      </c>
      <c r="P79" s="13" t="s">
        <v>850</v>
      </c>
      <c r="Q79" s="285">
        <v>-268155002</v>
      </c>
      <c r="R79" s="13" t="s">
        <v>849</v>
      </c>
      <c r="S79" s="13" t="s">
        <v>850</v>
      </c>
      <c r="T79" s="13">
        <v>-268155002</v>
      </c>
      <c r="U79" s="285" t="b">
        <f t="shared" si="3"/>
        <v>1</v>
      </c>
      <c r="V79" s="285">
        <f t="shared" si="4"/>
        <v>0</v>
      </c>
    </row>
    <row r="80" spans="2:22">
      <c r="B80" s="37" t="s">
        <v>177</v>
      </c>
      <c r="C80" s="2" t="s">
        <v>583</v>
      </c>
      <c r="D80" s="32">
        <v>172470000</v>
      </c>
      <c r="E80" s="32"/>
      <c r="F80" s="32"/>
      <c r="G80" s="32"/>
      <c r="H80" s="32"/>
      <c r="I80" s="32"/>
      <c r="J80" s="38" t="s">
        <v>171</v>
      </c>
      <c r="K80" s="2" t="s">
        <v>172</v>
      </c>
      <c r="L80" s="34"/>
      <c r="N80" s="13" t="b">
        <f t="shared" si="5"/>
        <v>1</v>
      </c>
      <c r="O80" s="13" t="s">
        <v>177</v>
      </c>
      <c r="P80" s="13" t="s">
        <v>583</v>
      </c>
      <c r="Q80" s="285">
        <v>172470000</v>
      </c>
      <c r="R80" s="13" t="s">
        <v>177</v>
      </c>
      <c r="S80" s="13" t="s">
        <v>583</v>
      </c>
      <c r="T80" s="13">
        <v>172470000</v>
      </c>
      <c r="U80" s="285" t="b">
        <f t="shared" si="3"/>
        <v>1</v>
      </c>
      <c r="V80" s="285">
        <f t="shared" si="4"/>
        <v>0</v>
      </c>
    </row>
    <row r="81" spans="2:22">
      <c r="B81" s="37" t="s">
        <v>179</v>
      </c>
      <c r="C81" s="2" t="s">
        <v>180</v>
      </c>
      <c r="D81" s="32">
        <v>0</v>
      </c>
      <c r="E81" s="32"/>
      <c r="F81" s="32"/>
      <c r="G81" s="32"/>
      <c r="H81" s="32"/>
      <c r="I81" s="32"/>
      <c r="J81" s="38" t="s">
        <v>171</v>
      </c>
      <c r="K81" s="2" t="s">
        <v>172</v>
      </c>
      <c r="L81" s="34"/>
      <c r="N81" s="13" t="b">
        <f t="shared" si="5"/>
        <v>1</v>
      </c>
      <c r="O81" s="13" t="s">
        <v>179</v>
      </c>
      <c r="P81" s="13" t="s">
        <v>180</v>
      </c>
      <c r="Q81" s="285">
        <v>0</v>
      </c>
      <c r="R81" s="13" t="s">
        <v>179</v>
      </c>
      <c r="S81" s="13" t="s">
        <v>180</v>
      </c>
      <c r="T81" s="13">
        <v>0</v>
      </c>
      <c r="U81" s="285" t="b">
        <f t="shared" si="3"/>
        <v>1</v>
      </c>
      <c r="V81" s="285">
        <f t="shared" si="4"/>
        <v>0</v>
      </c>
    </row>
    <row r="82" spans="2:22">
      <c r="B82" s="24" t="s">
        <v>919</v>
      </c>
      <c r="C82" s="25" t="s">
        <v>584</v>
      </c>
      <c r="D82" s="35">
        <v>221956948</v>
      </c>
      <c r="E82" s="35"/>
      <c r="F82" s="35"/>
      <c r="G82" s="35"/>
      <c r="H82" s="35"/>
      <c r="I82" s="32"/>
      <c r="J82" s="38"/>
      <c r="K82" s="2"/>
      <c r="L82" s="34"/>
      <c r="N82" s="13" t="b">
        <f t="shared" si="5"/>
        <v>1</v>
      </c>
      <c r="O82" s="13" t="s">
        <v>919</v>
      </c>
      <c r="P82" s="13" t="s">
        <v>584</v>
      </c>
      <c r="Q82" s="285">
        <v>337637899</v>
      </c>
      <c r="R82" s="13" t="s">
        <v>919</v>
      </c>
      <c r="S82" s="13" t="s">
        <v>584</v>
      </c>
      <c r="T82" s="13">
        <v>218295934</v>
      </c>
      <c r="U82" s="285" t="b">
        <f t="shared" si="3"/>
        <v>1</v>
      </c>
      <c r="V82" s="285">
        <f t="shared" si="4"/>
        <v>119341965</v>
      </c>
    </row>
    <row r="83" spans="2:22">
      <c r="B83" s="24" t="s">
        <v>183</v>
      </c>
      <c r="C83" s="25" t="s">
        <v>65</v>
      </c>
      <c r="D83" s="32">
        <v>169506948</v>
      </c>
      <c r="E83" s="32"/>
      <c r="F83" s="32"/>
      <c r="G83" s="32"/>
      <c r="H83" s="32"/>
      <c r="I83" s="32"/>
      <c r="J83" s="38" t="s">
        <v>184</v>
      </c>
      <c r="K83" s="2" t="s">
        <v>65</v>
      </c>
      <c r="L83" s="34"/>
      <c r="N83" s="13" t="b">
        <f t="shared" si="5"/>
        <v>1</v>
      </c>
      <c r="O83" s="13" t="s">
        <v>183</v>
      </c>
      <c r="P83" s="13" t="s">
        <v>65</v>
      </c>
      <c r="Q83" s="285">
        <v>285187899</v>
      </c>
      <c r="R83" s="13" t="s">
        <v>183</v>
      </c>
      <c r="S83" s="13" t="s">
        <v>65</v>
      </c>
      <c r="T83" s="13">
        <v>165845934</v>
      </c>
      <c r="U83" s="285" t="b">
        <f t="shared" si="3"/>
        <v>1</v>
      </c>
      <c r="V83" s="285">
        <f t="shared" si="4"/>
        <v>119341965</v>
      </c>
    </row>
    <row r="84" spans="2:22">
      <c r="B84" s="24" t="s">
        <v>116</v>
      </c>
      <c r="C84" s="25" t="s">
        <v>117</v>
      </c>
      <c r="D84" s="32">
        <v>0</v>
      </c>
      <c r="E84" s="32"/>
      <c r="F84" s="32"/>
      <c r="G84" s="32"/>
      <c r="H84" s="32"/>
      <c r="I84" s="32"/>
      <c r="J84" s="38" t="s">
        <v>118</v>
      </c>
      <c r="K84" s="2" t="s">
        <v>117</v>
      </c>
      <c r="L84" s="34"/>
      <c r="N84" s="13" t="b">
        <f t="shared" si="5"/>
        <v>1</v>
      </c>
      <c r="O84" s="13" t="s">
        <v>116</v>
      </c>
      <c r="P84" s="13" t="s">
        <v>117</v>
      </c>
      <c r="Q84" s="285">
        <v>0</v>
      </c>
      <c r="R84" s="13" t="s">
        <v>116</v>
      </c>
      <c r="S84" s="13" t="s">
        <v>117</v>
      </c>
      <c r="T84" s="13">
        <v>0</v>
      </c>
      <c r="U84" s="285" t="b">
        <f t="shared" si="3"/>
        <v>1</v>
      </c>
      <c r="V84" s="285">
        <f t="shared" si="4"/>
        <v>0</v>
      </c>
    </row>
    <row r="85" spans="2:22">
      <c r="B85" s="24" t="s">
        <v>119</v>
      </c>
      <c r="C85" s="25" t="s">
        <v>120</v>
      </c>
      <c r="D85" s="32">
        <v>0</v>
      </c>
      <c r="E85" s="32"/>
      <c r="F85" s="32"/>
      <c r="G85" s="32"/>
      <c r="H85" s="32"/>
      <c r="I85" s="32"/>
      <c r="J85" s="38" t="s">
        <v>118</v>
      </c>
      <c r="K85" s="2" t="s">
        <v>117</v>
      </c>
      <c r="L85" s="34"/>
      <c r="N85" s="13" t="b">
        <f t="shared" si="5"/>
        <v>1</v>
      </c>
      <c r="O85" s="13" t="s">
        <v>119</v>
      </c>
      <c r="P85" s="13" t="s">
        <v>120</v>
      </c>
      <c r="Q85" s="285">
        <v>0</v>
      </c>
      <c r="R85" s="13" t="s">
        <v>119</v>
      </c>
      <c r="S85" s="13" t="s">
        <v>120</v>
      </c>
      <c r="T85" s="13">
        <v>0</v>
      </c>
      <c r="U85" s="285" t="b">
        <f t="shared" si="3"/>
        <v>1</v>
      </c>
      <c r="V85" s="285">
        <f t="shared" si="4"/>
        <v>0</v>
      </c>
    </row>
    <row r="86" spans="2:22">
      <c r="B86" s="24" t="s">
        <v>121</v>
      </c>
      <c r="C86" s="25" t="s">
        <v>122</v>
      </c>
      <c r="D86" s="32">
        <v>0</v>
      </c>
      <c r="E86" s="32"/>
      <c r="F86" s="32"/>
      <c r="G86" s="32"/>
      <c r="H86" s="32"/>
      <c r="I86" s="32"/>
      <c r="J86" s="38" t="s">
        <v>118</v>
      </c>
      <c r="K86" s="2" t="s">
        <v>117</v>
      </c>
      <c r="L86" s="34"/>
      <c r="N86" s="13" t="b">
        <f t="shared" si="5"/>
        <v>1</v>
      </c>
      <c r="O86" s="13" t="s">
        <v>121</v>
      </c>
      <c r="P86" s="13" t="s">
        <v>122</v>
      </c>
      <c r="Q86" s="285">
        <v>0</v>
      </c>
      <c r="R86" s="13" t="s">
        <v>121</v>
      </c>
      <c r="S86" s="13" t="s">
        <v>122</v>
      </c>
      <c r="T86" s="13">
        <v>0</v>
      </c>
      <c r="U86" s="285" t="b">
        <f t="shared" si="3"/>
        <v>1</v>
      </c>
      <c r="V86" s="285">
        <f t="shared" si="4"/>
        <v>0</v>
      </c>
    </row>
    <row r="87" spans="2:22">
      <c r="B87" s="24" t="s">
        <v>123</v>
      </c>
      <c r="C87" s="25" t="s">
        <v>124</v>
      </c>
      <c r="D87" s="32">
        <v>0</v>
      </c>
      <c r="E87" s="32"/>
      <c r="F87" s="32"/>
      <c r="G87" s="32"/>
      <c r="H87" s="32"/>
      <c r="I87" s="32"/>
      <c r="J87" s="38" t="s">
        <v>118</v>
      </c>
      <c r="K87" s="2" t="s">
        <v>117</v>
      </c>
      <c r="L87" s="34"/>
      <c r="N87" s="13" t="b">
        <f t="shared" si="5"/>
        <v>1</v>
      </c>
      <c r="O87" s="13" t="s">
        <v>123</v>
      </c>
      <c r="P87" s="13" t="s">
        <v>124</v>
      </c>
      <c r="Q87" s="285">
        <v>0</v>
      </c>
      <c r="R87" s="13" t="s">
        <v>123</v>
      </c>
      <c r="S87" s="13" t="s">
        <v>124</v>
      </c>
      <c r="T87" s="13">
        <v>0</v>
      </c>
      <c r="U87" s="285" t="b">
        <f t="shared" si="3"/>
        <v>1</v>
      </c>
      <c r="V87" s="285">
        <f t="shared" si="4"/>
        <v>0</v>
      </c>
    </row>
    <row r="88" spans="2:22">
      <c r="B88" s="24" t="s">
        <v>110</v>
      </c>
      <c r="C88" s="25" t="s">
        <v>111</v>
      </c>
      <c r="D88" s="32">
        <v>52450000</v>
      </c>
      <c r="E88" s="32"/>
      <c r="F88" s="32"/>
      <c r="G88" s="32"/>
      <c r="H88" s="32"/>
      <c r="I88" s="32"/>
      <c r="J88" s="38" t="s">
        <v>94</v>
      </c>
      <c r="K88" s="2" t="s">
        <v>95</v>
      </c>
      <c r="L88" s="34"/>
      <c r="N88" s="13" t="b">
        <f t="shared" si="5"/>
        <v>1</v>
      </c>
      <c r="O88" s="13" t="s">
        <v>110</v>
      </c>
      <c r="P88" s="13" t="s">
        <v>111</v>
      </c>
      <c r="Q88" s="285">
        <v>52450000</v>
      </c>
      <c r="R88" s="13" t="s">
        <v>110</v>
      </c>
      <c r="S88" s="13" t="s">
        <v>111</v>
      </c>
      <c r="T88" s="13">
        <v>52450000</v>
      </c>
      <c r="U88" s="285" t="b">
        <f t="shared" si="3"/>
        <v>1</v>
      </c>
      <c r="V88" s="285">
        <f t="shared" si="4"/>
        <v>0</v>
      </c>
    </row>
    <row r="89" spans="2:22">
      <c r="B89" s="24" t="s">
        <v>112</v>
      </c>
      <c r="C89" s="25" t="s">
        <v>113</v>
      </c>
      <c r="D89" s="32">
        <v>0</v>
      </c>
      <c r="E89" s="32"/>
      <c r="F89" s="32"/>
      <c r="G89" s="32"/>
      <c r="H89" s="32"/>
      <c r="I89" s="32"/>
      <c r="J89" s="38" t="s">
        <v>94</v>
      </c>
      <c r="K89" s="2" t="s">
        <v>95</v>
      </c>
      <c r="L89" s="34"/>
      <c r="N89" s="13" t="b">
        <f t="shared" si="5"/>
        <v>1</v>
      </c>
      <c r="O89" s="13" t="s">
        <v>112</v>
      </c>
      <c r="P89" s="13" t="s">
        <v>113</v>
      </c>
      <c r="Q89" s="285">
        <v>0</v>
      </c>
      <c r="R89" s="13" t="s">
        <v>112</v>
      </c>
      <c r="S89" s="13" t="s">
        <v>113</v>
      </c>
      <c r="T89" s="13">
        <v>0</v>
      </c>
      <c r="U89" s="285" t="b">
        <f t="shared" si="3"/>
        <v>1</v>
      </c>
      <c r="V89" s="285">
        <f t="shared" si="4"/>
        <v>0</v>
      </c>
    </row>
    <row r="90" spans="2:22">
      <c r="B90" s="24"/>
      <c r="C90" s="25"/>
      <c r="D90" s="32">
        <v>0</v>
      </c>
      <c r="E90" s="32"/>
      <c r="F90" s="32"/>
      <c r="G90" s="32"/>
      <c r="H90" s="32"/>
      <c r="I90" s="32"/>
      <c r="J90" s="38"/>
      <c r="K90" s="2"/>
      <c r="L90" s="34"/>
      <c r="N90" s="13" t="b">
        <f t="shared" si="5"/>
        <v>0</v>
      </c>
      <c r="O90" s="13" t="s">
        <v>952</v>
      </c>
      <c r="P90" s="13" t="s">
        <v>953</v>
      </c>
      <c r="Q90" s="285">
        <v>0</v>
      </c>
      <c r="R90" s="13" t="s">
        <v>114</v>
      </c>
      <c r="S90" s="13" t="s">
        <v>115</v>
      </c>
      <c r="T90" s="13">
        <v>0</v>
      </c>
      <c r="U90" s="285" t="b">
        <f t="shared" si="3"/>
        <v>0</v>
      </c>
      <c r="V90" s="285">
        <f t="shared" si="4"/>
        <v>0</v>
      </c>
    </row>
    <row r="91" spans="2:22">
      <c r="B91" s="24" t="s">
        <v>114</v>
      </c>
      <c r="C91" s="25" t="s">
        <v>115</v>
      </c>
      <c r="D91" s="32">
        <v>0</v>
      </c>
      <c r="E91" s="32"/>
      <c r="F91" s="32"/>
      <c r="G91" s="32"/>
      <c r="H91" s="32"/>
      <c r="I91" s="32"/>
      <c r="J91" s="38" t="s">
        <v>94</v>
      </c>
      <c r="K91" s="2" t="s">
        <v>95</v>
      </c>
      <c r="L91" s="34"/>
      <c r="N91" s="13" t="b">
        <f t="shared" si="5"/>
        <v>1</v>
      </c>
      <c r="O91" s="13" t="s">
        <v>114</v>
      </c>
      <c r="P91" s="13" t="s">
        <v>115</v>
      </c>
      <c r="Q91" s="285"/>
      <c r="U91" s="285" t="b">
        <f t="shared" si="3"/>
        <v>0</v>
      </c>
      <c r="V91" s="285">
        <f t="shared" si="4"/>
        <v>0</v>
      </c>
    </row>
    <row r="92" spans="2:22">
      <c r="B92" s="24"/>
      <c r="C92" s="25"/>
      <c r="D92" s="32"/>
      <c r="E92" s="32"/>
      <c r="F92" s="32"/>
      <c r="G92" s="32"/>
      <c r="H92" s="32"/>
      <c r="I92" s="32"/>
      <c r="J92" s="38"/>
      <c r="K92" s="2"/>
      <c r="L92" s="34"/>
      <c r="N92" s="13" t="b">
        <f t="shared" si="5"/>
        <v>1</v>
      </c>
      <c r="Q92" s="285"/>
      <c r="U92" s="285" t="b">
        <f t="shared" si="3"/>
        <v>1</v>
      </c>
      <c r="V92" s="285">
        <f t="shared" si="4"/>
        <v>0</v>
      </c>
    </row>
    <row r="93" spans="2:22">
      <c r="B93" s="29"/>
      <c r="C93" s="30" t="s">
        <v>185</v>
      </c>
      <c r="D93" s="31">
        <v>79092119276</v>
      </c>
      <c r="E93" s="31"/>
      <c r="F93" s="31"/>
      <c r="G93" s="31"/>
      <c r="H93" s="31"/>
      <c r="I93" s="32"/>
      <c r="J93" s="38">
        <v>0</v>
      </c>
      <c r="K93" s="2" t="s">
        <v>66</v>
      </c>
      <c r="L93" s="2"/>
      <c r="N93" s="13" t="b">
        <f t="shared" si="5"/>
        <v>1</v>
      </c>
      <c r="P93" s="13" t="s">
        <v>185</v>
      </c>
      <c r="Q93" s="285">
        <v>78551247672</v>
      </c>
      <c r="S93" s="13" t="s">
        <v>185</v>
      </c>
      <c r="T93" s="13">
        <v>79067375918</v>
      </c>
      <c r="U93" s="285" t="b">
        <f t="shared" si="3"/>
        <v>1</v>
      </c>
      <c r="V93" s="285">
        <f t="shared" si="4"/>
        <v>-516128246</v>
      </c>
    </row>
    <row r="94" spans="2:22">
      <c r="B94" s="29" t="s">
        <v>920</v>
      </c>
      <c r="C94" s="30" t="s">
        <v>586</v>
      </c>
      <c r="D94" s="31">
        <v>25754601315</v>
      </c>
      <c r="E94" s="31"/>
      <c r="F94" s="31"/>
      <c r="G94" s="31"/>
      <c r="H94" s="31"/>
      <c r="I94" s="32"/>
      <c r="J94" s="38">
        <v>0</v>
      </c>
      <c r="K94" s="2" t="s">
        <v>66</v>
      </c>
      <c r="L94" s="2"/>
      <c r="N94" s="13" t="b">
        <f t="shared" si="5"/>
        <v>1</v>
      </c>
      <c r="O94" s="13" t="s">
        <v>920</v>
      </c>
      <c r="P94" s="13" t="s">
        <v>586</v>
      </c>
      <c r="Q94" s="285">
        <v>25717834607</v>
      </c>
      <c r="R94" s="13" t="s">
        <v>920</v>
      </c>
      <c r="S94" s="13" t="s">
        <v>586</v>
      </c>
      <c r="T94" s="13">
        <v>25717834607</v>
      </c>
      <c r="U94" s="285" t="b">
        <f t="shared" si="3"/>
        <v>1</v>
      </c>
      <c r="V94" s="285">
        <f t="shared" si="4"/>
        <v>0</v>
      </c>
    </row>
    <row r="95" spans="2:22">
      <c r="B95" s="37" t="s">
        <v>188</v>
      </c>
      <c r="C95" s="2" t="s">
        <v>189</v>
      </c>
      <c r="D95" s="32">
        <v>1849995451</v>
      </c>
      <c r="E95" s="32"/>
      <c r="F95" s="32"/>
      <c r="G95" s="32"/>
      <c r="H95" s="32"/>
      <c r="I95" s="32"/>
      <c r="J95" s="38" t="s">
        <v>190</v>
      </c>
      <c r="K95" s="2" t="s">
        <v>191</v>
      </c>
      <c r="L95" s="2"/>
      <c r="N95" s="13" t="b">
        <f t="shared" si="5"/>
        <v>1</v>
      </c>
      <c r="O95" s="13" t="s">
        <v>188</v>
      </c>
      <c r="P95" s="13" t="s">
        <v>189</v>
      </c>
      <c r="Q95" s="285">
        <v>1849995451</v>
      </c>
      <c r="R95" s="13" t="s">
        <v>188</v>
      </c>
      <c r="S95" s="13" t="s">
        <v>189</v>
      </c>
      <c r="T95" s="13">
        <v>1849995451</v>
      </c>
      <c r="U95" s="285" t="b">
        <f t="shared" si="3"/>
        <v>1</v>
      </c>
      <c r="V95" s="285">
        <f t="shared" si="4"/>
        <v>0</v>
      </c>
    </row>
    <row r="96" spans="2:22">
      <c r="B96" s="37" t="s">
        <v>192</v>
      </c>
      <c r="C96" s="2" t="s">
        <v>193</v>
      </c>
      <c r="D96" s="32">
        <v>0</v>
      </c>
      <c r="E96" s="32"/>
      <c r="F96" s="32"/>
      <c r="G96" s="32"/>
      <c r="H96" s="32"/>
      <c r="I96" s="32"/>
      <c r="J96" s="38" t="s">
        <v>190</v>
      </c>
      <c r="K96" s="2" t="s">
        <v>191</v>
      </c>
      <c r="L96" s="2"/>
      <c r="N96" s="13" t="b">
        <f t="shared" si="5"/>
        <v>1</v>
      </c>
      <c r="O96" s="13" t="s">
        <v>192</v>
      </c>
      <c r="P96" s="13" t="s">
        <v>193</v>
      </c>
      <c r="Q96" s="285">
        <v>0</v>
      </c>
      <c r="R96" s="13" t="s">
        <v>192</v>
      </c>
      <c r="S96" s="13" t="s">
        <v>193</v>
      </c>
      <c r="T96" s="13">
        <v>0</v>
      </c>
      <c r="U96" s="285" t="b">
        <f t="shared" si="3"/>
        <v>1</v>
      </c>
      <c r="V96" s="285">
        <f t="shared" si="4"/>
        <v>0</v>
      </c>
    </row>
    <row r="97" spans="2:22">
      <c r="B97" s="37" t="s">
        <v>194</v>
      </c>
      <c r="C97" s="2" t="s">
        <v>195</v>
      </c>
      <c r="D97" s="32">
        <v>656526130</v>
      </c>
      <c r="E97" s="32"/>
      <c r="F97" s="32"/>
      <c r="G97" s="32"/>
      <c r="H97" s="32"/>
      <c r="I97" s="32"/>
      <c r="J97" s="38" t="s">
        <v>196</v>
      </c>
      <c r="K97" s="2" t="s">
        <v>197</v>
      </c>
      <c r="L97" s="2"/>
      <c r="N97" s="13" t="b">
        <f t="shared" si="5"/>
        <v>1</v>
      </c>
      <c r="O97" s="13" t="s">
        <v>194</v>
      </c>
      <c r="P97" s="13" t="s">
        <v>195</v>
      </c>
      <c r="Q97" s="285">
        <v>656526130</v>
      </c>
      <c r="R97" s="13" t="s">
        <v>194</v>
      </c>
      <c r="S97" s="13" t="s">
        <v>195</v>
      </c>
      <c r="T97" s="13">
        <v>656526130</v>
      </c>
      <c r="U97" s="285" t="b">
        <f t="shared" si="3"/>
        <v>1</v>
      </c>
      <c r="V97" s="285">
        <f t="shared" si="4"/>
        <v>0</v>
      </c>
    </row>
    <row r="98" spans="2:22">
      <c r="B98" s="37" t="s">
        <v>198</v>
      </c>
      <c r="C98" s="2" t="s">
        <v>199</v>
      </c>
      <c r="D98" s="32">
        <v>0</v>
      </c>
      <c r="E98" s="32"/>
      <c r="F98" s="32"/>
      <c r="G98" s="32"/>
      <c r="H98" s="32"/>
      <c r="I98" s="32"/>
      <c r="J98" s="38" t="s">
        <v>196</v>
      </c>
      <c r="K98" s="2" t="s">
        <v>197</v>
      </c>
      <c r="L98" s="2"/>
      <c r="N98" s="13" t="b">
        <f t="shared" si="5"/>
        <v>1</v>
      </c>
      <c r="O98" s="13" t="s">
        <v>198</v>
      </c>
      <c r="P98" s="13" t="s">
        <v>199</v>
      </c>
      <c r="Q98" s="285">
        <v>0</v>
      </c>
      <c r="R98" s="13" t="s">
        <v>198</v>
      </c>
      <c r="S98" s="13" t="s">
        <v>199</v>
      </c>
      <c r="T98" s="13">
        <v>0</v>
      </c>
      <c r="U98" s="285" t="b">
        <f t="shared" si="3"/>
        <v>1</v>
      </c>
      <c r="V98" s="285">
        <f t="shared" si="4"/>
        <v>0</v>
      </c>
    </row>
    <row r="99" spans="2:22">
      <c r="B99" s="37" t="s">
        <v>200</v>
      </c>
      <c r="C99" s="2" t="s">
        <v>201</v>
      </c>
      <c r="D99" s="32">
        <v>242322508</v>
      </c>
      <c r="E99" s="32"/>
      <c r="F99" s="32"/>
      <c r="G99" s="32"/>
      <c r="H99" s="32"/>
      <c r="I99" s="32"/>
      <c r="J99" s="38" t="s">
        <v>202</v>
      </c>
      <c r="K99" s="2" t="s">
        <v>203</v>
      </c>
      <c r="L99" s="2"/>
      <c r="N99" s="13" t="b">
        <f t="shared" si="5"/>
        <v>1</v>
      </c>
      <c r="O99" s="13" t="s">
        <v>200</v>
      </c>
      <c r="P99" s="13" t="s">
        <v>201</v>
      </c>
      <c r="Q99" s="285">
        <v>242322508</v>
      </c>
      <c r="R99" s="13" t="s">
        <v>200</v>
      </c>
      <c r="S99" s="13" t="s">
        <v>201</v>
      </c>
      <c r="T99" s="13">
        <v>242322508</v>
      </c>
      <c r="U99" s="285" t="b">
        <f t="shared" si="3"/>
        <v>1</v>
      </c>
      <c r="V99" s="285">
        <f t="shared" si="4"/>
        <v>0</v>
      </c>
    </row>
    <row r="100" spans="2:22">
      <c r="B100" s="37"/>
      <c r="C100" s="2"/>
      <c r="D100" s="32">
        <v>0</v>
      </c>
      <c r="E100" s="32"/>
      <c r="F100" s="32"/>
      <c r="G100" s="32"/>
      <c r="H100" s="32"/>
      <c r="I100" s="32"/>
      <c r="J100" s="38"/>
      <c r="K100" s="2"/>
      <c r="L100" s="2"/>
      <c r="N100" s="13" t="b">
        <f t="shared" si="5"/>
        <v>0</v>
      </c>
      <c r="O100" s="13" t="s">
        <v>954</v>
      </c>
      <c r="P100" s="13" t="s">
        <v>955</v>
      </c>
      <c r="Q100" s="285">
        <v>5756000</v>
      </c>
      <c r="R100" s="13" t="s">
        <v>851</v>
      </c>
      <c r="S100" s="13" t="s">
        <v>852</v>
      </c>
      <c r="T100" s="13">
        <v>5756000</v>
      </c>
      <c r="U100" s="285" t="b">
        <f t="shared" si="3"/>
        <v>0</v>
      </c>
      <c r="V100" s="285">
        <f t="shared" si="4"/>
        <v>0</v>
      </c>
    </row>
    <row r="101" spans="2:22">
      <c r="B101" s="37" t="s">
        <v>851</v>
      </c>
      <c r="C101" s="2" t="s">
        <v>852</v>
      </c>
      <c r="D101" s="32">
        <v>5756000</v>
      </c>
      <c r="E101" s="32"/>
      <c r="F101" s="32"/>
      <c r="G101" s="32"/>
      <c r="H101" s="32"/>
      <c r="I101" s="32"/>
      <c r="J101" s="38" t="s">
        <v>196</v>
      </c>
      <c r="K101" s="2" t="s">
        <v>197</v>
      </c>
      <c r="L101" s="2"/>
      <c r="N101" s="13" t="b">
        <f t="shared" si="5"/>
        <v>1</v>
      </c>
      <c r="O101" s="13" t="s">
        <v>851</v>
      </c>
      <c r="P101" s="13" t="s">
        <v>852</v>
      </c>
      <c r="Q101" s="285">
        <v>0</v>
      </c>
      <c r="R101" s="13" t="s">
        <v>204</v>
      </c>
      <c r="S101" s="13" t="s">
        <v>205</v>
      </c>
      <c r="T101" s="13">
        <v>0</v>
      </c>
      <c r="U101" s="285" t="b">
        <f t="shared" si="3"/>
        <v>0</v>
      </c>
      <c r="V101" s="285">
        <f t="shared" si="4"/>
        <v>0</v>
      </c>
    </row>
    <row r="102" spans="2:22">
      <c r="B102" s="37"/>
      <c r="C102" s="2"/>
      <c r="D102" s="32">
        <v>0</v>
      </c>
      <c r="E102" s="32"/>
      <c r="F102" s="32"/>
      <c r="G102" s="32"/>
      <c r="H102" s="32"/>
      <c r="I102" s="32"/>
      <c r="J102" s="38"/>
      <c r="K102" s="2"/>
      <c r="L102" s="2"/>
      <c r="N102" s="13" t="b">
        <f t="shared" si="5"/>
        <v>0</v>
      </c>
      <c r="O102" s="13" t="s">
        <v>956</v>
      </c>
      <c r="P102" s="13" t="s">
        <v>957</v>
      </c>
      <c r="Q102" s="285">
        <v>0</v>
      </c>
      <c r="R102" s="13" t="s">
        <v>853</v>
      </c>
      <c r="S102" s="13" t="s">
        <v>854</v>
      </c>
      <c r="T102" s="13">
        <v>0</v>
      </c>
      <c r="U102" s="285" t="b">
        <f t="shared" si="3"/>
        <v>0</v>
      </c>
      <c r="V102" s="285">
        <f t="shared" si="4"/>
        <v>0</v>
      </c>
    </row>
    <row r="103" spans="2:22">
      <c r="B103" s="37" t="s">
        <v>204</v>
      </c>
      <c r="C103" s="2" t="s">
        <v>205</v>
      </c>
      <c r="D103" s="32">
        <v>0</v>
      </c>
      <c r="E103" s="32"/>
      <c r="F103" s="32"/>
      <c r="G103" s="32"/>
      <c r="H103" s="32"/>
      <c r="I103" s="32"/>
      <c r="J103" s="38" t="s">
        <v>202</v>
      </c>
      <c r="K103" s="2" t="s">
        <v>203</v>
      </c>
      <c r="L103" s="2"/>
      <c r="N103" s="13" t="b">
        <f t="shared" si="5"/>
        <v>1</v>
      </c>
      <c r="O103" s="13" t="s">
        <v>204</v>
      </c>
      <c r="P103" s="13" t="s">
        <v>205</v>
      </c>
      <c r="Q103" s="285">
        <v>205234555</v>
      </c>
      <c r="R103" s="13" t="s">
        <v>206</v>
      </c>
      <c r="S103" s="13" t="s">
        <v>207</v>
      </c>
      <c r="T103" s="13">
        <v>205234555</v>
      </c>
      <c r="U103" s="285" t="b">
        <f t="shared" si="3"/>
        <v>0</v>
      </c>
      <c r="V103" s="285">
        <f t="shared" si="4"/>
        <v>0</v>
      </c>
    </row>
    <row r="104" spans="2:22">
      <c r="B104" s="37" t="s">
        <v>853</v>
      </c>
      <c r="C104" s="2" t="s">
        <v>854</v>
      </c>
      <c r="D104" s="32">
        <v>0</v>
      </c>
      <c r="E104" s="32"/>
      <c r="F104" s="32"/>
      <c r="G104" s="32"/>
      <c r="H104" s="32"/>
      <c r="I104" s="32"/>
      <c r="J104" s="38" t="s">
        <v>202</v>
      </c>
      <c r="K104" s="2" t="s">
        <v>203</v>
      </c>
      <c r="L104" s="2"/>
      <c r="N104" s="13" t="b">
        <f t="shared" si="5"/>
        <v>1</v>
      </c>
      <c r="O104" s="13" t="s">
        <v>853</v>
      </c>
      <c r="P104" s="13" t="s">
        <v>854</v>
      </c>
      <c r="Q104" s="285">
        <v>22000000000</v>
      </c>
      <c r="R104" s="13" t="s">
        <v>209</v>
      </c>
      <c r="S104" s="13" t="s">
        <v>210</v>
      </c>
      <c r="T104" s="13">
        <v>22000000000</v>
      </c>
      <c r="U104" s="285" t="b">
        <f t="shared" si="3"/>
        <v>0</v>
      </c>
      <c r="V104" s="285">
        <f t="shared" si="4"/>
        <v>0</v>
      </c>
    </row>
    <row r="105" spans="2:22">
      <c r="B105" s="37" t="s">
        <v>206</v>
      </c>
      <c r="C105" s="2" t="s">
        <v>207</v>
      </c>
      <c r="D105" s="32">
        <v>205234555</v>
      </c>
      <c r="E105" s="32"/>
      <c r="F105" s="32"/>
      <c r="G105" s="32"/>
      <c r="H105" s="32"/>
      <c r="I105" s="32"/>
      <c r="J105" s="38" t="s">
        <v>208</v>
      </c>
      <c r="K105" s="2" t="s">
        <v>207</v>
      </c>
      <c r="L105" s="2"/>
      <c r="N105" s="13" t="b">
        <f t="shared" si="5"/>
        <v>1</v>
      </c>
      <c r="O105" s="13" t="s">
        <v>206</v>
      </c>
      <c r="P105" s="13" t="s">
        <v>207</v>
      </c>
      <c r="Q105" s="285">
        <v>498818962</v>
      </c>
      <c r="R105" s="13" t="s">
        <v>213</v>
      </c>
      <c r="S105" s="13" t="s">
        <v>214</v>
      </c>
      <c r="T105" s="13">
        <v>498818962</v>
      </c>
      <c r="U105" s="285" t="b">
        <f t="shared" si="3"/>
        <v>0</v>
      </c>
      <c r="V105" s="285">
        <f t="shared" si="4"/>
        <v>0</v>
      </c>
    </row>
    <row r="106" spans="2:22">
      <c r="B106" s="37" t="s">
        <v>209</v>
      </c>
      <c r="C106" s="2" t="s">
        <v>210</v>
      </c>
      <c r="D106" s="32">
        <v>22000000000</v>
      </c>
      <c r="E106" s="32"/>
      <c r="F106" s="32"/>
      <c r="G106" s="32"/>
      <c r="H106" s="32"/>
      <c r="I106" s="32"/>
      <c r="J106" s="38" t="s">
        <v>211</v>
      </c>
      <c r="K106" s="2" t="s">
        <v>212</v>
      </c>
      <c r="L106" s="2"/>
      <c r="N106" s="13" t="b">
        <f t="shared" si="5"/>
        <v>1</v>
      </c>
      <c r="O106" s="13" t="s">
        <v>209</v>
      </c>
      <c r="P106" s="13" t="s">
        <v>210</v>
      </c>
      <c r="Q106" s="285">
        <v>259181001</v>
      </c>
      <c r="R106" s="13" t="s">
        <v>217</v>
      </c>
      <c r="S106" s="13" t="s">
        <v>218</v>
      </c>
      <c r="T106" s="13">
        <v>259181001</v>
      </c>
      <c r="U106" s="285" t="b">
        <f t="shared" si="3"/>
        <v>0</v>
      </c>
      <c r="V106" s="285">
        <f t="shared" si="4"/>
        <v>0</v>
      </c>
    </row>
    <row r="107" spans="2:22">
      <c r="B107" s="37" t="s">
        <v>213</v>
      </c>
      <c r="C107" s="2" t="s">
        <v>214</v>
      </c>
      <c r="D107" s="32">
        <v>498818962</v>
      </c>
      <c r="E107" s="32"/>
      <c r="F107" s="32"/>
      <c r="G107" s="32"/>
      <c r="H107" s="32"/>
      <c r="I107" s="32"/>
      <c r="J107" s="38" t="s">
        <v>215</v>
      </c>
      <c r="K107" s="2" t="s">
        <v>216</v>
      </c>
      <c r="L107" s="2"/>
      <c r="N107" s="13" t="b">
        <f t="shared" si="5"/>
        <v>1</v>
      </c>
      <c r="O107" s="13" t="s">
        <v>213</v>
      </c>
      <c r="P107" s="13" t="s">
        <v>214</v>
      </c>
      <c r="Q107" s="285">
        <v>0</v>
      </c>
      <c r="R107" s="13" t="s">
        <v>219</v>
      </c>
      <c r="S107" s="13" t="s">
        <v>220</v>
      </c>
      <c r="T107" s="13">
        <v>0</v>
      </c>
      <c r="U107" s="285" t="b">
        <f t="shared" si="3"/>
        <v>0</v>
      </c>
      <c r="V107" s="285">
        <f t="shared" si="4"/>
        <v>0</v>
      </c>
    </row>
    <row r="108" spans="2:22">
      <c r="B108" s="37" t="s">
        <v>217</v>
      </c>
      <c r="C108" s="2" t="s">
        <v>218</v>
      </c>
      <c r="D108" s="32">
        <v>116932763</v>
      </c>
      <c r="E108" s="32"/>
      <c r="F108" s="32"/>
      <c r="G108" s="32"/>
      <c r="H108" s="32"/>
      <c r="I108" s="32"/>
      <c r="J108" s="38" t="s">
        <v>202</v>
      </c>
      <c r="K108" s="2" t="s">
        <v>203</v>
      </c>
      <c r="L108" s="2"/>
      <c r="N108" s="13" t="b">
        <f t="shared" si="5"/>
        <v>1</v>
      </c>
      <c r="O108" s="13" t="s">
        <v>217</v>
      </c>
      <c r="P108" s="13" t="s">
        <v>218</v>
      </c>
      <c r="Q108" s="285">
        <v>0</v>
      </c>
      <c r="R108" s="13" t="s">
        <v>221</v>
      </c>
      <c r="S108" s="13" t="s">
        <v>222</v>
      </c>
      <c r="T108" s="13">
        <v>0</v>
      </c>
      <c r="U108" s="285" t="b">
        <f t="shared" si="3"/>
        <v>0</v>
      </c>
      <c r="V108" s="285">
        <f t="shared" si="4"/>
        <v>0</v>
      </c>
    </row>
    <row r="109" spans="2:22">
      <c r="B109" s="37" t="s">
        <v>219</v>
      </c>
      <c r="C109" s="2" t="s">
        <v>220</v>
      </c>
      <c r="D109" s="32">
        <v>0</v>
      </c>
      <c r="E109" s="32"/>
      <c r="F109" s="32"/>
      <c r="G109" s="32"/>
      <c r="H109" s="32"/>
      <c r="I109" s="32"/>
      <c r="J109" s="38" t="s">
        <v>211</v>
      </c>
      <c r="K109" s="2" t="s">
        <v>212</v>
      </c>
      <c r="L109" s="2"/>
      <c r="N109" s="13" t="b">
        <f t="shared" si="5"/>
        <v>1</v>
      </c>
      <c r="O109" s="13" t="s">
        <v>219</v>
      </c>
      <c r="P109" s="13" t="s">
        <v>220</v>
      </c>
      <c r="Q109" s="285">
        <v>0</v>
      </c>
      <c r="R109" s="13" t="s">
        <v>223</v>
      </c>
      <c r="S109" s="13" t="s">
        <v>224</v>
      </c>
      <c r="T109" s="13">
        <v>0</v>
      </c>
      <c r="U109" s="285" t="b">
        <f t="shared" si="3"/>
        <v>0</v>
      </c>
      <c r="V109" s="285">
        <f t="shared" si="4"/>
        <v>0</v>
      </c>
    </row>
    <row r="110" spans="2:22">
      <c r="B110" s="37" t="s">
        <v>221</v>
      </c>
      <c r="C110" s="2" t="s">
        <v>222</v>
      </c>
      <c r="D110" s="32">
        <v>142248238</v>
      </c>
      <c r="E110" s="32"/>
      <c r="F110" s="32"/>
      <c r="G110" s="32"/>
      <c r="H110" s="32"/>
      <c r="I110" s="32"/>
      <c r="J110" s="38" t="s">
        <v>202</v>
      </c>
      <c r="K110" s="2" t="s">
        <v>203</v>
      </c>
      <c r="L110" s="2"/>
      <c r="N110" s="13" t="b">
        <f t="shared" si="5"/>
        <v>1</v>
      </c>
      <c r="O110" s="13" t="s">
        <v>221</v>
      </c>
      <c r="P110" s="13" t="s">
        <v>222</v>
      </c>
      <c r="Q110" s="285">
        <v>0</v>
      </c>
      <c r="R110" s="13" t="s">
        <v>226</v>
      </c>
      <c r="S110" s="13" t="s">
        <v>227</v>
      </c>
      <c r="T110" s="13">
        <v>0</v>
      </c>
      <c r="U110" s="285" t="b">
        <f t="shared" si="3"/>
        <v>0</v>
      </c>
      <c r="V110" s="285">
        <f t="shared" si="4"/>
        <v>0</v>
      </c>
    </row>
    <row r="111" spans="2:22">
      <c r="B111" s="37" t="s">
        <v>223</v>
      </c>
      <c r="C111" s="2" t="s">
        <v>224</v>
      </c>
      <c r="D111" s="32">
        <v>39396000</v>
      </c>
      <c r="E111" s="32"/>
      <c r="F111" s="32"/>
      <c r="G111" s="32"/>
      <c r="H111" s="32"/>
      <c r="I111" s="32"/>
      <c r="J111" s="38" t="s">
        <v>225</v>
      </c>
      <c r="K111" s="2" t="s">
        <v>224</v>
      </c>
      <c r="L111" s="2"/>
      <c r="N111" s="13" t="b">
        <f t="shared" si="5"/>
        <v>1</v>
      </c>
      <c r="O111" s="13" t="s">
        <v>223</v>
      </c>
      <c r="P111" s="13" t="s">
        <v>224</v>
      </c>
      <c r="Q111" s="285">
        <v>0</v>
      </c>
      <c r="R111" s="13" t="s">
        <v>508</v>
      </c>
      <c r="S111" s="13" t="s">
        <v>509</v>
      </c>
      <c r="T111" s="13">
        <v>0</v>
      </c>
      <c r="U111" s="285" t="b">
        <f t="shared" si="3"/>
        <v>0</v>
      </c>
      <c r="V111" s="285">
        <f t="shared" si="4"/>
        <v>0</v>
      </c>
    </row>
    <row r="112" spans="2:22">
      <c r="B112" s="37" t="s">
        <v>226</v>
      </c>
      <c r="C112" s="2" t="s">
        <v>227</v>
      </c>
      <c r="D112" s="32">
        <v>-2629292</v>
      </c>
      <c r="E112" s="32"/>
      <c r="F112" s="32"/>
      <c r="G112" s="32"/>
      <c r="H112" s="32"/>
      <c r="I112" s="32"/>
      <c r="J112" s="38" t="s">
        <v>225</v>
      </c>
      <c r="K112" s="2" t="s">
        <v>224</v>
      </c>
      <c r="L112" s="2"/>
      <c r="N112" s="13" t="b">
        <f t="shared" si="5"/>
        <v>1</v>
      </c>
      <c r="O112" s="13" t="s">
        <v>226</v>
      </c>
      <c r="P112" s="13" t="s">
        <v>227</v>
      </c>
      <c r="Q112" s="285">
        <v>5000000</v>
      </c>
      <c r="R112" s="13" t="s">
        <v>921</v>
      </c>
      <c r="S112" s="13" t="s">
        <v>592</v>
      </c>
      <c r="T112" s="13">
        <v>5000000</v>
      </c>
      <c r="U112" s="285" t="b">
        <f t="shared" si="3"/>
        <v>0</v>
      </c>
      <c r="V112" s="285">
        <f t="shared" si="4"/>
        <v>0</v>
      </c>
    </row>
    <row r="113" spans="2:22">
      <c r="B113" s="37" t="s">
        <v>508</v>
      </c>
      <c r="C113" s="2" t="s">
        <v>509</v>
      </c>
      <c r="D113" s="32">
        <v>0</v>
      </c>
      <c r="E113" s="32"/>
      <c r="F113" s="32"/>
      <c r="G113" s="32"/>
      <c r="H113" s="32"/>
      <c r="I113" s="32"/>
      <c r="J113" s="38" t="s">
        <v>196</v>
      </c>
      <c r="K113" s="2" t="s">
        <v>197</v>
      </c>
      <c r="L113" s="2"/>
      <c r="N113" s="13" t="b">
        <f t="shared" si="5"/>
        <v>1</v>
      </c>
      <c r="O113" s="13" t="s">
        <v>508</v>
      </c>
      <c r="P113" s="13" t="s">
        <v>509</v>
      </c>
      <c r="Q113" s="285">
        <v>0</v>
      </c>
      <c r="R113" s="13" t="s">
        <v>229</v>
      </c>
      <c r="S113" s="13" t="s">
        <v>230</v>
      </c>
      <c r="T113" s="13">
        <v>0</v>
      </c>
      <c r="U113" s="285" t="b">
        <f t="shared" si="3"/>
        <v>0</v>
      </c>
      <c r="V113" s="285">
        <f t="shared" si="4"/>
        <v>0</v>
      </c>
    </row>
    <row r="114" spans="2:22">
      <c r="B114" s="29" t="s">
        <v>921</v>
      </c>
      <c r="C114" s="30" t="s">
        <v>592</v>
      </c>
      <c r="D114" s="31">
        <v>98963344</v>
      </c>
      <c r="E114" s="31"/>
      <c r="F114" s="31"/>
      <c r="G114" s="31"/>
      <c r="H114" s="31"/>
      <c r="I114" s="32"/>
      <c r="J114" s="38">
        <v>0</v>
      </c>
      <c r="K114" s="2" t="s">
        <v>66</v>
      </c>
      <c r="L114" s="2"/>
      <c r="N114" s="13" t="b">
        <f t="shared" si="5"/>
        <v>1</v>
      </c>
      <c r="O114" s="13" t="s">
        <v>921</v>
      </c>
      <c r="P114" s="13" t="s">
        <v>592</v>
      </c>
      <c r="Q114" s="285">
        <v>0</v>
      </c>
      <c r="R114" s="13" t="s">
        <v>233</v>
      </c>
      <c r="S114" s="13" t="s">
        <v>234</v>
      </c>
      <c r="T114" s="13">
        <v>0</v>
      </c>
      <c r="U114" s="285" t="b">
        <f t="shared" si="3"/>
        <v>0</v>
      </c>
      <c r="V114" s="285">
        <f t="shared" si="4"/>
        <v>0</v>
      </c>
    </row>
    <row r="115" spans="2:22">
      <c r="B115" s="37" t="s">
        <v>229</v>
      </c>
      <c r="C115" s="2" t="s">
        <v>230</v>
      </c>
      <c r="D115" s="32">
        <v>0</v>
      </c>
      <c r="E115" s="32"/>
      <c r="F115" s="32"/>
      <c r="G115" s="32"/>
      <c r="H115" s="32"/>
      <c r="I115" s="32"/>
      <c r="J115" s="38" t="s">
        <v>231</v>
      </c>
      <c r="K115" s="2">
        <v>0</v>
      </c>
      <c r="L115" s="2"/>
      <c r="N115" s="13" t="b">
        <f t="shared" si="5"/>
        <v>1</v>
      </c>
      <c r="O115" s="13" t="s">
        <v>229</v>
      </c>
      <c r="P115" s="13" t="s">
        <v>230</v>
      </c>
      <c r="Q115" s="285">
        <v>5000000</v>
      </c>
      <c r="R115" s="13" t="s">
        <v>237</v>
      </c>
      <c r="S115" s="13" t="s">
        <v>238</v>
      </c>
      <c r="T115" s="13">
        <v>5000000</v>
      </c>
      <c r="U115" s="285" t="b">
        <f t="shared" si="3"/>
        <v>0</v>
      </c>
      <c r="V115" s="285">
        <f t="shared" si="4"/>
        <v>0</v>
      </c>
    </row>
    <row r="116" spans="2:22">
      <c r="B116" s="37" t="s">
        <v>233</v>
      </c>
      <c r="C116" s="2" t="s">
        <v>234</v>
      </c>
      <c r="D116" s="32">
        <v>0</v>
      </c>
      <c r="E116" s="32"/>
      <c r="F116" s="32"/>
      <c r="G116" s="32"/>
      <c r="H116" s="32"/>
      <c r="I116" s="32"/>
      <c r="J116" s="38" t="s">
        <v>235</v>
      </c>
      <c r="K116" s="2" t="s">
        <v>236</v>
      </c>
      <c r="L116" s="2"/>
      <c r="N116" s="13" t="b">
        <f t="shared" si="5"/>
        <v>1</v>
      </c>
      <c r="O116" s="13" t="s">
        <v>233</v>
      </c>
      <c r="P116" s="13" t="s">
        <v>234</v>
      </c>
      <c r="Q116" s="285">
        <v>0</v>
      </c>
      <c r="R116" s="13" t="s">
        <v>510</v>
      </c>
      <c r="S116" s="13" t="s">
        <v>511</v>
      </c>
      <c r="T116" s="13">
        <v>0</v>
      </c>
      <c r="U116" s="285" t="b">
        <f t="shared" si="3"/>
        <v>0</v>
      </c>
      <c r="V116" s="285">
        <f t="shared" si="4"/>
        <v>0</v>
      </c>
    </row>
    <row r="117" spans="2:22">
      <c r="B117" s="37" t="s">
        <v>237</v>
      </c>
      <c r="C117" s="2" t="s">
        <v>238</v>
      </c>
      <c r="D117" s="32">
        <v>5000000</v>
      </c>
      <c r="E117" s="32"/>
      <c r="F117" s="32"/>
      <c r="G117" s="32"/>
      <c r="H117" s="32"/>
      <c r="I117" s="32"/>
      <c r="J117" s="38" t="s">
        <v>239</v>
      </c>
      <c r="K117" s="2" t="s">
        <v>240</v>
      </c>
      <c r="L117" s="2"/>
      <c r="N117" s="13" t="b">
        <f t="shared" si="5"/>
        <v>1</v>
      </c>
      <c r="O117" s="13" t="s">
        <v>237</v>
      </c>
      <c r="P117" s="13" t="s">
        <v>238</v>
      </c>
      <c r="Q117" s="285">
        <v>0</v>
      </c>
      <c r="R117" s="13" t="s">
        <v>241</v>
      </c>
      <c r="S117" s="13" t="s">
        <v>242</v>
      </c>
      <c r="T117" s="13">
        <v>0</v>
      </c>
      <c r="U117" s="285" t="b">
        <f t="shared" si="3"/>
        <v>0</v>
      </c>
      <c r="V117" s="285">
        <f t="shared" si="4"/>
        <v>0</v>
      </c>
    </row>
    <row r="118" spans="2:22">
      <c r="B118" s="37" t="s">
        <v>510</v>
      </c>
      <c r="C118" s="2" t="s">
        <v>511</v>
      </c>
      <c r="D118" s="32">
        <v>0</v>
      </c>
      <c r="E118" s="32"/>
      <c r="F118" s="32"/>
      <c r="G118" s="32"/>
      <c r="H118" s="32"/>
      <c r="I118" s="32"/>
      <c r="J118" s="38" t="s">
        <v>512</v>
      </c>
      <c r="K118" s="2" t="s">
        <v>513</v>
      </c>
      <c r="L118" s="2"/>
      <c r="N118" s="13" t="b">
        <f t="shared" si="5"/>
        <v>1</v>
      </c>
      <c r="O118" s="13" t="s">
        <v>510</v>
      </c>
      <c r="P118" s="13" t="s">
        <v>511</v>
      </c>
      <c r="Q118" s="285">
        <v>0</v>
      </c>
      <c r="R118" s="13" t="s">
        <v>243</v>
      </c>
      <c r="S118" s="13" t="s">
        <v>244</v>
      </c>
      <c r="T118" s="13">
        <v>0</v>
      </c>
      <c r="U118" s="285" t="b">
        <f t="shared" si="3"/>
        <v>0</v>
      </c>
      <c r="V118" s="285">
        <f t="shared" si="4"/>
        <v>0</v>
      </c>
    </row>
    <row r="119" spans="2:22">
      <c r="B119" s="37" t="s">
        <v>241</v>
      </c>
      <c r="C119" s="2" t="s">
        <v>242</v>
      </c>
      <c r="D119" s="32">
        <v>0</v>
      </c>
      <c r="E119" s="32"/>
      <c r="F119" s="32"/>
      <c r="G119" s="32"/>
      <c r="H119" s="32"/>
      <c r="I119" s="32"/>
      <c r="J119" s="38" t="s">
        <v>239</v>
      </c>
      <c r="K119" s="2" t="s">
        <v>240</v>
      </c>
      <c r="L119" s="34"/>
      <c r="N119" s="13" t="b">
        <f t="shared" si="5"/>
        <v>1</v>
      </c>
      <c r="O119" s="13" t="s">
        <v>241</v>
      </c>
      <c r="P119" s="13" t="s">
        <v>242</v>
      </c>
      <c r="Q119" s="285">
        <v>0</v>
      </c>
      <c r="R119" s="13" t="s">
        <v>247</v>
      </c>
      <c r="S119" s="13" t="s">
        <v>248</v>
      </c>
      <c r="T119" s="13">
        <v>0</v>
      </c>
      <c r="U119" s="285" t="b">
        <f t="shared" si="3"/>
        <v>0</v>
      </c>
      <c r="V119" s="285">
        <f t="shared" si="4"/>
        <v>0</v>
      </c>
    </row>
    <row r="120" spans="2:22">
      <c r="B120" s="37" t="s">
        <v>243</v>
      </c>
      <c r="C120" s="2" t="s">
        <v>244</v>
      </c>
      <c r="D120" s="32">
        <v>16640973</v>
      </c>
      <c r="E120" s="32"/>
      <c r="F120" s="32"/>
      <c r="G120" s="32"/>
      <c r="H120" s="32"/>
      <c r="I120" s="32"/>
      <c r="J120" s="38" t="s">
        <v>245</v>
      </c>
      <c r="K120" s="2" t="s">
        <v>246</v>
      </c>
      <c r="L120" s="34"/>
      <c r="N120" s="13" t="b">
        <f t="shared" si="5"/>
        <v>1</v>
      </c>
      <c r="O120" s="13" t="s">
        <v>243</v>
      </c>
      <c r="P120" s="13" t="s">
        <v>244</v>
      </c>
      <c r="Q120" s="285">
        <v>0</v>
      </c>
      <c r="R120" s="13" t="s">
        <v>250</v>
      </c>
      <c r="S120" s="13" t="s">
        <v>251</v>
      </c>
      <c r="T120" s="13">
        <v>0</v>
      </c>
      <c r="U120" s="285" t="b">
        <f t="shared" si="3"/>
        <v>0</v>
      </c>
      <c r="V120" s="285">
        <f t="shared" si="4"/>
        <v>0</v>
      </c>
    </row>
    <row r="121" spans="2:22">
      <c r="B121" s="37" t="s">
        <v>247</v>
      </c>
      <c r="C121" s="2" t="s">
        <v>248</v>
      </c>
      <c r="D121" s="32">
        <v>79998000</v>
      </c>
      <c r="E121" s="32"/>
      <c r="F121" s="32"/>
      <c r="G121" s="32"/>
      <c r="H121" s="32"/>
      <c r="I121" s="32"/>
      <c r="J121" s="38" t="s">
        <v>249</v>
      </c>
      <c r="K121" s="2" t="s">
        <v>248</v>
      </c>
      <c r="L121" s="34"/>
      <c r="N121" s="13" t="b">
        <f t="shared" si="5"/>
        <v>1</v>
      </c>
      <c r="O121" s="13" t="s">
        <v>247</v>
      </c>
      <c r="P121" s="13" t="s">
        <v>248</v>
      </c>
      <c r="Q121" s="285">
        <v>0</v>
      </c>
      <c r="R121" s="13" t="s">
        <v>906</v>
      </c>
      <c r="S121" s="13" t="s">
        <v>908</v>
      </c>
      <c r="T121" s="13">
        <v>0</v>
      </c>
      <c r="U121" s="285" t="b">
        <f t="shared" si="3"/>
        <v>0</v>
      </c>
      <c r="V121" s="285">
        <f t="shared" si="4"/>
        <v>0</v>
      </c>
    </row>
    <row r="122" spans="2:22">
      <c r="B122" s="37" t="s">
        <v>250</v>
      </c>
      <c r="C122" s="2" t="s">
        <v>251</v>
      </c>
      <c r="D122" s="32">
        <v>-2675629</v>
      </c>
      <c r="E122" s="32"/>
      <c r="F122" s="32"/>
      <c r="G122" s="32"/>
      <c r="H122" s="32"/>
      <c r="I122" s="32"/>
      <c r="J122" s="38" t="s">
        <v>249</v>
      </c>
      <c r="K122" s="2" t="s">
        <v>248</v>
      </c>
      <c r="L122" s="34"/>
      <c r="N122" s="13" t="b">
        <f t="shared" si="5"/>
        <v>1</v>
      </c>
      <c r="O122" s="13" t="s">
        <v>250</v>
      </c>
      <c r="P122" s="13" t="s">
        <v>251</v>
      </c>
      <c r="Q122" s="285">
        <v>25722834607</v>
      </c>
      <c r="S122" s="13" t="s">
        <v>252</v>
      </c>
      <c r="T122" s="13">
        <v>25722834607</v>
      </c>
      <c r="U122" s="285" t="b">
        <f t="shared" si="3"/>
        <v>0</v>
      </c>
      <c r="V122" s="285">
        <f t="shared" si="4"/>
        <v>0</v>
      </c>
    </row>
    <row r="123" spans="2:22">
      <c r="B123" s="37" t="s">
        <v>906</v>
      </c>
      <c r="C123" s="2" t="s">
        <v>908</v>
      </c>
      <c r="D123" s="32">
        <v>0</v>
      </c>
      <c r="E123" s="32"/>
      <c r="F123" s="32"/>
      <c r="G123" s="32"/>
      <c r="H123" s="32"/>
      <c r="I123" s="32"/>
      <c r="J123" s="38" t="s">
        <v>905</v>
      </c>
      <c r="K123" s="2" t="s">
        <v>908</v>
      </c>
      <c r="L123" s="34"/>
      <c r="N123" s="13" t="b">
        <f t="shared" si="5"/>
        <v>1</v>
      </c>
      <c r="O123" s="13" t="s">
        <v>906</v>
      </c>
      <c r="P123" s="13" t="s">
        <v>908</v>
      </c>
      <c r="Q123" s="285"/>
      <c r="S123" s="13" t="s">
        <v>253</v>
      </c>
      <c r="U123" s="285" t="b">
        <f t="shared" si="3"/>
        <v>0</v>
      </c>
      <c r="V123" s="285">
        <f t="shared" si="4"/>
        <v>0</v>
      </c>
    </row>
    <row r="124" spans="2:22">
      <c r="B124" s="29"/>
      <c r="C124" s="30" t="s">
        <v>252</v>
      </c>
      <c r="D124" s="31">
        <v>25853564659</v>
      </c>
      <c r="E124" s="31"/>
      <c r="F124" s="31"/>
      <c r="G124" s="31"/>
      <c r="H124" s="31"/>
      <c r="I124" s="32"/>
      <c r="J124" s="38">
        <v>0</v>
      </c>
      <c r="K124" s="2" t="s">
        <v>66</v>
      </c>
      <c r="L124" s="34"/>
      <c r="N124" s="13" t="b">
        <f t="shared" si="5"/>
        <v>1</v>
      </c>
      <c r="P124" s="13" t="s">
        <v>252</v>
      </c>
      <c r="Q124" s="285">
        <v>2548491000</v>
      </c>
      <c r="R124" s="13" t="s">
        <v>258</v>
      </c>
      <c r="S124" s="13" t="s">
        <v>259</v>
      </c>
      <c r="T124" s="13">
        <v>2548491000</v>
      </c>
      <c r="U124" s="285" t="b">
        <f t="shared" si="3"/>
        <v>0</v>
      </c>
      <c r="V124" s="285">
        <f t="shared" si="4"/>
        <v>0</v>
      </c>
    </row>
    <row r="125" spans="2:22">
      <c r="B125" s="24"/>
      <c r="C125" s="25" t="s">
        <v>253</v>
      </c>
      <c r="D125" s="35"/>
      <c r="E125" s="35"/>
      <c r="F125" s="35"/>
      <c r="G125" s="35"/>
      <c r="H125" s="35"/>
      <c r="I125" s="32"/>
      <c r="J125" s="38">
        <v>0</v>
      </c>
      <c r="K125" s="2" t="s">
        <v>66</v>
      </c>
      <c r="L125" s="34"/>
      <c r="N125" s="13" t="b">
        <f t="shared" si="5"/>
        <v>1</v>
      </c>
      <c r="P125" s="13" t="s">
        <v>253</v>
      </c>
      <c r="Q125" s="285">
        <v>2548491000</v>
      </c>
      <c r="R125" s="13" t="s">
        <v>256</v>
      </c>
      <c r="S125" s="13" t="s">
        <v>257</v>
      </c>
      <c r="T125" s="13">
        <v>2548491000</v>
      </c>
      <c r="U125" s="285" t="b">
        <f t="shared" si="3"/>
        <v>0</v>
      </c>
      <c r="V125" s="285">
        <f t="shared" si="4"/>
        <v>0</v>
      </c>
    </row>
    <row r="126" spans="2:22">
      <c r="B126" s="29" t="s">
        <v>258</v>
      </c>
      <c r="C126" s="30" t="s">
        <v>259</v>
      </c>
      <c r="D126" s="31">
        <v>2548491000</v>
      </c>
      <c r="E126" s="31"/>
      <c r="F126" s="31"/>
      <c r="G126" s="31"/>
      <c r="H126" s="31"/>
      <c r="I126" s="32"/>
      <c r="J126" s="38">
        <v>0</v>
      </c>
      <c r="K126" s="2" t="s">
        <v>66</v>
      </c>
      <c r="L126" s="34"/>
      <c r="N126" s="13" t="b">
        <f t="shared" si="5"/>
        <v>1</v>
      </c>
      <c r="O126" s="13" t="s">
        <v>258</v>
      </c>
      <c r="P126" s="13" t="s">
        <v>259</v>
      </c>
      <c r="Q126" s="285">
        <v>0</v>
      </c>
      <c r="R126" s="13" t="s">
        <v>909</v>
      </c>
      <c r="S126" s="13" t="s">
        <v>594</v>
      </c>
      <c r="T126" s="13">
        <v>0</v>
      </c>
      <c r="U126" s="285" t="b">
        <f t="shared" si="3"/>
        <v>0</v>
      </c>
      <c r="V126" s="285">
        <f t="shared" si="4"/>
        <v>0</v>
      </c>
    </row>
    <row r="127" spans="2:22">
      <c r="B127" s="37" t="s">
        <v>256</v>
      </c>
      <c r="C127" s="2" t="s">
        <v>257</v>
      </c>
      <c r="D127" s="32">
        <v>2548491000</v>
      </c>
      <c r="E127" s="32"/>
      <c r="F127" s="32"/>
      <c r="G127" s="32"/>
      <c r="H127" s="32"/>
      <c r="I127" s="32"/>
      <c r="J127" s="38" t="s">
        <v>258</v>
      </c>
      <c r="K127" s="2" t="s">
        <v>259</v>
      </c>
      <c r="L127" s="34"/>
      <c r="N127" s="13" t="b">
        <f t="shared" si="5"/>
        <v>1</v>
      </c>
      <c r="O127" s="13" t="s">
        <v>256</v>
      </c>
      <c r="P127" s="13" t="s">
        <v>257</v>
      </c>
      <c r="Q127" s="285">
        <v>19311880901</v>
      </c>
      <c r="R127" s="13" t="s">
        <v>263</v>
      </c>
      <c r="S127" s="13" t="s">
        <v>264</v>
      </c>
      <c r="T127" s="13">
        <v>19311880901</v>
      </c>
      <c r="U127" s="285" t="b">
        <f t="shared" si="3"/>
        <v>0</v>
      </c>
      <c r="V127" s="285">
        <f t="shared" si="4"/>
        <v>0</v>
      </c>
    </row>
    <row r="128" spans="2:22">
      <c r="B128" s="37" t="s">
        <v>909</v>
      </c>
      <c r="C128" s="2" t="s">
        <v>594</v>
      </c>
      <c r="D128" s="32">
        <v>0</v>
      </c>
      <c r="E128" s="32"/>
      <c r="F128" s="32"/>
      <c r="G128" s="32"/>
      <c r="H128" s="32"/>
      <c r="I128" s="32"/>
      <c r="J128" s="38"/>
      <c r="K128" s="2"/>
      <c r="L128" s="34"/>
      <c r="N128" s="13" t="b">
        <f t="shared" si="5"/>
        <v>1</v>
      </c>
      <c r="O128" s="13" t="s">
        <v>909</v>
      </c>
      <c r="P128" s="13" t="s">
        <v>594</v>
      </c>
      <c r="Q128" s="285">
        <v>19311880901</v>
      </c>
      <c r="R128" s="13" t="s">
        <v>261</v>
      </c>
      <c r="S128" s="13" t="s">
        <v>262</v>
      </c>
      <c r="T128" s="13">
        <v>19311880901</v>
      </c>
      <c r="U128" s="285" t="b">
        <f t="shared" si="3"/>
        <v>0</v>
      </c>
      <c r="V128" s="285">
        <f t="shared" si="4"/>
        <v>0</v>
      </c>
    </row>
    <row r="129" spans="2:22">
      <c r="B129" s="29" t="s">
        <v>263</v>
      </c>
      <c r="C129" s="30" t="s">
        <v>264</v>
      </c>
      <c r="D129" s="31">
        <v>19311880901</v>
      </c>
      <c r="E129" s="31"/>
      <c r="F129" s="31"/>
      <c r="G129" s="31"/>
      <c r="H129" s="31"/>
      <c r="I129" s="32"/>
      <c r="J129" s="38">
        <v>0</v>
      </c>
      <c r="K129" s="2" t="s">
        <v>66</v>
      </c>
      <c r="L129" s="34"/>
      <c r="N129" s="13" t="b">
        <f t="shared" si="5"/>
        <v>1</v>
      </c>
      <c r="O129" s="13" t="s">
        <v>263</v>
      </c>
      <c r="P129" s="13" t="s">
        <v>264</v>
      </c>
      <c r="Q129" s="285">
        <v>0</v>
      </c>
      <c r="R129" s="13" t="s">
        <v>265</v>
      </c>
      <c r="S129" s="13" t="s">
        <v>266</v>
      </c>
      <c r="T129" s="13">
        <v>0</v>
      </c>
      <c r="U129" s="285" t="b">
        <f t="shared" si="3"/>
        <v>0</v>
      </c>
      <c r="V129" s="285">
        <f t="shared" si="4"/>
        <v>0</v>
      </c>
    </row>
    <row r="130" spans="2:22">
      <c r="B130" s="37" t="s">
        <v>261</v>
      </c>
      <c r="C130" s="2" t="s">
        <v>262</v>
      </c>
      <c r="D130" s="32">
        <v>19311880901</v>
      </c>
      <c r="E130" s="32"/>
      <c r="F130" s="32"/>
      <c r="G130" s="32"/>
      <c r="H130" s="32"/>
      <c r="I130" s="32"/>
      <c r="J130" s="38" t="s">
        <v>263</v>
      </c>
      <c r="K130" s="2" t="s">
        <v>264</v>
      </c>
      <c r="L130" s="34"/>
      <c r="N130" s="13" t="b">
        <f t="shared" si="5"/>
        <v>1</v>
      </c>
      <c r="O130" s="13" t="s">
        <v>261</v>
      </c>
      <c r="P130" s="13" t="s">
        <v>262</v>
      </c>
      <c r="Q130" s="285">
        <v>0</v>
      </c>
      <c r="R130" s="13" t="s">
        <v>267</v>
      </c>
      <c r="S130" s="13" t="s">
        <v>268</v>
      </c>
      <c r="T130" s="13">
        <v>0</v>
      </c>
      <c r="U130" s="285" t="b">
        <f t="shared" si="3"/>
        <v>0</v>
      </c>
      <c r="V130" s="285">
        <f t="shared" si="4"/>
        <v>0</v>
      </c>
    </row>
    <row r="131" spans="2:22">
      <c r="B131" s="37" t="s">
        <v>265</v>
      </c>
      <c r="C131" s="2" t="s">
        <v>266</v>
      </c>
      <c r="D131" s="32">
        <v>0</v>
      </c>
      <c r="E131" s="32"/>
      <c r="F131" s="32"/>
      <c r="G131" s="32"/>
      <c r="H131" s="32"/>
      <c r="I131" s="32"/>
      <c r="J131" s="38" t="s">
        <v>263</v>
      </c>
      <c r="K131" s="2" t="s">
        <v>264</v>
      </c>
      <c r="L131" s="34"/>
      <c r="N131" s="13" t="b">
        <f t="shared" si="5"/>
        <v>1</v>
      </c>
      <c r="O131" s="13" t="s">
        <v>265</v>
      </c>
      <c r="P131" s="13" t="s">
        <v>266</v>
      </c>
      <c r="Q131" s="285"/>
      <c r="U131" s="285" t="b">
        <f t="shared" si="3"/>
        <v>0</v>
      </c>
      <c r="V131" s="285">
        <f t="shared" si="4"/>
        <v>0</v>
      </c>
    </row>
    <row r="132" spans="2:22">
      <c r="B132" s="37" t="s">
        <v>267</v>
      </c>
      <c r="C132" s="2" t="s">
        <v>268</v>
      </c>
      <c r="D132" s="32">
        <v>0</v>
      </c>
      <c r="E132" s="32"/>
      <c r="F132" s="32"/>
      <c r="G132" s="32"/>
      <c r="H132" s="32"/>
      <c r="I132" s="32"/>
      <c r="J132" s="38" t="s">
        <v>263</v>
      </c>
      <c r="K132" s="2" t="s">
        <v>264</v>
      </c>
      <c r="L132" s="34"/>
      <c r="N132" s="13" t="b">
        <f t="shared" si="5"/>
        <v>1</v>
      </c>
      <c r="O132" s="13" t="s">
        <v>267</v>
      </c>
      <c r="P132" s="13" t="s">
        <v>268</v>
      </c>
      <c r="Q132" s="285">
        <v>0</v>
      </c>
      <c r="R132" s="13" t="s">
        <v>272</v>
      </c>
      <c r="S132" s="13" t="s">
        <v>273</v>
      </c>
      <c r="T132" s="13">
        <v>0</v>
      </c>
      <c r="U132" s="285" t="b">
        <f t="shared" si="3"/>
        <v>0</v>
      </c>
      <c r="V132" s="285">
        <f t="shared" si="4"/>
        <v>0</v>
      </c>
    </row>
    <row r="133" spans="2:22">
      <c r="B133" s="37"/>
      <c r="C133" s="2"/>
      <c r="D133" s="32"/>
      <c r="E133" s="32"/>
      <c r="F133" s="32"/>
      <c r="G133" s="32"/>
      <c r="H133" s="32"/>
      <c r="I133" s="32"/>
      <c r="J133" s="38"/>
      <c r="K133" s="2"/>
      <c r="L133" s="34"/>
      <c r="N133" s="13" t="b">
        <f t="shared" si="5"/>
        <v>1</v>
      </c>
      <c r="Q133" s="285">
        <v>0</v>
      </c>
      <c r="R133" s="13" t="s">
        <v>270</v>
      </c>
      <c r="S133" s="13" t="s">
        <v>271</v>
      </c>
      <c r="T133" s="13">
        <v>0</v>
      </c>
      <c r="U133" s="285" t="b">
        <f t="shared" si="3"/>
        <v>0</v>
      </c>
      <c r="V133" s="285">
        <f t="shared" si="4"/>
        <v>0</v>
      </c>
    </row>
    <row r="134" spans="2:22">
      <c r="B134" s="29" t="s">
        <v>272</v>
      </c>
      <c r="C134" s="30" t="s">
        <v>273</v>
      </c>
      <c r="D134" s="31">
        <v>0</v>
      </c>
      <c r="E134" s="31"/>
      <c r="F134" s="31"/>
      <c r="G134" s="31"/>
      <c r="H134" s="31"/>
      <c r="I134" s="32"/>
      <c r="J134" s="38">
        <v>0</v>
      </c>
      <c r="K134" s="2" t="s">
        <v>66</v>
      </c>
      <c r="L134" s="34"/>
      <c r="N134" s="13" t="b">
        <f t="shared" si="5"/>
        <v>1</v>
      </c>
      <c r="O134" s="13" t="s">
        <v>272</v>
      </c>
      <c r="P134" s="13" t="s">
        <v>273</v>
      </c>
      <c r="Q134" s="285">
        <v>0</v>
      </c>
      <c r="R134" s="13" t="s">
        <v>277</v>
      </c>
      <c r="S134" s="13" t="s">
        <v>278</v>
      </c>
      <c r="T134" s="13">
        <v>0</v>
      </c>
      <c r="U134" s="285" t="b">
        <f t="shared" si="3"/>
        <v>0</v>
      </c>
      <c r="V134" s="285">
        <f t="shared" si="4"/>
        <v>0</v>
      </c>
    </row>
    <row r="135" spans="2:22">
      <c r="B135" s="37" t="s">
        <v>270</v>
      </c>
      <c r="C135" s="2" t="s">
        <v>271</v>
      </c>
      <c r="D135" s="32">
        <v>0</v>
      </c>
      <c r="E135" s="32"/>
      <c r="F135" s="32"/>
      <c r="G135" s="32"/>
      <c r="H135" s="32"/>
      <c r="I135" s="32"/>
      <c r="J135" s="38" t="s">
        <v>272</v>
      </c>
      <c r="K135" s="2" t="s">
        <v>273</v>
      </c>
      <c r="L135" s="34"/>
      <c r="N135" s="13" t="b">
        <f t="shared" si="5"/>
        <v>1</v>
      </c>
      <c r="O135" s="13" t="s">
        <v>270</v>
      </c>
      <c r="P135" s="13" t="s">
        <v>271</v>
      </c>
      <c r="Q135" s="285">
        <v>0</v>
      </c>
      <c r="R135" s="13" t="s">
        <v>275</v>
      </c>
      <c r="S135" s="13" t="s">
        <v>276</v>
      </c>
      <c r="T135" s="13">
        <v>0</v>
      </c>
      <c r="U135" s="285" t="b">
        <f t="shared" si="3"/>
        <v>0</v>
      </c>
      <c r="V135" s="285">
        <f t="shared" si="4"/>
        <v>0</v>
      </c>
    </row>
    <row r="136" spans="2:22">
      <c r="B136" s="29" t="s">
        <v>277</v>
      </c>
      <c r="C136" s="30" t="s">
        <v>278</v>
      </c>
      <c r="D136" s="31">
        <v>0</v>
      </c>
      <c r="E136" s="31"/>
      <c r="F136" s="31"/>
      <c r="G136" s="31"/>
      <c r="H136" s="31"/>
      <c r="I136" s="32"/>
      <c r="J136" s="38">
        <v>0</v>
      </c>
      <c r="K136" s="2" t="s">
        <v>66</v>
      </c>
      <c r="L136" s="34"/>
      <c r="N136" s="13" t="b">
        <f t="shared" si="5"/>
        <v>1</v>
      </c>
      <c r="O136" s="13" t="s">
        <v>277</v>
      </c>
      <c r="P136" s="13" t="s">
        <v>278</v>
      </c>
      <c r="Q136" s="285">
        <v>0</v>
      </c>
      <c r="R136" s="13" t="s">
        <v>279</v>
      </c>
      <c r="S136" s="13" t="s">
        <v>280</v>
      </c>
      <c r="T136" s="13">
        <v>0</v>
      </c>
      <c r="U136" s="285" t="b">
        <f t="shared" ref="U136:U199" si="6">O136=R136</f>
        <v>0</v>
      </c>
      <c r="V136" s="285">
        <f t="shared" ref="V136:V199" si="7">Q136-T136</f>
        <v>0</v>
      </c>
    </row>
    <row r="137" spans="2:22">
      <c r="B137" s="37" t="s">
        <v>275</v>
      </c>
      <c r="C137" s="2" t="s">
        <v>276</v>
      </c>
      <c r="D137" s="32">
        <v>0</v>
      </c>
      <c r="E137" s="32"/>
      <c r="F137" s="32"/>
      <c r="G137" s="32"/>
      <c r="H137" s="32"/>
      <c r="I137" s="32"/>
      <c r="J137" s="38" t="s">
        <v>277</v>
      </c>
      <c r="K137" s="2" t="s">
        <v>278</v>
      </c>
      <c r="L137" s="34"/>
      <c r="N137" s="13" t="b">
        <f t="shared" ref="N137:N200" si="8">O137=B137</f>
        <v>1</v>
      </c>
      <c r="O137" s="13" t="s">
        <v>275</v>
      </c>
      <c r="P137" s="13" t="s">
        <v>276</v>
      </c>
      <c r="Q137" s="285">
        <v>0</v>
      </c>
      <c r="R137" s="13" t="s">
        <v>281</v>
      </c>
      <c r="S137" s="13" t="s">
        <v>282</v>
      </c>
      <c r="T137" s="13">
        <v>0</v>
      </c>
      <c r="U137" s="285" t="b">
        <f t="shared" si="6"/>
        <v>0</v>
      </c>
      <c r="V137" s="285">
        <f t="shared" si="7"/>
        <v>0</v>
      </c>
    </row>
    <row r="138" spans="2:22">
      <c r="B138" s="37" t="s">
        <v>279</v>
      </c>
      <c r="C138" s="2" t="s">
        <v>280</v>
      </c>
      <c r="D138" s="32">
        <v>0</v>
      </c>
      <c r="E138" s="32"/>
      <c r="F138" s="32"/>
      <c r="G138" s="32"/>
      <c r="H138" s="32"/>
      <c r="I138" s="32"/>
      <c r="J138" s="38" t="s">
        <v>277</v>
      </c>
      <c r="K138" s="2" t="s">
        <v>278</v>
      </c>
      <c r="L138" s="34"/>
      <c r="N138" s="13" t="b">
        <f t="shared" si="8"/>
        <v>1</v>
      </c>
      <c r="O138" s="13" t="s">
        <v>279</v>
      </c>
      <c r="P138" s="13" t="s">
        <v>280</v>
      </c>
      <c r="Q138" s="285">
        <v>0</v>
      </c>
      <c r="R138" s="13" t="s">
        <v>855</v>
      </c>
      <c r="S138" s="13" t="s">
        <v>856</v>
      </c>
      <c r="T138" s="13">
        <v>0</v>
      </c>
      <c r="U138" s="285" t="b">
        <f t="shared" si="6"/>
        <v>0</v>
      </c>
      <c r="V138" s="285">
        <f t="shared" si="7"/>
        <v>0</v>
      </c>
    </row>
    <row r="139" spans="2:22">
      <c r="B139" s="37" t="s">
        <v>281</v>
      </c>
      <c r="C139" s="2" t="s">
        <v>282</v>
      </c>
      <c r="D139" s="32">
        <v>0</v>
      </c>
      <c r="E139" s="32"/>
      <c r="F139" s="32"/>
      <c r="G139" s="32"/>
      <c r="H139" s="32"/>
      <c r="I139" s="32"/>
      <c r="J139" s="38" t="s">
        <v>277</v>
      </c>
      <c r="K139" s="2" t="s">
        <v>278</v>
      </c>
      <c r="L139" s="34"/>
      <c r="N139" s="13" t="b">
        <f t="shared" si="8"/>
        <v>1</v>
      </c>
      <c r="O139" s="13" t="s">
        <v>281</v>
      </c>
      <c r="P139" s="13" t="s">
        <v>282</v>
      </c>
      <c r="Q139" s="285">
        <v>30968041164</v>
      </c>
      <c r="R139" s="13" t="s">
        <v>286</v>
      </c>
      <c r="S139" s="13" t="s">
        <v>287</v>
      </c>
      <c r="T139" s="13">
        <v>31484169410</v>
      </c>
      <c r="U139" s="285" t="b">
        <f t="shared" si="6"/>
        <v>0</v>
      </c>
      <c r="V139" s="285">
        <f t="shared" si="7"/>
        <v>-516128246</v>
      </c>
    </row>
    <row r="140" spans="2:22">
      <c r="B140" s="37" t="s">
        <v>855</v>
      </c>
      <c r="C140" s="2" t="s">
        <v>856</v>
      </c>
      <c r="D140" s="32">
        <v>0</v>
      </c>
      <c r="E140" s="32"/>
      <c r="F140" s="32"/>
      <c r="G140" s="32"/>
      <c r="H140" s="32"/>
      <c r="I140" s="32"/>
      <c r="J140" s="38" t="s">
        <v>277</v>
      </c>
      <c r="K140" s="2" t="s">
        <v>278</v>
      </c>
      <c r="L140" s="34"/>
      <c r="N140" s="13" t="b">
        <f t="shared" si="8"/>
        <v>1</v>
      </c>
      <c r="O140" s="13" t="s">
        <v>855</v>
      </c>
      <c r="P140" s="13" t="s">
        <v>856</v>
      </c>
      <c r="Q140" s="285">
        <v>265000000</v>
      </c>
      <c r="R140" s="13" t="s">
        <v>284</v>
      </c>
      <c r="S140" s="13" t="s">
        <v>285</v>
      </c>
      <c r="T140" s="13">
        <v>265000000</v>
      </c>
      <c r="U140" s="285" t="b">
        <f t="shared" si="6"/>
        <v>0</v>
      </c>
      <c r="V140" s="285">
        <f t="shared" si="7"/>
        <v>0</v>
      </c>
    </row>
    <row r="141" spans="2:22">
      <c r="B141" s="29" t="s">
        <v>286</v>
      </c>
      <c r="C141" s="30" t="s">
        <v>287</v>
      </c>
      <c r="D141" s="31">
        <v>31378182716</v>
      </c>
      <c r="E141" s="31"/>
      <c r="F141" s="31"/>
      <c r="G141" s="31"/>
      <c r="H141" s="31"/>
      <c r="I141" s="32"/>
      <c r="J141" s="38">
        <v>0</v>
      </c>
      <c r="K141" s="2" t="s">
        <v>66</v>
      </c>
      <c r="L141" s="34"/>
      <c r="N141" s="13" t="b">
        <f t="shared" si="8"/>
        <v>1</v>
      </c>
      <c r="O141" s="13" t="s">
        <v>286</v>
      </c>
      <c r="P141" s="13" t="s">
        <v>287</v>
      </c>
      <c r="Q141" s="285">
        <v>0</v>
      </c>
      <c r="R141" s="13" t="s">
        <v>288</v>
      </c>
      <c r="S141" s="13" t="s">
        <v>289</v>
      </c>
      <c r="T141" s="13">
        <v>0</v>
      </c>
      <c r="U141" s="285" t="b">
        <f t="shared" si="6"/>
        <v>0</v>
      </c>
      <c r="V141" s="285">
        <f t="shared" si="7"/>
        <v>0</v>
      </c>
    </row>
    <row r="142" spans="2:22">
      <c r="B142" s="41" t="s">
        <v>284</v>
      </c>
      <c r="C142" s="2" t="s">
        <v>285</v>
      </c>
      <c r="D142" s="32">
        <v>265000000</v>
      </c>
      <c r="E142" s="32"/>
      <c r="F142" s="32"/>
      <c r="G142" s="32"/>
      <c r="H142" s="32"/>
      <c r="I142" s="32"/>
      <c r="J142" s="38" t="s">
        <v>286</v>
      </c>
      <c r="K142" s="2" t="s">
        <v>287</v>
      </c>
      <c r="L142" s="34"/>
      <c r="N142" s="13" t="b">
        <f t="shared" si="8"/>
        <v>1</v>
      </c>
      <c r="O142" s="13" t="s">
        <v>284</v>
      </c>
      <c r="P142" s="13" t="s">
        <v>285</v>
      </c>
      <c r="Q142" s="285">
        <v>0</v>
      </c>
      <c r="R142" s="13" t="s">
        <v>514</v>
      </c>
      <c r="S142" s="13" t="s">
        <v>515</v>
      </c>
      <c r="T142" s="13">
        <v>0</v>
      </c>
      <c r="U142" s="285" t="b">
        <f t="shared" si="6"/>
        <v>0</v>
      </c>
      <c r="V142" s="285">
        <f t="shared" si="7"/>
        <v>0</v>
      </c>
    </row>
    <row r="143" spans="2:22">
      <c r="B143" s="41" t="s">
        <v>288</v>
      </c>
      <c r="C143" s="2" t="s">
        <v>289</v>
      </c>
      <c r="D143" s="32">
        <v>0</v>
      </c>
      <c r="E143" s="32"/>
      <c r="F143" s="32"/>
      <c r="G143" s="32"/>
      <c r="H143" s="32"/>
      <c r="I143" s="32"/>
      <c r="J143" s="38" t="s">
        <v>286</v>
      </c>
      <c r="K143" s="2" t="s">
        <v>287</v>
      </c>
      <c r="L143" s="34"/>
      <c r="N143" s="13" t="b">
        <f t="shared" si="8"/>
        <v>1</v>
      </c>
      <c r="O143" s="13" t="s">
        <v>288</v>
      </c>
      <c r="P143" s="13" t="s">
        <v>289</v>
      </c>
      <c r="Q143" s="285">
        <v>0</v>
      </c>
      <c r="R143" s="13" t="s">
        <v>290</v>
      </c>
      <c r="S143" s="13" t="s">
        <v>291</v>
      </c>
      <c r="T143" s="13">
        <v>0</v>
      </c>
      <c r="U143" s="285" t="b">
        <f t="shared" si="6"/>
        <v>0</v>
      </c>
      <c r="V143" s="285">
        <f t="shared" si="7"/>
        <v>0</v>
      </c>
    </row>
    <row r="144" spans="2:22">
      <c r="B144" s="41" t="s">
        <v>514</v>
      </c>
      <c r="C144" s="2" t="s">
        <v>515</v>
      </c>
      <c r="D144" s="32">
        <v>0</v>
      </c>
      <c r="E144" s="32"/>
      <c r="F144" s="32"/>
      <c r="G144" s="32"/>
      <c r="H144" s="32"/>
      <c r="I144" s="32"/>
      <c r="J144" s="38" t="s">
        <v>286</v>
      </c>
      <c r="K144" s="2" t="s">
        <v>287</v>
      </c>
      <c r="L144" s="34"/>
      <c r="N144" s="13" t="b">
        <f t="shared" si="8"/>
        <v>1</v>
      </c>
      <c r="O144" s="13" t="s">
        <v>514</v>
      </c>
      <c r="P144" s="13" t="s">
        <v>515</v>
      </c>
      <c r="Q144" s="285">
        <v>30703041164</v>
      </c>
      <c r="R144" s="13" t="s">
        <v>292</v>
      </c>
      <c r="S144" s="13" t="s">
        <v>293</v>
      </c>
      <c r="T144" s="13">
        <v>31219169410</v>
      </c>
      <c r="U144" s="285" t="b">
        <f t="shared" si="6"/>
        <v>0</v>
      </c>
      <c r="V144" s="285">
        <f t="shared" si="7"/>
        <v>-516128246</v>
      </c>
    </row>
    <row r="145" spans="2:22">
      <c r="B145" s="37" t="s">
        <v>290</v>
      </c>
      <c r="C145" s="2" t="s">
        <v>291</v>
      </c>
      <c r="D145" s="32">
        <v>0</v>
      </c>
      <c r="E145" s="32"/>
      <c r="F145" s="32"/>
      <c r="G145" s="32"/>
      <c r="H145" s="32"/>
      <c r="I145" s="32"/>
      <c r="J145" s="38" t="s">
        <v>286</v>
      </c>
      <c r="K145" s="2" t="s">
        <v>287</v>
      </c>
      <c r="L145" s="34"/>
      <c r="N145" s="13" t="b">
        <f t="shared" si="8"/>
        <v>1</v>
      </c>
      <c r="O145" s="13" t="s">
        <v>290</v>
      </c>
      <c r="P145" s="13" t="s">
        <v>291</v>
      </c>
      <c r="Q145" s="285">
        <v>52828413065</v>
      </c>
      <c r="S145" s="13" t="s">
        <v>304</v>
      </c>
      <c r="T145" s="13">
        <v>53344541311</v>
      </c>
      <c r="U145" s="285" t="b">
        <f t="shared" si="6"/>
        <v>0</v>
      </c>
      <c r="V145" s="285">
        <f t="shared" si="7"/>
        <v>-516128246</v>
      </c>
    </row>
    <row r="146" spans="2:22">
      <c r="B146" s="41" t="s">
        <v>292</v>
      </c>
      <c r="C146" s="2" t="s">
        <v>293</v>
      </c>
      <c r="D146" s="32">
        <v>31113182716</v>
      </c>
      <c r="E146" s="32"/>
      <c r="F146" s="32"/>
      <c r="G146" s="32"/>
      <c r="H146" s="32"/>
      <c r="I146" s="32"/>
      <c r="J146" s="38" t="s">
        <v>286</v>
      </c>
      <c r="K146" s="2" t="s">
        <v>287</v>
      </c>
      <c r="L146" s="34"/>
      <c r="N146" s="13" t="b">
        <f t="shared" si="8"/>
        <v>1</v>
      </c>
      <c r="O146" s="13" t="s">
        <v>292</v>
      </c>
      <c r="P146" s="13" t="s">
        <v>293</v>
      </c>
      <c r="Q146" s="285">
        <v>78551247672</v>
      </c>
      <c r="S146" s="13" t="s">
        <v>305</v>
      </c>
      <c r="T146" s="13">
        <v>79067375918</v>
      </c>
      <c r="U146" s="285" t="b">
        <f t="shared" si="6"/>
        <v>0</v>
      </c>
      <c r="V146" s="285">
        <f t="shared" si="7"/>
        <v>-516128246</v>
      </c>
    </row>
    <row r="147" spans="2:22">
      <c r="B147" s="29"/>
      <c r="C147" s="30" t="s">
        <v>304</v>
      </c>
      <c r="D147" s="31">
        <v>53238554617</v>
      </c>
      <c r="E147" s="31"/>
      <c r="F147" s="31"/>
      <c r="G147" s="31"/>
      <c r="H147" s="31"/>
      <c r="I147" s="32"/>
      <c r="J147" s="38">
        <v>0</v>
      </c>
      <c r="K147" s="2" t="s">
        <v>66</v>
      </c>
      <c r="L147" s="34"/>
      <c r="N147" s="13" t="b">
        <f t="shared" si="8"/>
        <v>1</v>
      </c>
      <c r="P147" s="13" t="s">
        <v>304</v>
      </c>
      <c r="Q147" s="285"/>
      <c r="U147" s="285" t="b">
        <f t="shared" si="6"/>
        <v>1</v>
      </c>
      <c r="V147" s="285">
        <f t="shared" si="7"/>
        <v>0</v>
      </c>
    </row>
    <row r="148" spans="2:22">
      <c r="B148" s="29"/>
      <c r="C148" s="30" t="s">
        <v>305</v>
      </c>
      <c r="D148" s="31">
        <v>79092119276</v>
      </c>
      <c r="E148" s="31"/>
      <c r="F148" s="31"/>
      <c r="G148" s="31"/>
      <c r="H148" s="31"/>
      <c r="I148" s="32"/>
      <c r="J148" s="38">
        <v>0</v>
      </c>
      <c r="K148" s="2" t="s">
        <v>66</v>
      </c>
      <c r="L148" s="2"/>
      <c r="N148" s="13" t="b">
        <f t="shared" si="8"/>
        <v>1</v>
      </c>
      <c r="P148" s="13" t="s">
        <v>305</v>
      </c>
      <c r="Q148" s="285">
        <v>34391322094</v>
      </c>
      <c r="R148" s="13" t="s">
        <v>922</v>
      </c>
      <c r="S148" s="13" t="s">
        <v>923</v>
      </c>
      <c r="T148" s="13">
        <v>34391322094</v>
      </c>
      <c r="U148" s="285" t="b">
        <f t="shared" si="6"/>
        <v>0</v>
      </c>
      <c r="V148" s="285">
        <f t="shared" si="7"/>
        <v>0</v>
      </c>
    </row>
    <row r="149" spans="2:22">
      <c r="B149" s="37"/>
      <c r="C149" s="2"/>
      <c r="D149" s="32"/>
      <c r="E149" s="32"/>
      <c r="F149" s="32"/>
      <c r="G149" s="42"/>
      <c r="H149" s="32"/>
      <c r="I149" s="32"/>
      <c r="J149" s="38"/>
      <c r="K149" s="2" t="s">
        <v>66</v>
      </c>
      <c r="L149" s="2"/>
      <c r="N149" s="13" t="b">
        <f t="shared" si="8"/>
        <v>1</v>
      </c>
      <c r="Q149" s="285">
        <v>3354042519</v>
      </c>
      <c r="R149" s="13" t="s">
        <v>308</v>
      </c>
      <c r="S149" s="13" t="s">
        <v>309</v>
      </c>
      <c r="T149" s="13">
        <v>3354042519</v>
      </c>
      <c r="U149" s="285" t="b">
        <f t="shared" si="6"/>
        <v>0</v>
      </c>
      <c r="V149" s="285">
        <f t="shared" si="7"/>
        <v>0</v>
      </c>
    </row>
    <row r="150" spans="2:22">
      <c r="B150" s="29" t="s">
        <v>922</v>
      </c>
      <c r="C150" s="30" t="s">
        <v>923</v>
      </c>
      <c r="D150" s="31">
        <v>34391322094</v>
      </c>
      <c r="E150" s="31"/>
      <c r="F150" s="31"/>
      <c r="G150" s="31"/>
      <c r="H150" s="31"/>
      <c r="I150" s="32"/>
      <c r="J150" s="38">
        <v>0</v>
      </c>
      <c r="K150" s="2" t="s">
        <v>66</v>
      </c>
      <c r="L150" s="2"/>
      <c r="N150" s="13" t="b">
        <f t="shared" si="8"/>
        <v>1</v>
      </c>
      <c r="O150" s="13" t="s">
        <v>922</v>
      </c>
      <c r="P150" s="13" t="s">
        <v>923</v>
      </c>
      <c r="Q150" s="285">
        <v>0</v>
      </c>
      <c r="R150" s="13" t="s">
        <v>312</v>
      </c>
      <c r="S150" s="13" t="s">
        <v>313</v>
      </c>
      <c r="T150" s="13">
        <v>0</v>
      </c>
      <c r="U150" s="285" t="b">
        <f t="shared" si="6"/>
        <v>0</v>
      </c>
      <c r="V150" s="285">
        <f t="shared" si="7"/>
        <v>0</v>
      </c>
    </row>
    <row r="151" spans="2:22">
      <c r="B151" s="37" t="s">
        <v>308</v>
      </c>
      <c r="C151" s="2" t="s">
        <v>309</v>
      </c>
      <c r="D151" s="32">
        <v>3354042519</v>
      </c>
      <c r="E151" s="32"/>
      <c r="F151" s="32"/>
      <c r="G151" s="32"/>
      <c r="H151" s="32"/>
      <c r="I151" s="32"/>
      <c r="J151" s="38" t="s">
        <v>310</v>
      </c>
      <c r="K151" s="2" t="s">
        <v>311</v>
      </c>
      <c r="L151" s="2"/>
      <c r="N151" s="13" t="b">
        <f t="shared" si="8"/>
        <v>1</v>
      </c>
      <c r="O151" s="13" t="s">
        <v>308</v>
      </c>
      <c r="P151" s="13" t="s">
        <v>309</v>
      </c>
      <c r="Q151" s="285">
        <v>10688776340</v>
      </c>
      <c r="R151" s="13" t="s">
        <v>314</v>
      </c>
      <c r="S151" s="13" t="s">
        <v>315</v>
      </c>
      <c r="T151" s="13">
        <v>10688776340</v>
      </c>
      <c r="U151" s="285" t="b">
        <f t="shared" si="6"/>
        <v>0</v>
      </c>
      <c r="V151" s="285">
        <f t="shared" si="7"/>
        <v>0</v>
      </c>
    </row>
    <row r="152" spans="2:22">
      <c r="B152" s="37" t="s">
        <v>312</v>
      </c>
      <c r="C152" s="2" t="s">
        <v>313</v>
      </c>
      <c r="D152" s="32">
        <v>0</v>
      </c>
      <c r="E152" s="32"/>
      <c r="F152" s="32"/>
      <c r="G152" s="32"/>
      <c r="H152" s="32"/>
      <c r="I152" s="32"/>
      <c r="J152" s="38" t="s">
        <v>310</v>
      </c>
      <c r="K152" s="2" t="s">
        <v>311</v>
      </c>
      <c r="L152" s="2"/>
      <c r="N152" s="13" t="b">
        <f t="shared" si="8"/>
        <v>1</v>
      </c>
      <c r="O152" s="13" t="s">
        <v>312</v>
      </c>
      <c r="P152" s="13" t="s">
        <v>313</v>
      </c>
      <c r="Q152" s="285">
        <v>0</v>
      </c>
      <c r="R152" s="13" t="s">
        <v>316</v>
      </c>
      <c r="S152" s="13" t="s">
        <v>317</v>
      </c>
      <c r="T152" s="13">
        <v>0</v>
      </c>
      <c r="U152" s="285" t="b">
        <f t="shared" si="6"/>
        <v>0</v>
      </c>
      <c r="V152" s="285">
        <f t="shared" si="7"/>
        <v>0</v>
      </c>
    </row>
    <row r="153" spans="2:22">
      <c r="B153" s="37" t="s">
        <v>314</v>
      </c>
      <c r="C153" s="2" t="s">
        <v>315</v>
      </c>
      <c r="D153" s="32">
        <v>10688776340</v>
      </c>
      <c r="E153" s="32"/>
      <c r="F153" s="32"/>
      <c r="G153" s="32"/>
      <c r="H153" s="32"/>
      <c r="I153" s="32"/>
      <c r="J153" s="38" t="s">
        <v>310</v>
      </c>
      <c r="K153" s="2" t="s">
        <v>311</v>
      </c>
      <c r="L153" s="2"/>
      <c r="N153" s="13" t="b">
        <f t="shared" si="8"/>
        <v>1</v>
      </c>
      <c r="O153" s="13" t="s">
        <v>314</v>
      </c>
      <c r="P153" s="13" t="s">
        <v>315</v>
      </c>
      <c r="Q153" s="285">
        <v>17699122704</v>
      </c>
      <c r="R153" s="13" t="s">
        <v>318</v>
      </c>
      <c r="S153" s="13" t="s">
        <v>924</v>
      </c>
      <c r="T153" s="13">
        <v>17699122704</v>
      </c>
      <c r="U153" s="285" t="b">
        <f t="shared" si="6"/>
        <v>0</v>
      </c>
      <c r="V153" s="285">
        <f t="shared" si="7"/>
        <v>0</v>
      </c>
    </row>
    <row r="154" spans="2:22">
      <c r="B154" s="37" t="s">
        <v>316</v>
      </c>
      <c r="C154" s="2" t="s">
        <v>317</v>
      </c>
      <c r="D154" s="32">
        <v>0</v>
      </c>
      <c r="E154" s="32"/>
      <c r="F154" s="32"/>
      <c r="G154" s="32"/>
      <c r="H154" s="32"/>
      <c r="I154" s="32"/>
      <c r="J154" s="38" t="s">
        <v>310</v>
      </c>
      <c r="K154" s="2" t="s">
        <v>311</v>
      </c>
      <c r="L154" s="2"/>
      <c r="N154" s="13" t="b">
        <f t="shared" si="8"/>
        <v>1</v>
      </c>
      <c r="O154" s="13" t="s">
        <v>316</v>
      </c>
      <c r="P154" s="13" t="s">
        <v>317</v>
      </c>
      <c r="Q154" s="285">
        <v>0</v>
      </c>
      <c r="R154" s="13" t="s">
        <v>320</v>
      </c>
      <c r="S154" s="13" t="s">
        <v>925</v>
      </c>
      <c r="T154" s="13">
        <v>0</v>
      </c>
      <c r="U154" s="285" t="b">
        <f t="shared" si="6"/>
        <v>0</v>
      </c>
      <c r="V154" s="285">
        <f t="shared" si="7"/>
        <v>0</v>
      </c>
    </row>
    <row r="155" spans="2:22">
      <c r="B155" s="37" t="s">
        <v>318</v>
      </c>
      <c r="C155" s="2" t="s">
        <v>924</v>
      </c>
      <c r="D155" s="32">
        <v>17699122704</v>
      </c>
      <c r="E155" s="32"/>
      <c r="F155" s="32"/>
      <c r="G155" s="32"/>
      <c r="H155" s="32"/>
      <c r="I155" s="32"/>
      <c r="J155" s="38" t="s">
        <v>310</v>
      </c>
      <c r="K155" s="2" t="s">
        <v>311</v>
      </c>
      <c r="L155" s="2"/>
      <c r="N155" s="13" t="b">
        <f t="shared" si="8"/>
        <v>1</v>
      </c>
      <c r="O155" s="13" t="s">
        <v>318</v>
      </c>
      <c r="P155" s="13" t="s">
        <v>924</v>
      </c>
      <c r="Q155" s="285">
        <v>1962591843</v>
      </c>
      <c r="R155" s="13" t="s">
        <v>516</v>
      </c>
      <c r="S155" s="13" t="s">
        <v>858</v>
      </c>
      <c r="T155" s="13">
        <v>1962591843</v>
      </c>
      <c r="U155" s="285" t="b">
        <f t="shared" si="6"/>
        <v>0</v>
      </c>
      <c r="V155" s="285">
        <f t="shared" si="7"/>
        <v>0</v>
      </c>
    </row>
    <row r="156" spans="2:22">
      <c r="B156" s="37" t="s">
        <v>320</v>
      </c>
      <c r="C156" s="2" t="s">
        <v>925</v>
      </c>
      <c r="D156" s="32">
        <v>0</v>
      </c>
      <c r="E156" s="32"/>
      <c r="F156" s="32"/>
      <c r="G156" s="32"/>
      <c r="H156" s="32"/>
      <c r="I156" s="32"/>
      <c r="J156" s="38" t="s">
        <v>310</v>
      </c>
      <c r="K156" s="2" t="s">
        <v>311</v>
      </c>
      <c r="L156" s="2"/>
      <c r="N156" s="13" t="b">
        <f t="shared" si="8"/>
        <v>1</v>
      </c>
      <c r="O156" s="13" t="s">
        <v>320</v>
      </c>
      <c r="P156" s="13" t="s">
        <v>925</v>
      </c>
      <c r="Q156" s="285">
        <v>610438688</v>
      </c>
      <c r="R156" s="13" t="s">
        <v>857</v>
      </c>
      <c r="S156" s="13" t="s">
        <v>860</v>
      </c>
      <c r="T156" s="13">
        <v>610438688</v>
      </c>
      <c r="U156" s="285" t="b">
        <f t="shared" si="6"/>
        <v>0</v>
      </c>
      <c r="V156" s="285">
        <f t="shared" si="7"/>
        <v>0</v>
      </c>
    </row>
    <row r="157" spans="2:22">
      <c r="B157" s="37" t="s">
        <v>516</v>
      </c>
      <c r="C157" s="2" t="s">
        <v>858</v>
      </c>
      <c r="D157" s="32">
        <v>1962591843</v>
      </c>
      <c r="E157" s="32"/>
      <c r="F157" s="32"/>
      <c r="G157" s="32"/>
      <c r="H157" s="32"/>
      <c r="I157" s="32"/>
      <c r="J157" s="38" t="s">
        <v>310</v>
      </c>
      <c r="K157" s="2" t="s">
        <v>311</v>
      </c>
      <c r="L157" s="2"/>
      <c r="N157" s="13" t="b">
        <f t="shared" si="8"/>
        <v>1</v>
      </c>
      <c r="O157" s="13" t="s">
        <v>516</v>
      </c>
      <c r="P157" s="13" t="s">
        <v>858</v>
      </c>
      <c r="Q157" s="285">
        <v>76350000</v>
      </c>
      <c r="R157" s="13" t="s">
        <v>859</v>
      </c>
      <c r="S157" s="13" t="s">
        <v>517</v>
      </c>
      <c r="T157" s="13">
        <v>76350000</v>
      </c>
      <c r="U157" s="285" t="b">
        <f t="shared" si="6"/>
        <v>0</v>
      </c>
      <c r="V157" s="285">
        <f t="shared" si="7"/>
        <v>0</v>
      </c>
    </row>
    <row r="158" spans="2:22">
      <c r="B158" s="37" t="s">
        <v>857</v>
      </c>
      <c r="C158" s="2" t="s">
        <v>860</v>
      </c>
      <c r="D158" s="32">
        <v>610438688</v>
      </c>
      <c r="E158" s="32"/>
      <c r="F158" s="32"/>
      <c r="G158" s="32"/>
      <c r="H158" s="32"/>
      <c r="I158" s="32"/>
      <c r="J158" s="38" t="s">
        <v>310</v>
      </c>
      <c r="K158" s="2" t="s">
        <v>311</v>
      </c>
      <c r="L158" s="2"/>
      <c r="N158" s="13" t="b">
        <f t="shared" si="8"/>
        <v>1</v>
      </c>
      <c r="O158" s="13" t="s">
        <v>857</v>
      </c>
      <c r="P158" s="13" t="s">
        <v>860</v>
      </c>
      <c r="Q158" s="285">
        <v>0</v>
      </c>
      <c r="R158" s="13" t="s">
        <v>902</v>
      </c>
      <c r="S158" s="13" t="s">
        <v>903</v>
      </c>
      <c r="T158" s="13">
        <v>0</v>
      </c>
      <c r="U158" s="285" t="b">
        <f t="shared" si="6"/>
        <v>0</v>
      </c>
      <c r="V158" s="285">
        <f t="shared" si="7"/>
        <v>0</v>
      </c>
    </row>
    <row r="159" spans="2:22">
      <c r="B159" s="37" t="s">
        <v>859</v>
      </c>
      <c r="C159" s="2" t="s">
        <v>517</v>
      </c>
      <c r="D159" s="32">
        <v>76350000</v>
      </c>
      <c r="E159" s="32"/>
      <c r="F159" s="32"/>
      <c r="G159" s="32"/>
      <c r="H159" s="32"/>
      <c r="I159" s="32"/>
      <c r="J159" s="38" t="s">
        <v>310</v>
      </c>
      <c r="K159" s="2" t="s">
        <v>311</v>
      </c>
      <c r="L159" s="2"/>
      <c r="N159" s="13" t="b">
        <f t="shared" si="8"/>
        <v>1</v>
      </c>
      <c r="O159" s="13" t="s">
        <v>859</v>
      </c>
      <c r="P159" s="13" t="s">
        <v>517</v>
      </c>
      <c r="Q159" s="285">
        <v>18545955410</v>
      </c>
      <c r="R159" s="13" t="s">
        <v>926</v>
      </c>
      <c r="S159" s="13" t="s">
        <v>326</v>
      </c>
      <c r="T159" s="13">
        <v>18545955410</v>
      </c>
      <c r="U159" s="285" t="b">
        <f t="shared" si="6"/>
        <v>0</v>
      </c>
      <c r="V159" s="285">
        <f t="shared" si="7"/>
        <v>0</v>
      </c>
    </row>
    <row r="160" spans="2:22">
      <c r="B160" s="37" t="s">
        <v>902</v>
      </c>
      <c r="C160" s="2" t="s">
        <v>903</v>
      </c>
      <c r="D160" s="32">
        <v>0</v>
      </c>
      <c r="E160" s="32"/>
      <c r="F160" s="32"/>
      <c r="G160" s="32"/>
      <c r="H160" s="32"/>
      <c r="I160" s="32"/>
      <c r="J160" s="38" t="s">
        <v>310</v>
      </c>
      <c r="K160" s="2" t="s">
        <v>311</v>
      </c>
      <c r="L160" s="2"/>
      <c r="N160" s="13" t="b">
        <f t="shared" si="8"/>
        <v>1</v>
      </c>
      <c r="O160" s="13" t="s">
        <v>902</v>
      </c>
      <c r="P160" s="13" t="s">
        <v>903</v>
      </c>
      <c r="Q160" s="285">
        <v>3833388830</v>
      </c>
      <c r="R160" s="13" t="s">
        <v>323</v>
      </c>
      <c r="S160" s="13" t="s">
        <v>324</v>
      </c>
      <c r="T160" s="13">
        <v>3833388830</v>
      </c>
      <c r="U160" s="285" t="b">
        <f t="shared" si="6"/>
        <v>0</v>
      </c>
      <c r="V160" s="285">
        <f t="shared" si="7"/>
        <v>0</v>
      </c>
    </row>
    <row r="161" spans="2:22">
      <c r="B161" s="29" t="s">
        <v>926</v>
      </c>
      <c r="C161" s="30" t="s">
        <v>326</v>
      </c>
      <c r="D161" s="31">
        <v>18545955410</v>
      </c>
      <c r="E161" s="31"/>
      <c r="F161" s="31"/>
      <c r="G161" s="31"/>
      <c r="H161" s="31"/>
      <c r="I161" s="32"/>
      <c r="J161" s="38">
        <v>0</v>
      </c>
      <c r="K161" s="2" t="s">
        <v>66</v>
      </c>
      <c r="L161" s="2"/>
      <c r="N161" s="13" t="b">
        <f t="shared" si="8"/>
        <v>1</v>
      </c>
      <c r="O161" s="13" t="s">
        <v>926</v>
      </c>
      <c r="P161" s="13" t="s">
        <v>326</v>
      </c>
      <c r="Q161" s="285">
        <v>0</v>
      </c>
      <c r="R161" s="13" t="s">
        <v>327</v>
      </c>
      <c r="S161" s="13" t="s">
        <v>328</v>
      </c>
      <c r="T161" s="13">
        <v>0</v>
      </c>
      <c r="U161" s="285" t="b">
        <f t="shared" si="6"/>
        <v>0</v>
      </c>
      <c r="V161" s="285">
        <f t="shared" si="7"/>
        <v>0</v>
      </c>
    </row>
    <row r="162" spans="2:22">
      <c r="B162" s="37" t="s">
        <v>323</v>
      </c>
      <c r="C162" s="2" t="s">
        <v>324</v>
      </c>
      <c r="D162" s="32">
        <v>3833388830</v>
      </c>
      <c r="E162" s="32"/>
      <c r="F162" s="32"/>
      <c r="G162" s="32"/>
      <c r="H162" s="32"/>
      <c r="I162" s="32"/>
      <c r="J162" s="38" t="s">
        <v>325</v>
      </c>
      <c r="K162" s="2" t="s">
        <v>326</v>
      </c>
      <c r="L162" s="2"/>
      <c r="N162" s="13" t="b">
        <f t="shared" si="8"/>
        <v>1</v>
      </c>
      <c r="O162" s="13" t="s">
        <v>323</v>
      </c>
      <c r="P162" s="13" t="s">
        <v>324</v>
      </c>
      <c r="Q162" s="285">
        <v>14712566580</v>
      </c>
      <c r="R162" s="13" t="s">
        <v>329</v>
      </c>
      <c r="S162" s="13" t="s">
        <v>330</v>
      </c>
      <c r="T162" s="13">
        <v>14712566580</v>
      </c>
      <c r="U162" s="285" t="b">
        <f t="shared" si="6"/>
        <v>0</v>
      </c>
      <c r="V162" s="285">
        <f t="shared" si="7"/>
        <v>0</v>
      </c>
    </row>
    <row r="163" spans="2:22">
      <c r="B163" s="37" t="s">
        <v>327</v>
      </c>
      <c r="C163" s="2" t="s">
        <v>328</v>
      </c>
      <c r="D163" s="32">
        <v>0</v>
      </c>
      <c r="E163" s="32"/>
      <c r="F163" s="32"/>
      <c r="G163" s="32"/>
      <c r="H163" s="32"/>
      <c r="I163" s="32"/>
      <c r="J163" s="38" t="s">
        <v>325</v>
      </c>
      <c r="K163" s="2" t="s">
        <v>326</v>
      </c>
      <c r="L163" s="2"/>
      <c r="N163" s="13" t="b">
        <f t="shared" si="8"/>
        <v>1</v>
      </c>
      <c r="O163" s="13" t="s">
        <v>327</v>
      </c>
      <c r="P163" s="13" t="s">
        <v>328</v>
      </c>
      <c r="Q163" s="285">
        <v>0</v>
      </c>
      <c r="R163" s="13" t="s">
        <v>331</v>
      </c>
      <c r="S163" s="13" t="s">
        <v>332</v>
      </c>
      <c r="T163" s="13">
        <v>0</v>
      </c>
      <c r="U163" s="285" t="b">
        <f t="shared" si="6"/>
        <v>0</v>
      </c>
      <c r="V163" s="285">
        <f t="shared" si="7"/>
        <v>0</v>
      </c>
    </row>
    <row r="164" spans="2:22">
      <c r="B164" s="37" t="s">
        <v>329</v>
      </c>
      <c r="C164" s="2" t="s">
        <v>330</v>
      </c>
      <c r="D164" s="32">
        <v>14712566580</v>
      </c>
      <c r="E164" s="32"/>
      <c r="F164" s="32"/>
      <c r="G164" s="32"/>
      <c r="H164" s="32"/>
      <c r="I164" s="32"/>
      <c r="J164" s="38" t="s">
        <v>325</v>
      </c>
      <c r="K164" s="2" t="s">
        <v>326</v>
      </c>
      <c r="L164" s="2"/>
      <c r="N164" s="13" t="b">
        <f t="shared" si="8"/>
        <v>1</v>
      </c>
      <c r="O164" s="13" t="s">
        <v>329</v>
      </c>
      <c r="P164" s="13" t="s">
        <v>330</v>
      </c>
      <c r="Q164" s="285">
        <v>0</v>
      </c>
      <c r="R164" s="13" t="s">
        <v>518</v>
      </c>
      <c r="S164" s="13" t="s">
        <v>927</v>
      </c>
      <c r="T164" s="13">
        <v>0</v>
      </c>
      <c r="U164" s="285" t="b">
        <f t="shared" si="6"/>
        <v>0</v>
      </c>
      <c r="V164" s="285">
        <f t="shared" si="7"/>
        <v>0</v>
      </c>
    </row>
    <row r="165" spans="2:22">
      <c r="B165" s="37" t="s">
        <v>331</v>
      </c>
      <c r="C165" s="2" t="s">
        <v>332</v>
      </c>
      <c r="D165" s="32">
        <v>0</v>
      </c>
      <c r="E165" s="32"/>
      <c r="F165" s="32"/>
      <c r="G165" s="32"/>
      <c r="H165" s="32"/>
      <c r="I165" s="32"/>
      <c r="J165" s="38" t="s">
        <v>325</v>
      </c>
      <c r="K165" s="2" t="s">
        <v>326</v>
      </c>
      <c r="L165" s="2"/>
      <c r="N165" s="13" t="b">
        <f t="shared" si="8"/>
        <v>1</v>
      </c>
      <c r="O165" s="13" t="s">
        <v>331</v>
      </c>
      <c r="P165" s="13" t="s">
        <v>332</v>
      </c>
      <c r="Q165" s="285">
        <v>0</v>
      </c>
      <c r="R165" s="13" t="s">
        <v>520</v>
      </c>
      <c r="S165" s="13" t="s">
        <v>928</v>
      </c>
      <c r="T165" s="13">
        <v>0</v>
      </c>
      <c r="U165" s="285" t="b">
        <f t="shared" si="6"/>
        <v>0</v>
      </c>
      <c r="V165" s="285">
        <f t="shared" si="7"/>
        <v>0</v>
      </c>
    </row>
    <row r="166" spans="2:22">
      <c r="B166" s="37" t="s">
        <v>518</v>
      </c>
      <c r="C166" s="2" t="s">
        <v>927</v>
      </c>
      <c r="D166" s="32">
        <v>0</v>
      </c>
      <c r="E166" s="32"/>
      <c r="F166" s="32"/>
      <c r="G166" s="32"/>
      <c r="H166" s="32"/>
      <c r="I166" s="32"/>
      <c r="J166" s="38" t="s">
        <v>325</v>
      </c>
      <c r="K166" s="2" t="s">
        <v>326</v>
      </c>
      <c r="L166" s="2"/>
      <c r="N166" s="13" t="b">
        <f t="shared" si="8"/>
        <v>1</v>
      </c>
      <c r="O166" s="13" t="s">
        <v>518</v>
      </c>
      <c r="P166" s="13" t="s">
        <v>927</v>
      </c>
      <c r="Q166" s="285">
        <v>0</v>
      </c>
      <c r="R166" s="13" t="s">
        <v>522</v>
      </c>
      <c r="S166" s="13" t="s">
        <v>929</v>
      </c>
      <c r="T166" s="13">
        <v>0</v>
      </c>
      <c r="U166" s="285" t="b">
        <f t="shared" si="6"/>
        <v>0</v>
      </c>
      <c r="V166" s="285">
        <f t="shared" si="7"/>
        <v>0</v>
      </c>
    </row>
    <row r="167" spans="2:22">
      <c r="B167" s="37" t="s">
        <v>520</v>
      </c>
      <c r="C167" s="2" t="s">
        <v>928</v>
      </c>
      <c r="D167" s="32">
        <v>0</v>
      </c>
      <c r="E167" s="32"/>
      <c r="F167" s="32"/>
      <c r="G167" s="32"/>
      <c r="H167" s="32"/>
      <c r="I167" s="32"/>
      <c r="J167" s="38" t="s">
        <v>325</v>
      </c>
      <c r="K167" s="2" t="s">
        <v>326</v>
      </c>
      <c r="L167" s="2"/>
      <c r="N167" s="13" t="b">
        <f t="shared" si="8"/>
        <v>1</v>
      </c>
      <c r="O167" s="13" t="s">
        <v>520</v>
      </c>
      <c r="P167" s="13" t="s">
        <v>928</v>
      </c>
      <c r="Q167" s="285">
        <v>0</v>
      </c>
      <c r="R167" s="13" t="s">
        <v>930</v>
      </c>
      <c r="S167" s="13" t="s">
        <v>931</v>
      </c>
      <c r="T167" s="13">
        <v>0</v>
      </c>
      <c r="U167" s="285" t="b">
        <f t="shared" si="6"/>
        <v>0</v>
      </c>
      <c r="V167" s="285">
        <f t="shared" si="7"/>
        <v>0</v>
      </c>
    </row>
    <row r="168" spans="2:22">
      <c r="B168" s="37" t="s">
        <v>522</v>
      </c>
      <c r="C168" s="2" t="s">
        <v>929</v>
      </c>
      <c r="D168" s="32">
        <v>0</v>
      </c>
      <c r="E168" s="32"/>
      <c r="F168" s="32"/>
      <c r="G168" s="32"/>
      <c r="H168" s="32"/>
      <c r="I168" s="32"/>
      <c r="J168" s="38" t="s">
        <v>325</v>
      </c>
      <c r="K168" s="2" t="s">
        <v>326</v>
      </c>
      <c r="L168" s="2"/>
      <c r="N168" s="13" t="b">
        <f t="shared" si="8"/>
        <v>1</v>
      </c>
      <c r="O168" s="13" t="s">
        <v>522</v>
      </c>
      <c r="P168" s="13" t="s">
        <v>929</v>
      </c>
      <c r="Q168" s="285">
        <v>0</v>
      </c>
      <c r="R168" s="13" t="s">
        <v>907</v>
      </c>
      <c r="S168" s="13" t="s">
        <v>523</v>
      </c>
      <c r="T168" s="13">
        <v>0</v>
      </c>
      <c r="U168" s="285" t="b">
        <f t="shared" si="6"/>
        <v>0</v>
      </c>
      <c r="V168" s="285">
        <f t="shared" si="7"/>
        <v>0</v>
      </c>
    </row>
    <row r="169" spans="2:22">
      <c r="B169" s="37" t="s">
        <v>930</v>
      </c>
      <c r="C169" s="2" t="s">
        <v>931</v>
      </c>
      <c r="D169" s="32">
        <v>0</v>
      </c>
      <c r="E169" s="32"/>
      <c r="F169" s="32"/>
      <c r="G169" s="32"/>
      <c r="H169" s="32"/>
      <c r="I169" s="32"/>
      <c r="J169" s="38" t="s">
        <v>325</v>
      </c>
      <c r="K169" s="2" t="s">
        <v>326</v>
      </c>
      <c r="L169" s="2"/>
      <c r="N169" s="13" t="b">
        <f t="shared" si="8"/>
        <v>1</v>
      </c>
      <c r="O169" s="13" t="s">
        <v>930</v>
      </c>
      <c r="P169" s="13" t="s">
        <v>931</v>
      </c>
      <c r="Q169" s="285"/>
      <c r="U169" s="285" t="b">
        <f t="shared" si="6"/>
        <v>0</v>
      </c>
      <c r="V169" s="285">
        <f t="shared" si="7"/>
        <v>0</v>
      </c>
    </row>
    <row r="170" spans="2:22">
      <c r="B170" s="37" t="s">
        <v>907</v>
      </c>
      <c r="C170" s="2" t="s">
        <v>523</v>
      </c>
      <c r="D170" s="32">
        <v>0</v>
      </c>
      <c r="E170" s="32"/>
      <c r="F170" s="32"/>
      <c r="G170" s="32"/>
      <c r="H170" s="32"/>
      <c r="I170" s="32"/>
      <c r="J170" s="38" t="s">
        <v>325</v>
      </c>
      <c r="K170" s="2" t="s">
        <v>326</v>
      </c>
      <c r="L170" s="2"/>
      <c r="N170" s="13" t="b">
        <f t="shared" si="8"/>
        <v>1</v>
      </c>
      <c r="O170" s="13" t="s">
        <v>907</v>
      </c>
      <c r="P170" s="13" t="s">
        <v>523</v>
      </c>
      <c r="Q170" s="285">
        <v>15845366684</v>
      </c>
      <c r="S170" s="13" t="s">
        <v>932</v>
      </c>
      <c r="T170" s="13">
        <v>15845366684</v>
      </c>
      <c r="U170" s="285" t="b">
        <f t="shared" si="6"/>
        <v>0</v>
      </c>
      <c r="V170" s="285">
        <f t="shared" si="7"/>
        <v>0</v>
      </c>
    </row>
    <row r="171" spans="2:22">
      <c r="B171" s="37"/>
      <c r="C171" s="2"/>
      <c r="D171" s="32"/>
      <c r="E171" s="32"/>
      <c r="F171" s="32"/>
      <c r="G171" s="32"/>
      <c r="H171" s="32"/>
      <c r="I171" s="32"/>
      <c r="J171" s="38"/>
      <c r="K171" s="2"/>
      <c r="L171" s="2"/>
      <c r="N171" s="13" t="b">
        <f t="shared" si="8"/>
        <v>1</v>
      </c>
      <c r="Q171" s="285">
        <v>9278364191</v>
      </c>
      <c r="R171" s="13" t="s">
        <v>933</v>
      </c>
      <c r="S171" s="13" t="s">
        <v>338</v>
      </c>
      <c r="T171" s="13">
        <v>9278364191</v>
      </c>
      <c r="U171" s="285" t="b">
        <f t="shared" si="6"/>
        <v>0</v>
      </c>
      <c r="V171" s="285">
        <f t="shared" si="7"/>
        <v>0</v>
      </c>
    </row>
    <row r="172" spans="2:22">
      <c r="B172" s="29"/>
      <c r="C172" s="30" t="s">
        <v>932</v>
      </c>
      <c r="D172" s="31">
        <v>15845366684</v>
      </c>
      <c r="E172" s="31"/>
      <c r="F172" s="31"/>
      <c r="G172" s="31"/>
      <c r="H172" s="31"/>
      <c r="I172" s="32"/>
      <c r="J172" s="38">
        <v>0</v>
      </c>
      <c r="K172" s="2" t="s">
        <v>66</v>
      </c>
      <c r="L172" s="2"/>
      <c r="N172" s="13" t="b">
        <f t="shared" si="8"/>
        <v>1</v>
      </c>
      <c r="P172" s="13" t="s">
        <v>932</v>
      </c>
      <c r="Q172" s="285">
        <v>2153825190</v>
      </c>
      <c r="R172" s="13" t="s">
        <v>335</v>
      </c>
      <c r="S172" s="13" t="s">
        <v>336</v>
      </c>
      <c r="T172" s="13">
        <v>2153825190</v>
      </c>
      <c r="U172" s="285" t="b">
        <f t="shared" si="6"/>
        <v>0</v>
      </c>
      <c r="V172" s="285">
        <f t="shared" si="7"/>
        <v>0</v>
      </c>
    </row>
    <row r="173" spans="2:22">
      <c r="B173" s="29" t="s">
        <v>933</v>
      </c>
      <c r="C173" s="30" t="s">
        <v>338</v>
      </c>
      <c r="D173" s="31">
        <v>9278364191</v>
      </c>
      <c r="E173" s="31"/>
      <c r="F173" s="31"/>
      <c r="G173" s="31"/>
      <c r="H173" s="31"/>
      <c r="I173" s="32"/>
      <c r="J173" s="38">
        <v>0</v>
      </c>
      <c r="K173" s="2" t="s">
        <v>66</v>
      </c>
      <c r="L173" s="2"/>
      <c r="N173" s="13" t="b">
        <f t="shared" si="8"/>
        <v>1</v>
      </c>
      <c r="O173" s="13" t="s">
        <v>933</v>
      </c>
      <c r="P173" s="13" t="s">
        <v>338</v>
      </c>
      <c r="Q173" s="285">
        <v>30657750</v>
      </c>
      <c r="R173" s="13" t="s">
        <v>339</v>
      </c>
      <c r="S173" s="13" t="s">
        <v>340</v>
      </c>
      <c r="T173" s="13">
        <v>30657750</v>
      </c>
      <c r="U173" s="285" t="b">
        <f t="shared" si="6"/>
        <v>0</v>
      </c>
      <c r="V173" s="285">
        <f t="shared" si="7"/>
        <v>0</v>
      </c>
    </row>
    <row r="174" spans="2:22">
      <c r="B174" s="37" t="s">
        <v>335</v>
      </c>
      <c r="C174" s="2" t="s">
        <v>336</v>
      </c>
      <c r="D174" s="32">
        <v>2153825190</v>
      </c>
      <c r="E174" s="32"/>
      <c r="F174" s="32"/>
      <c r="G174" s="32"/>
      <c r="H174" s="32"/>
      <c r="I174" s="32"/>
      <c r="J174" s="38" t="s">
        <v>337</v>
      </c>
      <c r="K174" s="2" t="s">
        <v>338</v>
      </c>
      <c r="L174" s="2"/>
      <c r="N174" s="13" t="b">
        <f t="shared" si="8"/>
        <v>1</v>
      </c>
      <c r="O174" s="13" t="s">
        <v>335</v>
      </c>
      <c r="P174" s="13" t="s">
        <v>336</v>
      </c>
      <c r="Q174" s="285">
        <v>174543980</v>
      </c>
      <c r="R174" s="13" t="s">
        <v>341</v>
      </c>
      <c r="S174" s="13" t="s">
        <v>342</v>
      </c>
      <c r="T174" s="13">
        <v>174543980</v>
      </c>
      <c r="U174" s="285" t="b">
        <f t="shared" si="6"/>
        <v>0</v>
      </c>
      <c r="V174" s="285">
        <f t="shared" si="7"/>
        <v>0</v>
      </c>
    </row>
    <row r="175" spans="2:22">
      <c r="B175" s="37" t="s">
        <v>339</v>
      </c>
      <c r="C175" s="2" t="s">
        <v>340</v>
      </c>
      <c r="D175" s="32">
        <v>30657750</v>
      </c>
      <c r="E175" s="32"/>
      <c r="F175" s="32"/>
      <c r="G175" s="32"/>
      <c r="H175" s="32"/>
      <c r="I175" s="32"/>
      <c r="J175" s="38" t="s">
        <v>337</v>
      </c>
      <c r="K175" s="2" t="s">
        <v>338</v>
      </c>
      <c r="L175" s="34"/>
      <c r="N175" s="13" t="b">
        <f t="shared" si="8"/>
        <v>1</v>
      </c>
      <c r="O175" s="13" t="s">
        <v>339</v>
      </c>
      <c r="P175" s="13" t="s">
        <v>340</v>
      </c>
      <c r="Q175" s="285">
        <v>488803925</v>
      </c>
      <c r="R175" s="13" t="s">
        <v>343</v>
      </c>
      <c r="S175" s="13" t="s">
        <v>344</v>
      </c>
      <c r="T175" s="13">
        <v>488803925</v>
      </c>
      <c r="U175" s="285" t="b">
        <f t="shared" si="6"/>
        <v>0</v>
      </c>
      <c r="V175" s="285">
        <f t="shared" si="7"/>
        <v>0</v>
      </c>
    </row>
    <row r="176" spans="2:22">
      <c r="B176" s="37" t="s">
        <v>341</v>
      </c>
      <c r="C176" s="2" t="s">
        <v>342</v>
      </c>
      <c r="D176" s="32">
        <v>174543980</v>
      </c>
      <c r="E176" s="32"/>
      <c r="F176" s="32"/>
      <c r="G176" s="32"/>
      <c r="H176" s="32"/>
      <c r="I176" s="32"/>
      <c r="J176" s="38" t="s">
        <v>337</v>
      </c>
      <c r="K176" s="2" t="s">
        <v>338</v>
      </c>
      <c r="L176" s="34"/>
      <c r="N176" s="13" t="b">
        <f t="shared" si="8"/>
        <v>1</v>
      </c>
      <c r="O176" s="13" t="s">
        <v>341</v>
      </c>
      <c r="P176" s="13" t="s">
        <v>342</v>
      </c>
      <c r="Q176" s="285">
        <v>329453136</v>
      </c>
      <c r="R176" s="13" t="s">
        <v>345</v>
      </c>
      <c r="S176" s="13" t="s">
        <v>346</v>
      </c>
      <c r="T176" s="13">
        <v>329453136</v>
      </c>
      <c r="U176" s="285" t="b">
        <f t="shared" si="6"/>
        <v>0</v>
      </c>
      <c r="V176" s="285">
        <f t="shared" si="7"/>
        <v>0</v>
      </c>
    </row>
    <row r="177" spans="2:22">
      <c r="B177" s="37" t="s">
        <v>343</v>
      </c>
      <c r="C177" s="2" t="s">
        <v>344</v>
      </c>
      <c r="D177" s="32">
        <v>488803925</v>
      </c>
      <c r="E177" s="32"/>
      <c r="F177" s="32"/>
      <c r="G177" s="32"/>
      <c r="H177" s="32"/>
      <c r="I177" s="32"/>
      <c r="J177" s="38" t="s">
        <v>337</v>
      </c>
      <c r="K177" s="2" t="s">
        <v>338</v>
      </c>
      <c r="L177" s="34"/>
      <c r="N177" s="13" t="b">
        <f t="shared" si="8"/>
        <v>1</v>
      </c>
      <c r="O177" s="13" t="s">
        <v>343</v>
      </c>
      <c r="P177" s="13" t="s">
        <v>344</v>
      </c>
      <c r="Q177" s="285">
        <v>34560992</v>
      </c>
      <c r="R177" s="13" t="s">
        <v>347</v>
      </c>
      <c r="S177" s="13" t="s">
        <v>348</v>
      </c>
      <c r="T177" s="13">
        <v>34560992</v>
      </c>
      <c r="U177" s="285" t="b">
        <f t="shared" si="6"/>
        <v>0</v>
      </c>
      <c r="V177" s="285">
        <f t="shared" si="7"/>
        <v>0</v>
      </c>
    </row>
    <row r="178" spans="2:22">
      <c r="B178" s="37" t="s">
        <v>345</v>
      </c>
      <c r="C178" s="2" t="s">
        <v>346</v>
      </c>
      <c r="D178" s="32">
        <v>329453136</v>
      </c>
      <c r="E178" s="32"/>
      <c r="F178" s="32"/>
      <c r="G178" s="32"/>
      <c r="H178" s="32"/>
      <c r="I178" s="32"/>
      <c r="J178" s="38" t="s">
        <v>337</v>
      </c>
      <c r="K178" s="2" t="s">
        <v>338</v>
      </c>
      <c r="L178" s="34"/>
      <c r="N178" s="13" t="b">
        <f t="shared" si="8"/>
        <v>1</v>
      </c>
      <c r="O178" s="13" t="s">
        <v>345</v>
      </c>
      <c r="P178" s="13" t="s">
        <v>346</v>
      </c>
      <c r="Q178" s="285">
        <v>15949764</v>
      </c>
      <c r="R178" s="13" t="s">
        <v>349</v>
      </c>
      <c r="S178" s="13" t="s">
        <v>350</v>
      </c>
      <c r="T178" s="13">
        <v>15949764</v>
      </c>
      <c r="U178" s="285" t="b">
        <f t="shared" si="6"/>
        <v>0</v>
      </c>
      <c r="V178" s="285">
        <f t="shared" si="7"/>
        <v>0</v>
      </c>
    </row>
    <row r="179" spans="2:22">
      <c r="B179" s="37" t="s">
        <v>347</v>
      </c>
      <c r="C179" s="2" t="s">
        <v>348</v>
      </c>
      <c r="D179" s="32">
        <v>34560992</v>
      </c>
      <c r="E179" s="32"/>
      <c r="F179" s="32"/>
      <c r="G179" s="32"/>
      <c r="H179" s="32"/>
      <c r="I179" s="32"/>
      <c r="J179" s="38" t="s">
        <v>337</v>
      </c>
      <c r="K179" s="2" t="s">
        <v>338</v>
      </c>
      <c r="L179" s="34"/>
      <c r="N179" s="13" t="b">
        <f t="shared" si="8"/>
        <v>1</v>
      </c>
      <c r="O179" s="13" t="s">
        <v>347</v>
      </c>
      <c r="P179" s="13" t="s">
        <v>348</v>
      </c>
      <c r="Q179" s="285">
        <v>4477420</v>
      </c>
      <c r="R179" s="13" t="s">
        <v>861</v>
      </c>
      <c r="S179" s="13" t="s">
        <v>862</v>
      </c>
      <c r="T179" s="13">
        <v>4477420</v>
      </c>
      <c r="U179" s="285" t="b">
        <f t="shared" si="6"/>
        <v>0</v>
      </c>
      <c r="V179" s="285">
        <f t="shared" si="7"/>
        <v>0</v>
      </c>
    </row>
    <row r="180" spans="2:22">
      <c r="B180" s="37" t="s">
        <v>349</v>
      </c>
      <c r="C180" s="2" t="s">
        <v>350</v>
      </c>
      <c r="D180" s="32">
        <v>15949764</v>
      </c>
      <c r="E180" s="32"/>
      <c r="F180" s="32"/>
      <c r="G180" s="32"/>
      <c r="H180" s="32"/>
      <c r="I180" s="32"/>
      <c r="J180" s="38" t="s">
        <v>337</v>
      </c>
      <c r="K180" s="2" t="s">
        <v>338</v>
      </c>
      <c r="L180" s="34"/>
      <c r="N180" s="13" t="b">
        <f t="shared" si="8"/>
        <v>1</v>
      </c>
      <c r="O180" s="13" t="s">
        <v>349</v>
      </c>
      <c r="P180" s="13" t="s">
        <v>350</v>
      </c>
      <c r="Q180" s="285">
        <v>95181840</v>
      </c>
      <c r="R180" s="13" t="s">
        <v>351</v>
      </c>
      <c r="S180" s="13" t="s">
        <v>352</v>
      </c>
      <c r="T180" s="13">
        <v>95181840</v>
      </c>
      <c r="U180" s="285" t="b">
        <f t="shared" si="6"/>
        <v>0</v>
      </c>
      <c r="V180" s="285">
        <f t="shared" si="7"/>
        <v>0</v>
      </c>
    </row>
    <row r="181" spans="2:22">
      <c r="B181" s="37" t="s">
        <v>861</v>
      </c>
      <c r="C181" s="2" t="s">
        <v>862</v>
      </c>
      <c r="D181" s="32">
        <v>4477420</v>
      </c>
      <c r="E181" s="32"/>
      <c r="F181" s="32"/>
      <c r="G181" s="32"/>
      <c r="H181" s="32"/>
      <c r="I181" s="32"/>
      <c r="J181" s="38" t="s">
        <v>337</v>
      </c>
      <c r="K181" s="2" t="s">
        <v>338</v>
      </c>
      <c r="L181" s="34"/>
      <c r="N181" s="13" t="b">
        <f t="shared" si="8"/>
        <v>1</v>
      </c>
      <c r="O181" s="13" t="s">
        <v>861</v>
      </c>
      <c r="P181" s="13" t="s">
        <v>862</v>
      </c>
      <c r="Q181" s="285">
        <v>28474198</v>
      </c>
      <c r="R181" s="13" t="s">
        <v>353</v>
      </c>
      <c r="S181" s="13" t="s">
        <v>354</v>
      </c>
      <c r="T181" s="13">
        <v>28474198</v>
      </c>
      <c r="U181" s="285" t="b">
        <f t="shared" si="6"/>
        <v>0</v>
      </c>
      <c r="V181" s="285">
        <f t="shared" si="7"/>
        <v>0</v>
      </c>
    </row>
    <row r="182" spans="2:22">
      <c r="B182" s="37" t="s">
        <v>351</v>
      </c>
      <c r="C182" s="2" t="s">
        <v>352</v>
      </c>
      <c r="D182" s="32">
        <v>95181840</v>
      </c>
      <c r="E182" s="32"/>
      <c r="F182" s="32"/>
      <c r="G182" s="32"/>
      <c r="H182" s="32"/>
      <c r="I182" s="32"/>
      <c r="J182" s="38" t="s">
        <v>337</v>
      </c>
      <c r="K182" s="2" t="s">
        <v>338</v>
      </c>
      <c r="L182" s="34"/>
      <c r="N182" s="13" t="b">
        <f t="shared" si="8"/>
        <v>1</v>
      </c>
      <c r="O182" s="13" t="s">
        <v>351</v>
      </c>
      <c r="P182" s="13" t="s">
        <v>352</v>
      </c>
      <c r="Q182" s="285">
        <v>101926916</v>
      </c>
      <c r="R182" s="13" t="s">
        <v>355</v>
      </c>
      <c r="S182" s="13" t="s">
        <v>356</v>
      </c>
      <c r="T182" s="13">
        <v>101926916</v>
      </c>
      <c r="U182" s="285" t="b">
        <f t="shared" si="6"/>
        <v>0</v>
      </c>
      <c r="V182" s="285">
        <f t="shared" si="7"/>
        <v>0</v>
      </c>
    </row>
    <row r="183" spans="2:22">
      <c r="B183" s="37" t="s">
        <v>353</v>
      </c>
      <c r="C183" s="2" t="s">
        <v>354</v>
      </c>
      <c r="D183" s="32">
        <v>28474198</v>
      </c>
      <c r="E183" s="32"/>
      <c r="F183" s="32"/>
      <c r="G183" s="32"/>
      <c r="H183" s="32"/>
      <c r="I183" s="32"/>
      <c r="J183" s="38" t="s">
        <v>337</v>
      </c>
      <c r="K183" s="2" t="s">
        <v>338</v>
      </c>
      <c r="L183" s="34"/>
      <c r="N183" s="13" t="b">
        <f t="shared" si="8"/>
        <v>1</v>
      </c>
      <c r="O183" s="13" t="s">
        <v>353</v>
      </c>
      <c r="P183" s="13" t="s">
        <v>354</v>
      </c>
      <c r="Q183" s="285">
        <v>80312275</v>
      </c>
      <c r="R183" s="13" t="s">
        <v>357</v>
      </c>
      <c r="S183" s="13" t="s">
        <v>358</v>
      </c>
      <c r="T183" s="13">
        <v>80312275</v>
      </c>
      <c r="U183" s="285" t="b">
        <f t="shared" si="6"/>
        <v>0</v>
      </c>
      <c r="V183" s="285">
        <f t="shared" si="7"/>
        <v>0</v>
      </c>
    </row>
    <row r="184" spans="2:22">
      <c r="B184" s="37" t="s">
        <v>355</v>
      </c>
      <c r="C184" s="2" t="s">
        <v>356</v>
      </c>
      <c r="D184" s="32">
        <v>101926916</v>
      </c>
      <c r="E184" s="32"/>
      <c r="F184" s="32"/>
      <c r="G184" s="32"/>
      <c r="H184" s="32"/>
      <c r="I184" s="32"/>
      <c r="J184" s="38" t="s">
        <v>337</v>
      </c>
      <c r="K184" s="2" t="s">
        <v>338</v>
      </c>
      <c r="L184" s="34"/>
      <c r="N184" s="13" t="b">
        <f t="shared" si="8"/>
        <v>1</v>
      </c>
      <c r="O184" s="13" t="s">
        <v>355</v>
      </c>
      <c r="P184" s="13" t="s">
        <v>356</v>
      </c>
      <c r="Q184" s="285">
        <v>16158250</v>
      </c>
      <c r="R184" s="13" t="s">
        <v>359</v>
      </c>
      <c r="S184" s="13" t="s">
        <v>360</v>
      </c>
      <c r="T184" s="13">
        <v>16158250</v>
      </c>
      <c r="U184" s="285" t="b">
        <f t="shared" si="6"/>
        <v>0</v>
      </c>
      <c r="V184" s="285">
        <f t="shared" si="7"/>
        <v>0</v>
      </c>
    </row>
    <row r="185" spans="2:22">
      <c r="B185" s="37" t="s">
        <v>357</v>
      </c>
      <c r="C185" s="2" t="s">
        <v>358</v>
      </c>
      <c r="D185" s="32">
        <v>80312275</v>
      </c>
      <c r="E185" s="32"/>
      <c r="F185" s="32"/>
      <c r="G185" s="32"/>
      <c r="H185" s="32"/>
      <c r="I185" s="32"/>
      <c r="J185" s="38" t="s">
        <v>337</v>
      </c>
      <c r="K185" s="2" t="s">
        <v>338</v>
      </c>
      <c r="L185" s="34"/>
      <c r="N185" s="13" t="b">
        <f t="shared" si="8"/>
        <v>1</v>
      </c>
      <c r="O185" s="13" t="s">
        <v>357</v>
      </c>
      <c r="P185" s="13" t="s">
        <v>358</v>
      </c>
      <c r="Q185" s="285">
        <v>13174523</v>
      </c>
      <c r="R185" s="13" t="s">
        <v>361</v>
      </c>
      <c r="S185" s="13" t="s">
        <v>362</v>
      </c>
      <c r="T185" s="13">
        <v>13174523</v>
      </c>
      <c r="U185" s="285" t="b">
        <f t="shared" si="6"/>
        <v>0</v>
      </c>
      <c r="V185" s="285">
        <f t="shared" si="7"/>
        <v>0</v>
      </c>
    </row>
    <row r="186" spans="2:22">
      <c r="B186" s="37" t="s">
        <v>359</v>
      </c>
      <c r="C186" s="2" t="s">
        <v>360</v>
      </c>
      <c r="D186" s="32">
        <v>16158250</v>
      </c>
      <c r="E186" s="32"/>
      <c r="F186" s="32"/>
      <c r="G186" s="32"/>
      <c r="H186" s="32"/>
      <c r="I186" s="32"/>
      <c r="J186" s="38" t="s">
        <v>337</v>
      </c>
      <c r="K186" s="2" t="s">
        <v>338</v>
      </c>
      <c r="L186" s="34"/>
      <c r="N186" s="13" t="b">
        <f t="shared" si="8"/>
        <v>1</v>
      </c>
      <c r="O186" s="13" t="s">
        <v>359</v>
      </c>
      <c r="P186" s="13" t="s">
        <v>360</v>
      </c>
      <c r="Q186" s="285">
        <v>3882458</v>
      </c>
      <c r="R186" s="13" t="s">
        <v>363</v>
      </c>
      <c r="S186" s="13" t="s">
        <v>364</v>
      </c>
      <c r="T186" s="13">
        <v>3882458</v>
      </c>
      <c r="U186" s="285" t="b">
        <f t="shared" si="6"/>
        <v>0</v>
      </c>
      <c r="V186" s="285">
        <f t="shared" si="7"/>
        <v>0</v>
      </c>
    </row>
    <row r="187" spans="2:22">
      <c r="B187" s="37" t="s">
        <v>361</v>
      </c>
      <c r="C187" s="2" t="s">
        <v>362</v>
      </c>
      <c r="D187" s="32">
        <v>13174523</v>
      </c>
      <c r="E187" s="32"/>
      <c r="F187" s="32"/>
      <c r="G187" s="32"/>
      <c r="H187" s="32"/>
      <c r="I187" s="32"/>
      <c r="J187" s="38" t="s">
        <v>337</v>
      </c>
      <c r="K187" s="2" t="s">
        <v>338</v>
      </c>
      <c r="L187" s="34"/>
      <c r="N187" s="13" t="b">
        <f t="shared" si="8"/>
        <v>1</v>
      </c>
      <c r="O187" s="13" t="s">
        <v>361</v>
      </c>
      <c r="P187" s="13" t="s">
        <v>362</v>
      </c>
      <c r="Q187" s="285">
        <v>3686249759</v>
      </c>
      <c r="R187" s="13" t="s">
        <v>365</v>
      </c>
      <c r="S187" s="13" t="s">
        <v>366</v>
      </c>
      <c r="T187" s="13">
        <v>3686249759</v>
      </c>
      <c r="U187" s="285" t="b">
        <f t="shared" si="6"/>
        <v>0</v>
      </c>
      <c r="V187" s="285">
        <f t="shared" si="7"/>
        <v>0</v>
      </c>
    </row>
    <row r="188" spans="2:22">
      <c r="B188" s="37" t="s">
        <v>363</v>
      </c>
      <c r="C188" s="2" t="s">
        <v>364</v>
      </c>
      <c r="D188" s="32">
        <v>3882458</v>
      </c>
      <c r="E188" s="32"/>
      <c r="F188" s="32"/>
      <c r="G188" s="32"/>
      <c r="H188" s="32"/>
      <c r="I188" s="32"/>
      <c r="J188" s="38" t="s">
        <v>337</v>
      </c>
      <c r="K188" s="2" t="s">
        <v>338</v>
      </c>
      <c r="L188" s="34"/>
      <c r="N188" s="13" t="b">
        <f t="shared" si="8"/>
        <v>1</v>
      </c>
      <c r="O188" s="13" t="s">
        <v>363</v>
      </c>
      <c r="P188" s="13" t="s">
        <v>364</v>
      </c>
      <c r="Q188" s="285">
        <v>0</v>
      </c>
      <c r="R188" s="13" t="s">
        <v>367</v>
      </c>
      <c r="S188" s="13" t="s">
        <v>368</v>
      </c>
      <c r="T188" s="13">
        <v>0</v>
      </c>
      <c r="U188" s="285" t="b">
        <f t="shared" si="6"/>
        <v>0</v>
      </c>
      <c r="V188" s="285">
        <f t="shared" si="7"/>
        <v>0</v>
      </c>
    </row>
    <row r="189" spans="2:22">
      <c r="B189" s="37" t="s">
        <v>365</v>
      </c>
      <c r="C189" s="2" t="s">
        <v>366</v>
      </c>
      <c r="D189" s="32">
        <v>3686249759</v>
      </c>
      <c r="E189" s="32"/>
      <c r="F189" s="32"/>
      <c r="G189" s="32"/>
      <c r="H189" s="32"/>
      <c r="I189" s="32"/>
      <c r="J189" s="38" t="s">
        <v>337</v>
      </c>
      <c r="K189" s="2" t="s">
        <v>338</v>
      </c>
      <c r="L189" s="34"/>
      <c r="N189" s="13" t="b">
        <f t="shared" si="8"/>
        <v>1</v>
      </c>
      <c r="O189" s="13" t="s">
        <v>365</v>
      </c>
      <c r="P189" s="13" t="s">
        <v>366</v>
      </c>
      <c r="Q189" s="285">
        <v>66628446</v>
      </c>
      <c r="R189" s="13" t="s">
        <v>369</v>
      </c>
      <c r="S189" s="13" t="s">
        <v>370</v>
      </c>
      <c r="T189" s="13">
        <v>66628446</v>
      </c>
      <c r="U189" s="285" t="b">
        <f t="shared" si="6"/>
        <v>0</v>
      </c>
      <c r="V189" s="285">
        <f t="shared" si="7"/>
        <v>0</v>
      </c>
    </row>
    <row r="190" spans="2:22">
      <c r="B190" s="37" t="s">
        <v>367</v>
      </c>
      <c r="C190" s="2" t="s">
        <v>368</v>
      </c>
      <c r="D190" s="32">
        <v>0</v>
      </c>
      <c r="E190" s="32"/>
      <c r="F190" s="32"/>
      <c r="G190" s="32"/>
      <c r="H190" s="32"/>
      <c r="I190" s="32"/>
      <c r="J190" s="38" t="s">
        <v>337</v>
      </c>
      <c r="K190" s="2" t="s">
        <v>338</v>
      </c>
      <c r="L190" s="34"/>
      <c r="N190" s="13" t="b">
        <f t="shared" si="8"/>
        <v>1</v>
      </c>
      <c r="O190" s="13" t="s">
        <v>367</v>
      </c>
      <c r="P190" s="13" t="s">
        <v>368</v>
      </c>
      <c r="Q190" s="285">
        <v>0</v>
      </c>
      <c r="R190" s="13" t="s">
        <v>371</v>
      </c>
      <c r="S190" s="13" t="s">
        <v>372</v>
      </c>
      <c r="T190" s="13">
        <v>0</v>
      </c>
      <c r="U190" s="285" t="b">
        <f t="shared" si="6"/>
        <v>0</v>
      </c>
      <c r="V190" s="285">
        <f t="shared" si="7"/>
        <v>0</v>
      </c>
    </row>
    <row r="191" spans="2:22">
      <c r="B191" s="37" t="s">
        <v>369</v>
      </c>
      <c r="C191" s="2" t="s">
        <v>370</v>
      </c>
      <c r="D191" s="32">
        <v>66628446</v>
      </c>
      <c r="E191" s="32"/>
      <c r="F191" s="32"/>
      <c r="G191" s="32"/>
      <c r="H191" s="32"/>
      <c r="I191" s="32"/>
      <c r="J191" s="38" t="s">
        <v>337</v>
      </c>
      <c r="K191" s="2" t="s">
        <v>338</v>
      </c>
      <c r="L191" s="34"/>
      <c r="N191" s="13" t="b">
        <f t="shared" si="8"/>
        <v>1</v>
      </c>
      <c r="O191" s="13" t="s">
        <v>369</v>
      </c>
      <c r="P191" s="13" t="s">
        <v>370</v>
      </c>
      <c r="Q191" s="285">
        <v>20919923</v>
      </c>
      <c r="R191" s="13" t="s">
        <v>373</v>
      </c>
      <c r="S191" s="13" t="s">
        <v>374</v>
      </c>
      <c r="T191" s="13">
        <v>20919923</v>
      </c>
      <c r="U191" s="285" t="b">
        <f t="shared" si="6"/>
        <v>0</v>
      </c>
      <c r="V191" s="285">
        <f t="shared" si="7"/>
        <v>0</v>
      </c>
    </row>
    <row r="192" spans="2:22">
      <c r="B192" s="37" t="s">
        <v>371</v>
      </c>
      <c r="C192" s="2" t="s">
        <v>372</v>
      </c>
      <c r="D192" s="32">
        <v>0</v>
      </c>
      <c r="E192" s="32"/>
      <c r="F192" s="32"/>
      <c r="G192" s="32"/>
      <c r="H192" s="32"/>
      <c r="I192" s="32"/>
      <c r="J192" s="38" t="s">
        <v>337</v>
      </c>
      <c r="K192" s="2" t="s">
        <v>338</v>
      </c>
      <c r="L192" s="34"/>
      <c r="N192" s="13" t="b">
        <f t="shared" si="8"/>
        <v>1</v>
      </c>
      <c r="O192" s="13" t="s">
        <v>371</v>
      </c>
      <c r="P192" s="13" t="s">
        <v>372</v>
      </c>
      <c r="Q192" s="285">
        <v>636100</v>
      </c>
      <c r="R192" s="13" t="s">
        <v>375</v>
      </c>
      <c r="S192" s="13" t="s">
        <v>376</v>
      </c>
      <c r="T192" s="13">
        <v>636100</v>
      </c>
      <c r="U192" s="285" t="b">
        <f t="shared" si="6"/>
        <v>0</v>
      </c>
      <c r="V192" s="285">
        <f t="shared" si="7"/>
        <v>0</v>
      </c>
    </row>
    <row r="193" spans="2:22">
      <c r="B193" s="37" t="s">
        <v>373</v>
      </c>
      <c r="C193" s="2" t="s">
        <v>374</v>
      </c>
      <c r="D193" s="32">
        <v>20919923</v>
      </c>
      <c r="E193" s="32"/>
      <c r="F193" s="32"/>
      <c r="G193" s="32"/>
      <c r="H193" s="32"/>
      <c r="I193" s="32"/>
      <c r="J193" s="38" t="s">
        <v>337</v>
      </c>
      <c r="K193" s="2" t="s">
        <v>338</v>
      </c>
      <c r="L193" s="34"/>
      <c r="N193" s="13" t="b">
        <f t="shared" si="8"/>
        <v>1</v>
      </c>
      <c r="O193" s="13" t="s">
        <v>373</v>
      </c>
      <c r="P193" s="13" t="s">
        <v>374</v>
      </c>
      <c r="Q193" s="285">
        <v>48281011</v>
      </c>
      <c r="R193" s="13" t="s">
        <v>377</v>
      </c>
      <c r="S193" s="13" t="s">
        <v>378</v>
      </c>
      <c r="T193" s="13">
        <v>48281011</v>
      </c>
      <c r="U193" s="285" t="b">
        <f t="shared" si="6"/>
        <v>0</v>
      </c>
      <c r="V193" s="285">
        <f t="shared" si="7"/>
        <v>0</v>
      </c>
    </row>
    <row r="194" spans="2:22">
      <c r="B194" s="37" t="s">
        <v>375</v>
      </c>
      <c r="C194" s="2" t="s">
        <v>376</v>
      </c>
      <c r="D194" s="32">
        <v>636100</v>
      </c>
      <c r="E194" s="32"/>
      <c r="F194" s="32"/>
      <c r="G194" s="32"/>
      <c r="H194" s="32"/>
      <c r="I194" s="32"/>
      <c r="J194" s="38" t="s">
        <v>337</v>
      </c>
      <c r="K194" s="2" t="s">
        <v>338</v>
      </c>
      <c r="L194" s="34"/>
      <c r="N194" s="13" t="b">
        <f t="shared" si="8"/>
        <v>1</v>
      </c>
      <c r="O194" s="13" t="s">
        <v>375</v>
      </c>
      <c r="P194" s="13" t="s">
        <v>376</v>
      </c>
      <c r="Q194" s="285">
        <v>0</v>
      </c>
      <c r="R194" s="13" t="s">
        <v>379</v>
      </c>
      <c r="S194" s="13" t="s">
        <v>380</v>
      </c>
      <c r="T194" s="13">
        <v>0</v>
      </c>
      <c r="U194" s="285" t="b">
        <f t="shared" si="6"/>
        <v>0</v>
      </c>
      <c r="V194" s="285">
        <f t="shared" si="7"/>
        <v>0</v>
      </c>
    </row>
    <row r="195" spans="2:22">
      <c r="B195" s="37" t="s">
        <v>377</v>
      </c>
      <c r="C195" s="2" t="s">
        <v>378</v>
      </c>
      <c r="D195" s="32">
        <v>48281011</v>
      </c>
      <c r="E195" s="32"/>
      <c r="F195" s="32"/>
      <c r="G195" s="32"/>
      <c r="H195" s="32"/>
      <c r="I195" s="32"/>
      <c r="J195" s="38" t="s">
        <v>337</v>
      </c>
      <c r="K195" s="2" t="s">
        <v>338</v>
      </c>
      <c r="L195" s="34"/>
      <c r="N195" s="13" t="b">
        <f t="shared" si="8"/>
        <v>1</v>
      </c>
      <c r="O195" s="13" t="s">
        <v>377</v>
      </c>
      <c r="P195" s="13" t="s">
        <v>378</v>
      </c>
      <c r="Q195" s="285">
        <v>826897633</v>
      </c>
      <c r="R195" s="13" t="s">
        <v>381</v>
      </c>
      <c r="S195" s="13" t="s">
        <v>382</v>
      </c>
      <c r="T195" s="13">
        <v>826897633</v>
      </c>
      <c r="U195" s="285" t="b">
        <f t="shared" si="6"/>
        <v>0</v>
      </c>
      <c r="V195" s="285">
        <f t="shared" si="7"/>
        <v>0</v>
      </c>
    </row>
    <row r="196" spans="2:22">
      <c r="B196" s="37" t="s">
        <v>379</v>
      </c>
      <c r="C196" s="2" t="s">
        <v>380</v>
      </c>
      <c r="D196" s="32">
        <v>0</v>
      </c>
      <c r="E196" s="32"/>
      <c r="F196" s="32"/>
      <c r="G196" s="32"/>
      <c r="H196" s="32"/>
      <c r="I196" s="32"/>
      <c r="J196" s="38" t="s">
        <v>337</v>
      </c>
      <c r="K196" s="2" t="s">
        <v>338</v>
      </c>
      <c r="L196" s="44"/>
      <c r="N196" s="13" t="b">
        <f t="shared" si="8"/>
        <v>1</v>
      </c>
      <c r="O196" s="13" t="s">
        <v>379</v>
      </c>
      <c r="P196" s="13" t="s">
        <v>380</v>
      </c>
      <c r="Q196" s="285">
        <v>0</v>
      </c>
      <c r="R196" s="13" t="s">
        <v>383</v>
      </c>
      <c r="S196" s="13" t="s">
        <v>384</v>
      </c>
      <c r="T196" s="13">
        <v>0</v>
      </c>
      <c r="U196" s="285" t="b">
        <f t="shared" si="6"/>
        <v>0</v>
      </c>
      <c r="V196" s="285">
        <f t="shared" si="7"/>
        <v>0</v>
      </c>
    </row>
    <row r="197" spans="2:22">
      <c r="B197" s="37" t="s">
        <v>381</v>
      </c>
      <c r="C197" s="2" t="s">
        <v>382</v>
      </c>
      <c r="D197" s="32">
        <v>826897633</v>
      </c>
      <c r="E197" s="32"/>
      <c r="F197" s="32"/>
      <c r="G197" s="32"/>
      <c r="H197" s="32"/>
      <c r="I197" s="32"/>
      <c r="J197" s="38" t="s">
        <v>337</v>
      </c>
      <c r="K197" s="2" t="s">
        <v>338</v>
      </c>
      <c r="L197" s="34"/>
      <c r="N197" s="13" t="b">
        <f t="shared" si="8"/>
        <v>1</v>
      </c>
      <c r="O197" s="13" t="s">
        <v>381</v>
      </c>
      <c r="P197" s="13" t="s">
        <v>382</v>
      </c>
      <c r="Q197" s="285">
        <v>262500126</v>
      </c>
      <c r="R197" s="13" t="s">
        <v>385</v>
      </c>
      <c r="S197" s="13" t="s">
        <v>386</v>
      </c>
      <c r="T197" s="13">
        <v>262500126</v>
      </c>
      <c r="U197" s="285" t="b">
        <f t="shared" si="6"/>
        <v>0</v>
      </c>
      <c r="V197" s="285">
        <f t="shared" si="7"/>
        <v>0</v>
      </c>
    </row>
    <row r="198" spans="2:22">
      <c r="B198" s="37" t="s">
        <v>383</v>
      </c>
      <c r="C198" s="2" t="s">
        <v>384</v>
      </c>
      <c r="D198" s="32">
        <v>0</v>
      </c>
      <c r="E198" s="32"/>
      <c r="F198" s="32"/>
      <c r="G198" s="32"/>
      <c r="H198" s="32"/>
      <c r="I198" s="32"/>
      <c r="J198" s="38" t="s">
        <v>337</v>
      </c>
      <c r="K198" s="2" t="s">
        <v>338</v>
      </c>
      <c r="L198" s="34"/>
      <c r="N198" s="13" t="b">
        <f t="shared" si="8"/>
        <v>1</v>
      </c>
      <c r="O198" s="13" t="s">
        <v>383</v>
      </c>
      <c r="P198" s="13" t="s">
        <v>384</v>
      </c>
      <c r="Q198" s="285">
        <v>0</v>
      </c>
      <c r="R198" s="13" t="s">
        <v>387</v>
      </c>
      <c r="S198" s="13" t="s">
        <v>388</v>
      </c>
      <c r="T198" s="13">
        <v>0</v>
      </c>
      <c r="U198" s="285" t="b">
        <f t="shared" si="6"/>
        <v>0</v>
      </c>
      <c r="V198" s="285">
        <f t="shared" si="7"/>
        <v>0</v>
      </c>
    </row>
    <row r="199" spans="2:22">
      <c r="B199" s="37" t="s">
        <v>385</v>
      </c>
      <c r="C199" s="2" t="s">
        <v>386</v>
      </c>
      <c r="D199" s="32">
        <v>262500126</v>
      </c>
      <c r="E199" s="32"/>
      <c r="F199" s="32"/>
      <c r="G199" s="32"/>
      <c r="H199" s="32"/>
      <c r="I199" s="32"/>
      <c r="J199" s="38" t="s">
        <v>337</v>
      </c>
      <c r="K199" s="2" t="s">
        <v>338</v>
      </c>
      <c r="L199" s="34"/>
      <c r="N199" s="13" t="b">
        <f t="shared" si="8"/>
        <v>1</v>
      </c>
      <c r="O199" s="13" t="s">
        <v>385</v>
      </c>
      <c r="P199" s="13" t="s">
        <v>386</v>
      </c>
      <c r="Q199" s="285">
        <v>219541767</v>
      </c>
      <c r="R199" s="13" t="s">
        <v>389</v>
      </c>
      <c r="S199" s="13" t="s">
        <v>390</v>
      </c>
      <c r="T199" s="13">
        <v>219541767</v>
      </c>
      <c r="U199" s="285" t="b">
        <f t="shared" si="6"/>
        <v>0</v>
      </c>
      <c r="V199" s="285">
        <f t="shared" si="7"/>
        <v>0</v>
      </c>
    </row>
    <row r="200" spans="2:22">
      <c r="B200" s="37" t="s">
        <v>387</v>
      </c>
      <c r="C200" s="2" t="s">
        <v>388</v>
      </c>
      <c r="D200" s="32">
        <v>0</v>
      </c>
      <c r="E200" s="32"/>
      <c r="F200" s="32"/>
      <c r="G200" s="32"/>
      <c r="H200" s="32"/>
      <c r="I200" s="32"/>
      <c r="J200" s="38" t="s">
        <v>337</v>
      </c>
      <c r="K200" s="2" t="s">
        <v>338</v>
      </c>
      <c r="L200" s="34"/>
      <c r="N200" s="13" t="b">
        <f t="shared" si="8"/>
        <v>1</v>
      </c>
      <c r="O200" s="13" t="s">
        <v>387</v>
      </c>
      <c r="P200" s="13" t="s">
        <v>388</v>
      </c>
      <c r="Q200" s="285">
        <v>489354036</v>
      </c>
      <c r="R200" s="13" t="s">
        <v>391</v>
      </c>
      <c r="S200" s="13" t="s">
        <v>392</v>
      </c>
      <c r="T200" s="13">
        <v>489354036</v>
      </c>
      <c r="U200" s="285" t="b">
        <f t="shared" ref="U200:U258" si="9">O200=R200</f>
        <v>0</v>
      </c>
      <c r="V200" s="285">
        <f t="shared" ref="V200:V258" si="10">Q200-T200</f>
        <v>0</v>
      </c>
    </row>
    <row r="201" spans="2:22">
      <c r="B201" s="37" t="s">
        <v>389</v>
      </c>
      <c r="C201" s="2" t="s">
        <v>390</v>
      </c>
      <c r="D201" s="32">
        <v>219541767</v>
      </c>
      <c r="E201" s="32"/>
      <c r="F201" s="32"/>
      <c r="G201" s="32"/>
      <c r="H201" s="32"/>
      <c r="I201" s="32"/>
      <c r="J201" s="38" t="s">
        <v>337</v>
      </c>
      <c r="K201" s="2" t="s">
        <v>338</v>
      </c>
      <c r="L201" s="34"/>
      <c r="N201" s="13" t="b">
        <f t="shared" ref="N201:N260" si="11">O201=B201</f>
        <v>1</v>
      </c>
      <c r="O201" s="13" t="s">
        <v>389</v>
      </c>
      <c r="P201" s="13" t="s">
        <v>390</v>
      </c>
      <c r="Q201" s="285">
        <v>0</v>
      </c>
      <c r="R201" s="13" t="s">
        <v>393</v>
      </c>
      <c r="S201" s="13" t="s">
        <v>394</v>
      </c>
      <c r="T201" s="13">
        <v>0</v>
      </c>
      <c r="U201" s="285" t="b">
        <f t="shared" si="9"/>
        <v>0</v>
      </c>
      <c r="V201" s="285">
        <f t="shared" si="10"/>
        <v>0</v>
      </c>
    </row>
    <row r="202" spans="2:22">
      <c r="B202" s="37" t="s">
        <v>391</v>
      </c>
      <c r="C202" s="2" t="s">
        <v>392</v>
      </c>
      <c r="D202" s="32">
        <v>489354036</v>
      </c>
      <c r="E202" s="32"/>
      <c r="F202" s="32"/>
      <c r="G202" s="32"/>
      <c r="H202" s="32"/>
      <c r="I202" s="32"/>
      <c r="J202" s="38" t="s">
        <v>337</v>
      </c>
      <c r="K202" s="2" t="s">
        <v>338</v>
      </c>
      <c r="L202" s="34"/>
      <c r="N202" s="13" t="b">
        <f t="shared" si="11"/>
        <v>1</v>
      </c>
      <c r="O202" s="13" t="s">
        <v>391</v>
      </c>
      <c r="P202" s="13" t="s">
        <v>392</v>
      </c>
      <c r="Q202" s="285">
        <v>85972773</v>
      </c>
      <c r="R202" s="13" t="s">
        <v>395</v>
      </c>
      <c r="S202" s="13" t="s">
        <v>396</v>
      </c>
      <c r="T202" s="13">
        <v>85972773</v>
      </c>
      <c r="U202" s="285" t="b">
        <f t="shared" si="9"/>
        <v>0</v>
      </c>
      <c r="V202" s="285">
        <f t="shared" si="10"/>
        <v>0</v>
      </c>
    </row>
    <row r="203" spans="2:22">
      <c r="B203" s="37" t="s">
        <v>393</v>
      </c>
      <c r="C203" s="2" t="s">
        <v>394</v>
      </c>
      <c r="D203" s="32">
        <v>0</v>
      </c>
      <c r="E203" s="32"/>
      <c r="F203" s="32"/>
      <c r="G203" s="32"/>
      <c r="H203" s="32"/>
      <c r="I203" s="32"/>
      <c r="J203" s="38" t="s">
        <v>337</v>
      </c>
      <c r="K203" s="2" t="s">
        <v>338</v>
      </c>
      <c r="L203" s="34"/>
      <c r="N203" s="13" t="b">
        <f t="shared" si="11"/>
        <v>1</v>
      </c>
      <c r="O203" s="13" t="s">
        <v>393</v>
      </c>
      <c r="P203" s="13" t="s">
        <v>394</v>
      </c>
      <c r="Q203" s="285">
        <v>0</v>
      </c>
      <c r="R203" s="13" t="s">
        <v>397</v>
      </c>
      <c r="S203" s="13" t="s">
        <v>398</v>
      </c>
      <c r="T203" s="13">
        <v>0</v>
      </c>
      <c r="U203" s="285" t="b">
        <f t="shared" si="9"/>
        <v>0</v>
      </c>
      <c r="V203" s="285">
        <f t="shared" si="10"/>
        <v>0</v>
      </c>
    </row>
    <row r="204" spans="2:22">
      <c r="B204" s="37" t="s">
        <v>395</v>
      </c>
      <c r="C204" s="2" t="s">
        <v>396</v>
      </c>
      <c r="D204" s="32">
        <v>85972773</v>
      </c>
      <c r="E204" s="32"/>
      <c r="F204" s="32"/>
      <c r="G204" s="32"/>
      <c r="H204" s="32"/>
      <c r="I204" s="32"/>
      <c r="J204" s="38" t="s">
        <v>337</v>
      </c>
      <c r="K204" s="2" t="s">
        <v>338</v>
      </c>
      <c r="L204" s="34"/>
      <c r="N204" s="13" t="b">
        <f t="shared" si="11"/>
        <v>1</v>
      </c>
      <c r="O204" s="13" t="s">
        <v>395</v>
      </c>
      <c r="P204" s="13" t="s">
        <v>396</v>
      </c>
      <c r="Q204" s="285">
        <v>0</v>
      </c>
      <c r="R204" s="13" t="s">
        <v>399</v>
      </c>
      <c r="S204" s="13" t="s">
        <v>400</v>
      </c>
      <c r="T204" s="13">
        <v>0</v>
      </c>
      <c r="U204" s="285" t="b">
        <f t="shared" si="9"/>
        <v>0</v>
      </c>
      <c r="V204" s="285">
        <f t="shared" si="10"/>
        <v>0</v>
      </c>
    </row>
    <row r="205" spans="2:22">
      <c r="B205" s="37" t="s">
        <v>397</v>
      </c>
      <c r="C205" s="2" t="s">
        <v>398</v>
      </c>
      <c r="D205" s="32">
        <v>0</v>
      </c>
      <c r="E205" s="32"/>
      <c r="F205" s="32"/>
      <c r="G205" s="32"/>
      <c r="H205" s="32"/>
      <c r="I205" s="32"/>
      <c r="J205" s="38" t="s">
        <v>337</v>
      </c>
      <c r="K205" s="2" t="s">
        <v>338</v>
      </c>
      <c r="L205" s="34"/>
      <c r="N205" s="13" t="b">
        <f t="shared" si="11"/>
        <v>1</v>
      </c>
      <c r="O205" s="13" t="s">
        <v>397</v>
      </c>
      <c r="P205" s="13" t="s">
        <v>398</v>
      </c>
      <c r="Q205" s="285"/>
      <c r="U205" s="285" t="b">
        <f t="shared" si="9"/>
        <v>0</v>
      </c>
      <c r="V205" s="285">
        <f t="shared" si="10"/>
        <v>0</v>
      </c>
    </row>
    <row r="206" spans="2:22">
      <c r="B206" s="37" t="s">
        <v>399</v>
      </c>
      <c r="C206" s="2" t="s">
        <v>400</v>
      </c>
      <c r="D206" s="32">
        <v>0</v>
      </c>
      <c r="E206" s="32"/>
      <c r="F206" s="32"/>
      <c r="G206" s="32"/>
      <c r="H206" s="32"/>
      <c r="I206" s="32"/>
      <c r="J206" s="38" t="s">
        <v>337</v>
      </c>
      <c r="K206" s="2" t="s">
        <v>338</v>
      </c>
      <c r="L206" s="34"/>
      <c r="N206" s="13" t="b">
        <f t="shared" si="11"/>
        <v>1</v>
      </c>
      <c r="O206" s="13" t="s">
        <v>399</v>
      </c>
      <c r="P206" s="13" t="s">
        <v>400</v>
      </c>
      <c r="Q206" s="285">
        <v>6567002493</v>
      </c>
      <c r="S206" s="13" t="s">
        <v>934</v>
      </c>
      <c r="T206" s="13">
        <v>6567002493</v>
      </c>
      <c r="U206" s="285" t="b">
        <f t="shared" si="9"/>
        <v>0</v>
      </c>
      <c r="V206" s="285">
        <f t="shared" si="10"/>
        <v>0</v>
      </c>
    </row>
    <row r="207" spans="2:22">
      <c r="B207" s="37"/>
      <c r="C207" s="2"/>
      <c r="D207" s="32"/>
      <c r="E207" s="32"/>
      <c r="F207" s="32"/>
      <c r="G207" s="32"/>
      <c r="H207" s="32"/>
      <c r="I207" s="32"/>
      <c r="J207" s="38"/>
      <c r="K207" s="2"/>
      <c r="L207" s="34"/>
      <c r="N207" s="13" t="b">
        <f t="shared" si="11"/>
        <v>1</v>
      </c>
      <c r="Q207" s="285">
        <v>399299862</v>
      </c>
      <c r="R207" s="13" t="s">
        <v>935</v>
      </c>
      <c r="S207" s="13" t="s">
        <v>936</v>
      </c>
      <c r="T207" s="13">
        <v>399299862</v>
      </c>
      <c r="U207" s="285" t="b">
        <f t="shared" si="9"/>
        <v>0</v>
      </c>
      <c r="V207" s="285">
        <f t="shared" si="10"/>
        <v>0</v>
      </c>
    </row>
    <row r="208" spans="2:22">
      <c r="B208" s="29"/>
      <c r="C208" s="30" t="s">
        <v>934</v>
      </c>
      <c r="D208" s="31">
        <v>6567002493</v>
      </c>
      <c r="E208" s="31"/>
      <c r="F208" s="31"/>
      <c r="G208" s="31"/>
      <c r="H208" s="31"/>
      <c r="I208" s="32"/>
      <c r="J208" s="38">
        <v>0</v>
      </c>
      <c r="K208" s="2" t="s">
        <v>66</v>
      </c>
      <c r="L208" s="34"/>
      <c r="N208" s="13" t="b">
        <f t="shared" si="11"/>
        <v>1</v>
      </c>
      <c r="P208" s="13" t="s">
        <v>934</v>
      </c>
      <c r="Q208" s="285">
        <v>0</v>
      </c>
      <c r="R208" s="13" t="s">
        <v>403</v>
      </c>
      <c r="S208" s="13" t="s">
        <v>404</v>
      </c>
      <c r="T208" s="13">
        <v>0</v>
      </c>
      <c r="U208" s="285" t="b">
        <f t="shared" si="9"/>
        <v>0</v>
      </c>
      <c r="V208" s="285">
        <f t="shared" si="10"/>
        <v>0</v>
      </c>
    </row>
    <row r="209" spans="2:22">
      <c r="B209" s="29" t="s">
        <v>935</v>
      </c>
      <c r="C209" s="30" t="s">
        <v>936</v>
      </c>
      <c r="D209" s="31">
        <v>399299862</v>
      </c>
      <c r="E209" s="31"/>
      <c r="F209" s="31"/>
      <c r="G209" s="31"/>
      <c r="H209" s="31"/>
      <c r="I209" s="32"/>
      <c r="J209" s="38">
        <v>0</v>
      </c>
      <c r="K209" s="2" t="s">
        <v>66</v>
      </c>
      <c r="L209" s="34"/>
      <c r="N209" s="13" t="b">
        <f t="shared" si="11"/>
        <v>1</v>
      </c>
      <c r="O209" s="13" t="s">
        <v>935</v>
      </c>
      <c r="P209" s="13" t="s">
        <v>936</v>
      </c>
      <c r="Q209" s="285">
        <v>3948000</v>
      </c>
      <c r="R209" s="13" t="s">
        <v>863</v>
      </c>
      <c r="S209" s="13" t="s">
        <v>864</v>
      </c>
      <c r="T209" s="13">
        <v>3948000</v>
      </c>
      <c r="U209" s="285" t="b">
        <f t="shared" si="9"/>
        <v>0</v>
      </c>
      <c r="V209" s="285">
        <f t="shared" si="10"/>
        <v>0</v>
      </c>
    </row>
    <row r="210" spans="2:22">
      <c r="B210" s="37" t="s">
        <v>403</v>
      </c>
      <c r="C210" s="2" t="s">
        <v>404</v>
      </c>
      <c r="D210" s="32">
        <v>0</v>
      </c>
      <c r="E210" s="32"/>
      <c r="F210" s="32"/>
      <c r="G210" s="32"/>
      <c r="H210" s="32"/>
      <c r="I210" s="32"/>
      <c r="J210" s="38" t="s">
        <v>405</v>
      </c>
      <c r="K210" s="2" t="s">
        <v>406</v>
      </c>
      <c r="L210" s="34"/>
      <c r="N210" s="13" t="b">
        <f t="shared" si="11"/>
        <v>1</v>
      </c>
      <c r="O210" s="13" t="s">
        <v>403</v>
      </c>
      <c r="P210" s="13" t="s">
        <v>404</v>
      </c>
      <c r="Q210" s="285">
        <v>331603885</v>
      </c>
      <c r="R210" s="13" t="s">
        <v>407</v>
      </c>
      <c r="S210" s="13" t="s">
        <v>408</v>
      </c>
      <c r="T210" s="13">
        <v>331603885</v>
      </c>
      <c r="U210" s="285" t="b">
        <f t="shared" si="9"/>
        <v>0</v>
      </c>
      <c r="V210" s="285">
        <f t="shared" si="10"/>
        <v>0</v>
      </c>
    </row>
    <row r="211" spans="2:22">
      <c r="B211" s="37" t="s">
        <v>863</v>
      </c>
      <c r="C211" s="2" t="s">
        <v>864</v>
      </c>
      <c r="D211" s="32">
        <v>3948000</v>
      </c>
      <c r="E211" s="32"/>
      <c r="F211" s="32"/>
      <c r="G211" s="32"/>
      <c r="H211" s="32"/>
      <c r="I211" s="32"/>
      <c r="J211" s="38" t="s">
        <v>405</v>
      </c>
      <c r="K211" s="2" t="s">
        <v>406</v>
      </c>
      <c r="L211" s="34"/>
      <c r="N211" s="13" t="b">
        <f t="shared" si="11"/>
        <v>1</v>
      </c>
      <c r="O211" s="13" t="s">
        <v>863</v>
      </c>
      <c r="P211" s="13" t="s">
        <v>864</v>
      </c>
      <c r="Q211" s="285">
        <v>32978227</v>
      </c>
      <c r="R211" s="13" t="s">
        <v>409</v>
      </c>
      <c r="S211" s="13" t="s">
        <v>410</v>
      </c>
      <c r="T211" s="13">
        <v>32978227</v>
      </c>
      <c r="U211" s="285" t="b">
        <f t="shared" si="9"/>
        <v>0</v>
      </c>
      <c r="V211" s="285">
        <f t="shared" si="10"/>
        <v>0</v>
      </c>
    </row>
    <row r="212" spans="2:22">
      <c r="B212" s="37" t="s">
        <v>407</v>
      </c>
      <c r="C212" s="2" t="s">
        <v>408</v>
      </c>
      <c r="D212" s="32">
        <v>331603885</v>
      </c>
      <c r="E212" s="32"/>
      <c r="F212" s="32"/>
      <c r="G212" s="32"/>
      <c r="H212" s="32"/>
      <c r="I212" s="32"/>
      <c r="J212" s="38" t="s">
        <v>405</v>
      </c>
      <c r="K212" s="2" t="s">
        <v>406</v>
      </c>
      <c r="L212" s="34"/>
      <c r="N212" s="13" t="b">
        <f t="shared" si="11"/>
        <v>1</v>
      </c>
      <c r="O212" s="13" t="s">
        <v>407</v>
      </c>
      <c r="P212" s="13" t="s">
        <v>408</v>
      </c>
      <c r="Q212" s="285">
        <v>46065</v>
      </c>
      <c r="R212" s="13" t="s">
        <v>411</v>
      </c>
      <c r="S212" s="13" t="s">
        <v>524</v>
      </c>
      <c r="T212" s="13">
        <v>46065</v>
      </c>
      <c r="U212" s="285" t="b">
        <f t="shared" si="9"/>
        <v>0</v>
      </c>
      <c r="V212" s="285">
        <f t="shared" si="10"/>
        <v>0</v>
      </c>
    </row>
    <row r="213" spans="2:22">
      <c r="B213" s="37" t="s">
        <v>409</v>
      </c>
      <c r="C213" s="2" t="s">
        <v>410</v>
      </c>
      <c r="D213" s="32">
        <v>32978227</v>
      </c>
      <c r="E213" s="32"/>
      <c r="F213" s="32"/>
      <c r="G213" s="32"/>
      <c r="H213" s="32"/>
      <c r="I213" s="32"/>
      <c r="J213" s="38" t="s">
        <v>405</v>
      </c>
      <c r="K213" s="2" t="s">
        <v>406</v>
      </c>
      <c r="L213" s="34"/>
      <c r="N213" s="13" t="b">
        <f t="shared" si="11"/>
        <v>1</v>
      </c>
      <c r="O213" s="13" t="s">
        <v>409</v>
      </c>
      <c r="P213" s="13" t="s">
        <v>410</v>
      </c>
      <c r="Q213" s="285">
        <v>0</v>
      </c>
      <c r="R213" s="13" t="s">
        <v>412</v>
      </c>
      <c r="S213" s="13" t="s">
        <v>413</v>
      </c>
      <c r="T213" s="13">
        <v>0</v>
      </c>
      <c r="U213" s="285" t="b">
        <f t="shared" si="9"/>
        <v>0</v>
      </c>
      <c r="V213" s="285">
        <f t="shared" si="10"/>
        <v>0</v>
      </c>
    </row>
    <row r="214" spans="2:22">
      <c r="B214" s="37" t="s">
        <v>411</v>
      </c>
      <c r="C214" s="2" t="s">
        <v>524</v>
      </c>
      <c r="D214" s="32">
        <v>46065</v>
      </c>
      <c r="E214" s="32"/>
      <c r="F214" s="32"/>
      <c r="G214" s="32"/>
      <c r="H214" s="32"/>
      <c r="I214" s="32"/>
      <c r="J214" s="38" t="s">
        <v>405</v>
      </c>
      <c r="K214" s="2" t="s">
        <v>406</v>
      </c>
      <c r="L214" s="34"/>
      <c r="N214" s="13" t="b">
        <f t="shared" si="11"/>
        <v>1</v>
      </c>
      <c r="O214" s="13" t="s">
        <v>411</v>
      </c>
      <c r="P214" s="13" t="s">
        <v>524</v>
      </c>
      <c r="Q214" s="285">
        <v>0</v>
      </c>
      <c r="R214" s="13" t="s">
        <v>414</v>
      </c>
      <c r="S214" s="13" t="s">
        <v>415</v>
      </c>
      <c r="T214" s="13">
        <v>0</v>
      </c>
      <c r="U214" s="285" t="b">
        <f t="shared" si="9"/>
        <v>0</v>
      </c>
      <c r="V214" s="285">
        <f t="shared" si="10"/>
        <v>0</v>
      </c>
    </row>
    <row r="215" spans="2:22">
      <c r="B215" s="37" t="s">
        <v>412</v>
      </c>
      <c r="C215" s="2" t="s">
        <v>413</v>
      </c>
      <c r="D215" s="32">
        <v>0</v>
      </c>
      <c r="E215" s="32"/>
      <c r="F215" s="32"/>
      <c r="G215" s="32"/>
      <c r="H215" s="32"/>
      <c r="I215" s="32"/>
      <c r="J215" s="38" t="s">
        <v>405</v>
      </c>
      <c r="K215" s="2" t="s">
        <v>406</v>
      </c>
      <c r="L215" s="34"/>
      <c r="N215" s="13" t="b">
        <f t="shared" si="11"/>
        <v>1</v>
      </c>
      <c r="O215" s="13" t="s">
        <v>412</v>
      </c>
      <c r="P215" s="13" t="s">
        <v>413</v>
      </c>
      <c r="Q215" s="285">
        <v>30723685</v>
      </c>
      <c r="R215" s="13" t="s">
        <v>418</v>
      </c>
      <c r="S215" s="13" t="s">
        <v>419</v>
      </c>
      <c r="T215" s="13">
        <v>30723685</v>
      </c>
      <c r="U215" s="285" t="b">
        <f t="shared" si="9"/>
        <v>0</v>
      </c>
      <c r="V215" s="285">
        <f t="shared" si="10"/>
        <v>0</v>
      </c>
    </row>
    <row r="216" spans="2:22">
      <c r="B216" s="37" t="s">
        <v>414</v>
      </c>
      <c r="C216" s="2" t="s">
        <v>415</v>
      </c>
      <c r="D216" s="32">
        <v>0</v>
      </c>
      <c r="E216" s="32"/>
      <c r="F216" s="32"/>
      <c r="G216" s="32"/>
      <c r="H216" s="32"/>
      <c r="I216" s="32"/>
      <c r="J216" s="38" t="s">
        <v>416</v>
      </c>
      <c r="K216" s="2" t="s">
        <v>417</v>
      </c>
      <c r="L216" s="34"/>
      <c r="N216" s="13" t="b">
        <f t="shared" si="11"/>
        <v>1</v>
      </c>
      <c r="O216" s="13" t="s">
        <v>414</v>
      </c>
      <c r="P216" s="13" t="s">
        <v>415</v>
      </c>
      <c r="Q216" s="285">
        <v>0</v>
      </c>
      <c r="T216" s="13">
        <v>0</v>
      </c>
      <c r="U216" s="285" t="b">
        <f t="shared" si="9"/>
        <v>0</v>
      </c>
      <c r="V216" s="285">
        <f t="shared" si="10"/>
        <v>0</v>
      </c>
    </row>
    <row r="217" spans="2:22">
      <c r="B217" s="37" t="s">
        <v>418</v>
      </c>
      <c r="C217" s="2" t="s">
        <v>419</v>
      </c>
      <c r="D217" s="32">
        <v>30723685</v>
      </c>
      <c r="E217" s="32"/>
      <c r="F217" s="32"/>
      <c r="G217" s="32"/>
      <c r="H217" s="32"/>
      <c r="I217" s="32"/>
      <c r="J217" s="38" t="s">
        <v>405</v>
      </c>
      <c r="K217" s="2" t="s">
        <v>406</v>
      </c>
      <c r="L217" s="34"/>
      <c r="N217" s="13" t="b">
        <f t="shared" si="11"/>
        <v>1</v>
      </c>
      <c r="O217" s="13" t="s">
        <v>418</v>
      </c>
      <c r="P217" s="13" t="s">
        <v>419</v>
      </c>
      <c r="Q217" s="285"/>
      <c r="U217" s="285" t="b">
        <f t="shared" si="9"/>
        <v>0</v>
      </c>
      <c r="V217" s="285">
        <f t="shared" si="10"/>
        <v>0</v>
      </c>
    </row>
    <row r="218" spans="2:22">
      <c r="B218" s="37"/>
      <c r="C218" s="2"/>
      <c r="D218" s="32">
        <v>0</v>
      </c>
      <c r="E218" s="32"/>
      <c r="F218" s="32"/>
      <c r="G218" s="32"/>
      <c r="H218" s="32"/>
      <c r="I218" s="32"/>
      <c r="J218" s="38"/>
      <c r="K218" s="2"/>
      <c r="L218" s="34"/>
      <c r="N218" s="13" t="b">
        <f t="shared" si="11"/>
        <v>1</v>
      </c>
      <c r="Q218" s="285">
        <v>556813628</v>
      </c>
      <c r="R218" s="13" t="s">
        <v>937</v>
      </c>
      <c r="S218" s="13" t="s">
        <v>938</v>
      </c>
      <c r="T218" s="13">
        <v>556813628</v>
      </c>
      <c r="U218" s="285" t="b">
        <f t="shared" si="9"/>
        <v>0</v>
      </c>
      <c r="V218" s="285">
        <f t="shared" si="10"/>
        <v>0</v>
      </c>
    </row>
    <row r="219" spans="2:22">
      <c r="B219" s="37"/>
      <c r="C219" s="2"/>
      <c r="D219" s="32"/>
      <c r="E219" s="32"/>
      <c r="F219" s="32"/>
      <c r="G219" s="32"/>
      <c r="H219" s="32"/>
      <c r="I219" s="32"/>
      <c r="J219" s="38"/>
      <c r="K219" s="2"/>
      <c r="L219" s="34"/>
      <c r="N219" s="13" t="b">
        <f t="shared" si="11"/>
        <v>1</v>
      </c>
      <c r="Q219" s="285">
        <v>0</v>
      </c>
      <c r="R219" s="13" t="s">
        <v>421</v>
      </c>
      <c r="S219" s="13" t="s">
        <v>422</v>
      </c>
      <c r="T219" s="13">
        <v>0</v>
      </c>
      <c r="U219" s="285" t="b">
        <f t="shared" si="9"/>
        <v>0</v>
      </c>
      <c r="V219" s="285">
        <f t="shared" si="10"/>
        <v>0</v>
      </c>
    </row>
    <row r="220" spans="2:22">
      <c r="B220" s="29" t="s">
        <v>937</v>
      </c>
      <c r="C220" s="30" t="s">
        <v>938</v>
      </c>
      <c r="D220" s="31">
        <v>556813628</v>
      </c>
      <c r="E220" s="31"/>
      <c r="F220" s="31"/>
      <c r="G220" s="31"/>
      <c r="H220" s="31"/>
      <c r="I220" s="32"/>
      <c r="J220" s="38">
        <v>0</v>
      </c>
      <c r="K220" s="2" t="s">
        <v>66</v>
      </c>
      <c r="L220" s="34"/>
      <c r="N220" s="13" t="b">
        <f t="shared" si="11"/>
        <v>1</v>
      </c>
      <c r="O220" s="13" t="s">
        <v>937</v>
      </c>
      <c r="P220" s="13" t="s">
        <v>938</v>
      </c>
      <c r="Q220" s="285">
        <v>46179205</v>
      </c>
      <c r="R220" s="13" t="s">
        <v>425</v>
      </c>
      <c r="S220" s="13" t="s">
        <v>426</v>
      </c>
      <c r="T220" s="13">
        <v>46179205</v>
      </c>
      <c r="U220" s="285" t="b">
        <f t="shared" si="9"/>
        <v>0</v>
      </c>
      <c r="V220" s="285">
        <f t="shared" si="10"/>
        <v>0</v>
      </c>
    </row>
    <row r="221" spans="2:22">
      <c r="B221" s="37" t="s">
        <v>421</v>
      </c>
      <c r="C221" s="2" t="s">
        <v>422</v>
      </c>
      <c r="D221" s="32">
        <v>0</v>
      </c>
      <c r="E221" s="32"/>
      <c r="F221" s="32"/>
      <c r="G221" s="32"/>
      <c r="H221" s="32"/>
      <c r="I221" s="32"/>
      <c r="J221" s="38" t="s">
        <v>423</v>
      </c>
      <c r="K221" s="2" t="s">
        <v>424</v>
      </c>
      <c r="L221" s="34"/>
      <c r="N221" s="13" t="b">
        <f t="shared" si="11"/>
        <v>1</v>
      </c>
      <c r="O221" s="13" t="s">
        <v>421</v>
      </c>
      <c r="P221" s="13" t="s">
        <v>422</v>
      </c>
      <c r="Q221" s="285">
        <v>5700000</v>
      </c>
      <c r="R221" s="13" t="s">
        <v>865</v>
      </c>
      <c r="S221" s="13" t="s">
        <v>866</v>
      </c>
      <c r="T221" s="13">
        <v>5700000</v>
      </c>
      <c r="U221" s="285" t="b">
        <f t="shared" si="9"/>
        <v>0</v>
      </c>
      <c r="V221" s="285">
        <f t="shared" si="10"/>
        <v>0</v>
      </c>
    </row>
    <row r="222" spans="2:22">
      <c r="B222" s="37" t="s">
        <v>425</v>
      </c>
      <c r="C222" s="2" t="s">
        <v>426</v>
      </c>
      <c r="D222" s="32">
        <v>46179205</v>
      </c>
      <c r="E222" s="32"/>
      <c r="F222" s="32"/>
      <c r="G222" s="32"/>
      <c r="H222" s="32"/>
      <c r="I222" s="32"/>
      <c r="J222" s="38" t="s">
        <v>423</v>
      </c>
      <c r="K222" s="2" t="s">
        <v>424</v>
      </c>
      <c r="L222" s="34"/>
      <c r="N222" s="13" t="b">
        <f t="shared" si="11"/>
        <v>1</v>
      </c>
      <c r="O222" s="13" t="s">
        <v>425</v>
      </c>
      <c r="P222" s="13" t="s">
        <v>426</v>
      </c>
      <c r="Q222" s="285">
        <v>27664188</v>
      </c>
      <c r="R222" s="13" t="s">
        <v>427</v>
      </c>
      <c r="S222" s="13" t="s">
        <v>428</v>
      </c>
      <c r="T222" s="13">
        <v>27664188</v>
      </c>
      <c r="U222" s="285" t="b">
        <f t="shared" si="9"/>
        <v>0</v>
      </c>
      <c r="V222" s="285">
        <f t="shared" si="10"/>
        <v>0</v>
      </c>
    </row>
    <row r="223" spans="2:22">
      <c r="B223" s="37" t="s">
        <v>865</v>
      </c>
      <c r="C223" s="2" t="s">
        <v>866</v>
      </c>
      <c r="D223" s="32">
        <v>5700000</v>
      </c>
      <c r="E223" s="32"/>
      <c r="F223" s="32"/>
      <c r="G223" s="32"/>
      <c r="H223" s="32"/>
      <c r="I223" s="32"/>
      <c r="J223" s="38" t="s">
        <v>423</v>
      </c>
      <c r="K223" s="2" t="s">
        <v>424</v>
      </c>
      <c r="L223" s="34"/>
      <c r="N223" s="13" t="b">
        <f t="shared" si="11"/>
        <v>1</v>
      </c>
      <c r="O223" s="13" t="s">
        <v>865</v>
      </c>
      <c r="P223" s="13" t="s">
        <v>866</v>
      </c>
      <c r="Q223" s="285">
        <v>0</v>
      </c>
      <c r="R223" s="13" t="s">
        <v>429</v>
      </c>
      <c r="S223" s="13" t="s">
        <v>430</v>
      </c>
      <c r="T223" s="13">
        <v>0</v>
      </c>
      <c r="U223" s="285" t="b">
        <f t="shared" si="9"/>
        <v>0</v>
      </c>
      <c r="V223" s="285">
        <f t="shared" si="10"/>
        <v>0</v>
      </c>
    </row>
    <row r="224" spans="2:22">
      <c r="B224" s="45" t="s">
        <v>427</v>
      </c>
      <c r="C224" s="2" t="s">
        <v>428</v>
      </c>
      <c r="D224" s="32">
        <v>27664188</v>
      </c>
      <c r="E224" s="32"/>
      <c r="F224" s="32"/>
      <c r="G224" s="32"/>
      <c r="H224" s="32"/>
      <c r="I224" s="32"/>
      <c r="J224" s="38" t="s">
        <v>423</v>
      </c>
      <c r="K224" s="2" t="s">
        <v>424</v>
      </c>
      <c r="L224" s="34"/>
      <c r="N224" s="13" t="b">
        <f t="shared" si="11"/>
        <v>1</v>
      </c>
      <c r="O224" s="13" t="s">
        <v>427</v>
      </c>
      <c r="P224" s="13" t="s">
        <v>428</v>
      </c>
      <c r="Q224" s="285">
        <v>0</v>
      </c>
      <c r="R224" s="13" t="s">
        <v>431</v>
      </c>
      <c r="S224" s="13" t="s">
        <v>432</v>
      </c>
      <c r="T224" s="13">
        <v>0</v>
      </c>
      <c r="U224" s="285" t="b">
        <f t="shared" si="9"/>
        <v>0</v>
      </c>
      <c r="V224" s="285">
        <f t="shared" si="10"/>
        <v>0</v>
      </c>
    </row>
    <row r="225" spans="2:22">
      <c r="B225" s="45" t="s">
        <v>429</v>
      </c>
      <c r="C225" s="2" t="s">
        <v>430</v>
      </c>
      <c r="D225" s="32">
        <v>0</v>
      </c>
      <c r="E225" s="32"/>
      <c r="F225" s="32"/>
      <c r="G225" s="32"/>
      <c r="H225" s="32"/>
      <c r="I225" s="32"/>
      <c r="J225" s="38" t="s">
        <v>416</v>
      </c>
      <c r="K225" s="2" t="s">
        <v>417</v>
      </c>
      <c r="L225" s="34"/>
      <c r="N225" s="13" t="b">
        <f t="shared" si="11"/>
        <v>1</v>
      </c>
      <c r="O225" s="13" t="s">
        <v>429</v>
      </c>
      <c r="P225" s="13" t="s">
        <v>430</v>
      </c>
      <c r="Q225" s="285">
        <v>415282655</v>
      </c>
      <c r="R225" s="13" t="s">
        <v>433</v>
      </c>
      <c r="S225" s="13" t="s">
        <v>434</v>
      </c>
      <c r="T225" s="13">
        <v>415282655</v>
      </c>
      <c r="U225" s="285" t="b">
        <f t="shared" si="9"/>
        <v>0</v>
      </c>
      <c r="V225" s="285">
        <f t="shared" si="10"/>
        <v>0</v>
      </c>
    </row>
    <row r="226" spans="2:22">
      <c r="B226" s="37" t="s">
        <v>431</v>
      </c>
      <c r="C226" s="2" t="s">
        <v>432</v>
      </c>
      <c r="D226" s="32">
        <v>0</v>
      </c>
      <c r="E226" s="32"/>
      <c r="F226" s="32"/>
      <c r="G226" s="32"/>
      <c r="H226" s="32"/>
      <c r="I226" s="32"/>
      <c r="J226" s="38" t="s">
        <v>423</v>
      </c>
      <c r="K226" s="2" t="s">
        <v>424</v>
      </c>
      <c r="L226" s="34"/>
      <c r="N226" s="13" t="b">
        <f t="shared" si="11"/>
        <v>1</v>
      </c>
      <c r="O226" s="13" t="s">
        <v>431</v>
      </c>
      <c r="P226" s="13" t="s">
        <v>432</v>
      </c>
      <c r="Q226" s="285">
        <v>71739</v>
      </c>
      <c r="R226" s="13" t="s">
        <v>435</v>
      </c>
      <c r="S226" s="13" t="s">
        <v>436</v>
      </c>
      <c r="T226" s="13">
        <v>71739</v>
      </c>
      <c r="U226" s="285" t="b">
        <f t="shared" si="9"/>
        <v>0</v>
      </c>
      <c r="V226" s="285">
        <f t="shared" si="10"/>
        <v>0</v>
      </c>
    </row>
    <row r="227" spans="2:22">
      <c r="B227" s="37" t="s">
        <v>433</v>
      </c>
      <c r="C227" s="2" t="s">
        <v>434</v>
      </c>
      <c r="D227" s="32">
        <v>415282655</v>
      </c>
      <c r="E227" s="32"/>
      <c r="F227" s="32"/>
      <c r="G227" s="32"/>
      <c r="H227" s="32"/>
      <c r="I227" s="32"/>
      <c r="J227" s="38" t="s">
        <v>423</v>
      </c>
      <c r="K227" s="2" t="s">
        <v>424</v>
      </c>
      <c r="L227" s="34"/>
      <c r="N227" s="13" t="b">
        <f t="shared" si="11"/>
        <v>1</v>
      </c>
      <c r="O227" s="13" t="s">
        <v>433</v>
      </c>
      <c r="P227" s="13" t="s">
        <v>434</v>
      </c>
      <c r="Q227" s="285">
        <v>61915841</v>
      </c>
      <c r="R227" s="13" t="s">
        <v>437</v>
      </c>
      <c r="S227" s="13" t="s">
        <v>438</v>
      </c>
      <c r="T227" s="13">
        <v>61915841</v>
      </c>
      <c r="U227" s="285" t="b">
        <f t="shared" si="9"/>
        <v>0</v>
      </c>
      <c r="V227" s="285">
        <f t="shared" si="10"/>
        <v>0</v>
      </c>
    </row>
    <row r="228" spans="2:22">
      <c r="B228" s="37" t="s">
        <v>435</v>
      </c>
      <c r="C228" s="2" t="s">
        <v>436</v>
      </c>
      <c r="D228" s="32">
        <v>71739</v>
      </c>
      <c r="E228" s="32"/>
      <c r="F228" s="32"/>
      <c r="G228" s="32"/>
      <c r="H228" s="32"/>
      <c r="I228" s="32"/>
      <c r="J228" s="38" t="s">
        <v>423</v>
      </c>
      <c r="K228" s="2" t="s">
        <v>424</v>
      </c>
      <c r="L228" s="34"/>
      <c r="N228" s="13" t="b">
        <f t="shared" si="11"/>
        <v>1</v>
      </c>
      <c r="O228" s="13" t="s">
        <v>435</v>
      </c>
      <c r="P228" s="13" t="s">
        <v>436</v>
      </c>
      <c r="Q228" s="285">
        <v>0</v>
      </c>
      <c r="T228" s="13">
        <v>0</v>
      </c>
      <c r="U228" s="285" t="b">
        <f t="shared" si="9"/>
        <v>0</v>
      </c>
      <c r="V228" s="285">
        <f t="shared" si="10"/>
        <v>0</v>
      </c>
    </row>
    <row r="229" spans="2:22">
      <c r="B229" s="37" t="s">
        <v>437</v>
      </c>
      <c r="C229" s="2" t="s">
        <v>438</v>
      </c>
      <c r="D229" s="32">
        <v>61915841</v>
      </c>
      <c r="E229" s="32"/>
      <c r="F229" s="32"/>
      <c r="G229" s="32"/>
      <c r="H229" s="32"/>
      <c r="I229" s="32"/>
      <c r="J229" s="38" t="s">
        <v>423</v>
      </c>
      <c r="K229" s="2" t="s">
        <v>424</v>
      </c>
      <c r="L229" s="34"/>
      <c r="N229" s="13" t="b">
        <f t="shared" si="11"/>
        <v>1</v>
      </c>
      <c r="O229" s="13" t="s">
        <v>437</v>
      </c>
      <c r="P229" s="13" t="s">
        <v>438</v>
      </c>
      <c r="Q229" s="285">
        <v>0</v>
      </c>
      <c r="T229" s="13">
        <v>0</v>
      </c>
      <c r="U229" s="285" t="b">
        <f t="shared" si="9"/>
        <v>0</v>
      </c>
      <c r="V229" s="285">
        <f t="shared" si="10"/>
        <v>0</v>
      </c>
    </row>
    <row r="230" spans="2:22">
      <c r="B230" s="37"/>
      <c r="C230" s="2"/>
      <c r="D230" s="32">
        <v>0</v>
      </c>
      <c r="E230" s="32"/>
      <c r="F230" s="32"/>
      <c r="G230" s="32"/>
      <c r="H230" s="32"/>
      <c r="I230" s="32"/>
      <c r="J230" s="38"/>
      <c r="K230" s="2"/>
      <c r="L230" s="34"/>
      <c r="N230" s="13" t="b">
        <f t="shared" si="11"/>
        <v>1</v>
      </c>
      <c r="Q230" s="285"/>
      <c r="U230" s="285" t="b">
        <f t="shared" si="9"/>
        <v>1</v>
      </c>
      <c r="V230" s="285">
        <f t="shared" si="10"/>
        <v>0</v>
      </c>
    </row>
    <row r="231" spans="2:22">
      <c r="B231" s="37"/>
      <c r="C231" s="2"/>
      <c r="D231" s="32">
        <v>0</v>
      </c>
      <c r="E231" s="32"/>
      <c r="F231" s="32"/>
      <c r="G231" s="32"/>
      <c r="H231" s="32"/>
      <c r="I231" s="32"/>
      <c r="J231" s="38"/>
      <c r="K231" s="2"/>
      <c r="L231" s="34"/>
      <c r="N231" s="13" t="b">
        <f t="shared" si="11"/>
        <v>1</v>
      </c>
      <c r="Q231" s="285">
        <v>23023168</v>
      </c>
      <c r="R231" s="13" t="s">
        <v>939</v>
      </c>
      <c r="S231" s="13" t="s">
        <v>443</v>
      </c>
      <c r="T231" s="13">
        <v>23023168</v>
      </c>
      <c r="U231" s="285" t="b">
        <f t="shared" si="9"/>
        <v>0</v>
      </c>
      <c r="V231" s="285">
        <f t="shared" si="10"/>
        <v>0</v>
      </c>
    </row>
    <row r="232" spans="2:22">
      <c r="B232" s="37"/>
      <c r="C232" s="2"/>
      <c r="D232" s="32"/>
      <c r="E232" s="32"/>
      <c r="F232" s="32"/>
      <c r="G232" s="32"/>
      <c r="H232" s="32"/>
      <c r="I232" s="32"/>
      <c r="J232" s="38"/>
      <c r="K232" s="2"/>
      <c r="L232" s="34"/>
      <c r="N232" s="13" t="b">
        <f t="shared" si="11"/>
        <v>1</v>
      </c>
      <c r="Q232" s="285">
        <v>23023168</v>
      </c>
      <c r="R232" s="13" t="s">
        <v>440</v>
      </c>
      <c r="S232" s="13" t="s">
        <v>441</v>
      </c>
      <c r="T232" s="13">
        <v>23023168</v>
      </c>
      <c r="U232" s="285" t="b">
        <f t="shared" si="9"/>
        <v>0</v>
      </c>
      <c r="V232" s="285">
        <f t="shared" si="10"/>
        <v>0</v>
      </c>
    </row>
    <row r="233" spans="2:22">
      <c r="B233" s="29" t="s">
        <v>939</v>
      </c>
      <c r="C233" s="30" t="s">
        <v>443</v>
      </c>
      <c r="D233" s="31">
        <v>23023168</v>
      </c>
      <c r="E233" s="31"/>
      <c r="F233" s="31"/>
      <c r="G233" s="31"/>
      <c r="H233" s="31"/>
      <c r="I233" s="32"/>
      <c r="J233" s="38">
        <v>0</v>
      </c>
      <c r="K233" s="2" t="s">
        <v>66</v>
      </c>
      <c r="L233" s="34"/>
      <c r="N233" s="13" t="b">
        <f t="shared" si="11"/>
        <v>1</v>
      </c>
      <c r="O233" s="13" t="s">
        <v>939</v>
      </c>
      <c r="P233" s="13" t="s">
        <v>443</v>
      </c>
      <c r="Q233" s="285">
        <v>0</v>
      </c>
      <c r="R233" s="13" t="s">
        <v>444</v>
      </c>
      <c r="S233" s="13" t="s">
        <v>445</v>
      </c>
      <c r="T233" s="13">
        <v>0</v>
      </c>
      <c r="U233" s="285" t="b">
        <f t="shared" si="9"/>
        <v>0</v>
      </c>
      <c r="V233" s="285">
        <f t="shared" si="10"/>
        <v>0</v>
      </c>
    </row>
    <row r="234" spans="2:22">
      <c r="B234" s="37" t="s">
        <v>440</v>
      </c>
      <c r="C234" s="2" t="s">
        <v>441</v>
      </c>
      <c r="D234" s="32">
        <v>23023168</v>
      </c>
      <c r="E234" s="32"/>
      <c r="F234" s="32"/>
      <c r="G234" s="32"/>
      <c r="H234" s="32"/>
      <c r="I234" s="32"/>
      <c r="J234" s="38" t="s">
        <v>442</v>
      </c>
      <c r="K234" s="2" t="s">
        <v>443</v>
      </c>
      <c r="L234" s="34"/>
      <c r="N234" s="13" t="b">
        <f t="shared" si="11"/>
        <v>1</v>
      </c>
      <c r="O234" s="13" t="s">
        <v>440</v>
      </c>
      <c r="P234" s="13" t="s">
        <v>441</v>
      </c>
      <c r="Q234" s="285">
        <v>0</v>
      </c>
      <c r="R234" s="13" t="s">
        <v>525</v>
      </c>
      <c r="S234" s="13" t="s">
        <v>526</v>
      </c>
      <c r="T234" s="13">
        <v>0</v>
      </c>
      <c r="U234" s="285" t="b">
        <f t="shared" si="9"/>
        <v>0</v>
      </c>
      <c r="V234" s="285">
        <f t="shared" si="10"/>
        <v>0</v>
      </c>
    </row>
    <row r="235" spans="2:22">
      <c r="B235" s="37" t="s">
        <v>444</v>
      </c>
      <c r="C235" s="2" t="s">
        <v>445</v>
      </c>
      <c r="D235" s="32">
        <v>0</v>
      </c>
      <c r="E235" s="32"/>
      <c r="F235" s="32"/>
      <c r="G235" s="32"/>
      <c r="H235" s="32"/>
      <c r="I235" s="32"/>
      <c r="J235" s="38" t="s">
        <v>442</v>
      </c>
      <c r="K235" s="2" t="s">
        <v>443</v>
      </c>
      <c r="L235" s="34"/>
      <c r="N235" s="13" t="b">
        <f t="shared" si="11"/>
        <v>1</v>
      </c>
      <c r="O235" s="13" t="s">
        <v>444</v>
      </c>
      <c r="P235" s="13" t="s">
        <v>445</v>
      </c>
      <c r="Q235" s="285">
        <v>0</v>
      </c>
      <c r="T235" s="13">
        <v>0</v>
      </c>
      <c r="U235" s="285" t="b">
        <f t="shared" si="9"/>
        <v>0</v>
      </c>
      <c r="V235" s="285">
        <f t="shared" si="10"/>
        <v>0</v>
      </c>
    </row>
    <row r="236" spans="2:22">
      <c r="B236" s="37" t="s">
        <v>525</v>
      </c>
      <c r="C236" s="2" t="s">
        <v>526</v>
      </c>
      <c r="D236" s="32">
        <v>0</v>
      </c>
      <c r="E236" s="32"/>
      <c r="F236" s="32"/>
      <c r="G236" s="32"/>
      <c r="H236" s="32"/>
      <c r="I236" s="32"/>
      <c r="J236" s="38" t="s">
        <v>442</v>
      </c>
      <c r="K236" s="2" t="s">
        <v>443</v>
      </c>
      <c r="L236" s="34"/>
      <c r="N236" s="13" t="b">
        <f t="shared" si="11"/>
        <v>1</v>
      </c>
      <c r="O236" s="13" t="s">
        <v>525</v>
      </c>
      <c r="P236" s="13" t="s">
        <v>526</v>
      </c>
      <c r="Q236" s="285">
        <v>0</v>
      </c>
      <c r="T236" s="13">
        <v>0</v>
      </c>
      <c r="U236" s="285" t="b">
        <f t="shared" si="9"/>
        <v>0</v>
      </c>
      <c r="V236" s="285">
        <f t="shared" si="10"/>
        <v>0</v>
      </c>
    </row>
    <row r="237" spans="2:22">
      <c r="B237" s="37"/>
      <c r="C237" s="2"/>
      <c r="D237" s="32">
        <v>0</v>
      </c>
      <c r="E237" s="32"/>
      <c r="F237" s="32"/>
      <c r="G237" s="32"/>
      <c r="H237" s="32"/>
      <c r="I237" s="32"/>
      <c r="J237" s="38"/>
      <c r="K237" s="2"/>
      <c r="L237" s="34"/>
      <c r="N237" s="13" t="b">
        <f t="shared" si="11"/>
        <v>0</v>
      </c>
      <c r="O237" s="13" t="s">
        <v>958</v>
      </c>
      <c r="P237" s="13" t="s">
        <v>959</v>
      </c>
      <c r="Q237" s="285"/>
      <c r="U237" s="285" t="b">
        <f t="shared" si="9"/>
        <v>0</v>
      </c>
      <c r="V237" s="285">
        <f t="shared" si="10"/>
        <v>0</v>
      </c>
    </row>
    <row r="238" spans="2:22">
      <c r="B238" s="37"/>
      <c r="C238" s="2"/>
      <c r="D238" s="32">
        <v>0</v>
      </c>
      <c r="E238" s="32"/>
      <c r="F238" s="32"/>
      <c r="G238" s="32"/>
      <c r="H238" s="32"/>
      <c r="I238" s="32"/>
      <c r="J238" s="38"/>
      <c r="K238" s="2"/>
      <c r="L238" s="34"/>
      <c r="N238" s="13" t="b">
        <f t="shared" si="11"/>
        <v>1</v>
      </c>
      <c r="Q238" s="285">
        <v>363456837</v>
      </c>
      <c r="R238" s="13" t="s">
        <v>940</v>
      </c>
      <c r="S238" s="13" t="s">
        <v>450</v>
      </c>
      <c r="T238" s="13">
        <v>363456837</v>
      </c>
      <c r="U238" s="285" t="b">
        <f t="shared" si="9"/>
        <v>0</v>
      </c>
      <c r="V238" s="285">
        <f t="shared" si="10"/>
        <v>0</v>
      </c>
    </row>
    <row r="239" spans="2:22">
      <c r="B239" s="37"/>
      <c r="C239" s="2"/>
      <c r="D239" s="32"/>
      <c r="E239" s="32"/>
      <c r="F239" s="32"/>
      <c r="G239" s="32"/>
      <c r="H239" s="32"/>
      <c r="I239" s="32"/>
      <c r="J239" s="38"/>
      <c r="K239" s="2"/>
      <c r="L239" s="34"/>
      <c r="N239" s="13" t="b">
        <f t="shared" si="11"/>
        <v>1</v>
      </c>
      <c r="Q239" s="285">
        <v>363456837</v>
      </c>
      <c r="R239" s="13" t="s">
        <v>447</v>
      </c>
      <c r="S239" s="13" t="s">
        <v>448</v>
      </c>
      <c r="T239" s="13">
        <v>363456837</v>
      </c>
      <c r="U239" s="285" t="b">
        <f t="shared" si="9"/>
        <v>0</v>
      </c>
      <c r="V239" s="285">
        <f t="shared" si="10"/>
        <v>0</v>
      </c>
    </row>
    <row r="240" spans="2:22">
      <c r="B240" s="29" t="s">
        <v>940</v>
      </c>
      <c r="C240" s="30" t="s">
        <v>450</v>
      </c>
      <c r="D240" s="31">
        <v>363456837</v>
      </c>
      <c r="E240" s="31"/>
      <c r="F240" s="31"/>
      <c r="G240" s="31"/>
      <c r="H240" s="31"/>
      <c r="I240" s="32"/>
      <c r="J240" s="38">
        <v>0</v>
      </c>
      <c r="K240" s="2" t="s">
        <v>66</v>
      </c>
      <c r="L240" s="34"/>
      <c r="N240" s="13" t="b">
        <f t="shared" si="11"/>
        <v>1</v>
      </c>
      <c r="O240" s="13" t="s">
        <v>940</v>
      </c>
      <c r="P240" s="13" t="s">
        <v>450</v>
      </c>
      <c r="Q240" s="285">
        <v>0</v>
      </c>
      <c r="R240" s="13" t="s">
        <v>451</v>
      </c>
      <c r="S240" s="13" t="s">
        <v>452</v>
      </c>
      <c r="T240" s="13">
        <v>0</v>
      </c>
      <c r="U240" s="285" t="b">
        <f t="shared" si="9"/>
        <v>0</v>
      </c>
      <c r="V240" s="285">
        <f t="shared" si="10"/>
        <v>0</v>
      </c>
    </row>
    <row r="241" spans="2:22">
      <c r="B241" s="37" t="s">
        <v>447</v>
      </c>
      <c r="C241" s="2" t="s">
        <v>448</v>
      </c>
      <c r="D241" s="32">
        <v>363456837</v>
      </c>
      <c r="E241" s="32"/>
      <c r="F241" s="32"/>
      <c r="G241" s="32"/>
      <c r="H241" s="32"/>
      <c r="I241" s="32"/>
      <c r="J241" s="38" t="s">
        <v>449</v>
      </c>
      <c r="K241" s="2" t="s">
        <v>450</v>
      </c>
      <c r="L241" s="34"/>
      <c r="N241" s="13" t="b">
        <f t="shared" si="11"/>
        <v>1</v>
      </c>
      <c r="O241" s="13" t="s">
        <v>447</v>
      </c>
      <c r="P241" s="13" t="s">
        <v>448</v>
      </c>
      <c r="Q241" s="285">
        <v>0</v>
      </c>
      <c r="R241" s="13" t="s">
        <v>453</v>
      </c>
      <c r="S241" s="13" t="s">
        <v>454</v>
      </c>
      <c r="T241" s="13">
        <v>0</v>
      </c>
      <c r="U241" s="285" t="b">
        <f t="shared" si="9"/>
        <v>0</v>
      </c>
      <c r="V241" s="285">
        <f t="shared" si="10"/>
        <v>0</v>
      </c>
    </row>
    <row r="242" spans="2:22">
      <c r="B242" s="37" t="s">
        <v>451</v>
      </c>
      <c r="C242" s="2" t="s">
        <v>452</v>
      </c>
      <c r="D242" s="32">
        <v>0</v>
      </c>
      <c r="E242" s="32"/>
      <c r="F242" s="32"/>
      <c r="G242" s="32"/>
      <c r="H242" s="32"/>
      <c r="I242" s="32"/>
      <c r="J242" s="38" t="s">
        <v>449</v>
      </c>
      <c r="K242" s="2" t="s">
        <v>450</v>
      </c>
      <c r="L242" s="34"/>
      <c r="N242" s="13" t="b">
        <f t="shared" si="11"/>
        <v>1</v>
      </c>
      <c r="O242" s="13" t="s">
        <v>451</v>
      </c>
      <c r="P242" s="13" t="s">
        <v>452</v>
      </c>
      <c r="Q242" s="285">
        <v>0</v>
      </c>
      <c r="T242" s="13">
        <v>0</v>
      </c>
      <c r="U242" s="285" t="b">
        <f t="shared" si="9"/>
        <v>0</v>
      </c>
      <c r="V242" s="285">
        <f t="shared" si="10"/>
        <v>0</v>
      </c>
    </row>
    <row r="243" spans="2:22">
      <c r="B243" s="37" t="s">
        <v>453</v>
      </c>
      <c r="C243" s="2" t="s">
        <v>454</v>
      </c>
      <c r="D243" s="32">
        <v>0</v>
      </c>
      <c r="E243" s="32"/>
      <c r="F243" s="32"/>
      <c r="G243" s="32"/>
      <c r="H243" s="32"/>
      <c r="I243" s="32"/>
      <c r="J243" s="38" t="s">
        <v>449</v>
      </c>
      <c r="K243" s="2" t="s">
        <v>450</v>
      </c>
      <c r="L243" s="34"/>
      <c r="N243" s="13" t="b">
        <f t="shared" si="11"/>
        <v>1</v>
      </c>
      <c r="O243" s="13" t="s">
        <v>453</v>
      </c>
      <c r="P243" s="13" t="s">
        <v>454</v>
      </c>
      <c r="Q243" s="285">
        <v>0</v>
      </c>
      <c r="T243" s="13">
        <v>0</v>
      </c>
      <c r="U243" s="285" t="b">
        <f t="shared" si="9"/>
        <v>0</v>
      </c>
      <c r="V243" s="285">
        <f t="shared" si="10"/>
        <v>0</v>
      </c>
    </row>
    <row r="244" spans="2:22">
      <c r="B244" s="37"/>
      <c r="C244" s="2"/>
      <c r="D244" s="32">
        <v>0</v>
      </c>
      <c r="E244" s="32"/>
      <c r="F244" s="32"/>
      <c r="G244" s="32"/>
      <c r="H244" s="32"/>
      <c r="I244" s="32"/>
      <c r="J244" s="38"/>
      <c r="K244" s="2"/>
      <c r="L244" s="34"/>
      <c r="N244" s="13" t="b">
        <f t="shared" si="11"/>
        <v>1</v>
      </c>
      <c r="Q244" s="285"/>
      <c r="U244" s="285" t="b">
        <f t="shared" si="9"/>
        <v>1</v>
      </c>
      <c r="V244" s="285">
        <f t="shared" si="10"/>
        <v>0</v>
      </c>
    </row>
    <row r="245" spans="2:22">
      <c r="B245" s="37"/>
      <c r="C245" s="2"/>
      <c r="D245" s="32">
        <v>0</v>
      </c>
      <c r="E245" s="32"/>
      <c r="F245" s="32"/>
      <c r="G245" s="32"/>
      <c r="H245" s="32"/>
      <c r="I245" s="32"/>
      <c r="J245" s="38"/>
      <c r="K245" s="2"/>
      <c r="L245" s="34"/>
      <c r="N245" s="13" t="b">
        <f t="shared" si="11"/>
        <v>1</v>
      </c>
      <c r="Q245" s="285">
        <v>0</v>
      </c>
      <c r="R245" s="13" t="s">
        <v>941</v>
      </c>
      <c r="S245" s="13" t="s">
        <v>417</v>
      </c>
      <c r="T245" s="13">
        <v>0</v>
      </c>
      <c r="U245" s="285" t="b">
        <f t="shared" si="9"/>
        <v>0</v>
      </c>
      <c r="V245" s="285">
        <f t="shared" si="10"/>
        <v>0</v>
      </c>
    </row>
    <row r="246" spans="2:22">
      <c r="B246" s="37"/>
      <c r="C246" s="2"/>
      <c r="D246" s="32"/>
      <c r="E246" s="32"/>
      <c r="F246" s="32"/>
      <c r="G246" s="32"/>
      <c r="H246" s="32"/>
      <c r="I246" s="32"/>
      <c r="J246" s="38"/>
      <c r="K246" s="2"/>
      <c r="L246" s="34"/>
      <c r="N246" s="13" t="b">
        <f t="shared" si="11"/>
        <v>1</v>
      </c>
      <c r="Q246" s="285">
        <v>0</v>
      </c>
      <c r="R246" s="13" t="s">
        <v>456</v>
      </c>
      <c r="S246" s="13" t="s">
        <v>457</v>
      </c>
      <c r="T246" s="13">
        <v>0</v>
      </c>
      <c r="U246" s="285" t="b">
        <f t="shared" si="9"/>
        <v>0</v>
      </c>
      <c r="V246" s="285">
        <f t="shared" si="10"/>
        <v>0</v>
      </c>
    </row>
    <row r="247" spans="2:22">
      <c r="B247" s="29" t="s">
        <v>941</v>
      </c>
      <c r="C247" s="30" t="s">
        <v>417</v>
      </c>
      <c r="D247" s="31">
        <v>0</v>
      </c>
      <c r="E247" s="31"/>
      <c r="F247" s="31"/>
      <c r="G247" s="31"/>
      <c r="H247" s="31"/>
      <c r="I247" s="32"/>
      <c r="J247" s="38">
        <v>0</v>
      </c>
      <c r="K247" s="2" t="s">
        <v>66</v>
      </c>
      <c r="L247" s="34"/>
      <c r="N247" s="13" t="b">
        <f t="shared" si="11"/>
        <v>1</v>
      </c>
      <c r="O247" s="13" t="s">
        <v>941</v>
      </c>
      <c r="P247" s="13" t="s">
        <v>417</v>
      </c>
      <c r="Q247" s="285">
        <v>6069055058</v>
      </c>
      <c r="S247" s="13" t="s">
        <v>942</v>
      </c>
      <c r="T247" s="13">
        <v>6069055058</v>
      </c>
      <c r="U247" s="285" t="b">
        <f t="shared" si="9"/>
        <v>0</v>
      </c>
      <c r="V247" s="285">
        <f t="shared" si="10"/>
        <v>0</v>
      </c>
    </row>
    <row r="248" spans="2:22">
      <c r="B248" s="37" t="s">
        <v>456</v>
      </c>
      <c r="C248" s="2" t="s">
        <v>457</v>
      </c>
      <c r="D248" s="32">
        <v>0</v>
      </c>
      <c r="E248" s="32"/>
      <c r="F248" s="32"/>
      <c r="G248" s="32"/>
      <c r="H248" s="32"/>
      <c r="I248" s="32"/>
      <c r="J248" s="38" t="s">
        <v>416</v>
      </c>
      <c r="K248" s="2" t="s">
        <v>417</v>
      </c>
      <c r="L248" s="34"/>
      <c r="N248" s="13" t="b">
        <f t="shared" si="11"/>
        <v>1</v>
      </c>
      <c r="O248" s="13" t="s">
        <v>456</v>
      </c>
      <c r="P248" s="13" t="s">
        <v>457</v>
      </c>
      <c r="Q248" s="285">
        <v>507997206</v>
      </c>
      <c r="R248" s="13" t="s">
        <v>460</v>
      </c>
      <c r="S248" s="13" t="s">
        <v>461</v>
      </c>
      <c r="T248" s="13">
        <v>507997206</v>
      </c>
      <c r="U248" s="285" t="b">
        <f t="shared" si="9"/>
        <v>0</v>
      </c>
      <c r="V248" s="285">
        <f t="shared" si="10"/>
        <v>0</v>
      </c>
    </row>
    <row r="249" spans="2:22">
      <c r="B249" s="29"/>
      <c r="C249" s="30" t="s">
        <v>942</v>
      </c>
      <c r="D249" s="31">
        <v>6069055058</v>
      </c>
      <c r="E249" s="31"/>
      <c r="F249" s="31"/>
      <c r="G249" s="31"/>
      <c r="H249" s="31"/>
      <c r="I249" s="32"/>
      <c r="J249" s="38">
        <v>0</v>
      </c>
      <c r="K249" s="2" t="s">
        <v>66</v>
      </c>
      <c r="L249" s="34"/>
      <c r="N249" s="13" t="b">
        <f t="shared" si="11"/>
        <v>1</v>
      </c>
      <c r="P249" s="13" t="s">
        <v>942</v>
      </c>
      <c r="Q249" s="285">
        <v>5561057852</v>
      </c>
      <c r="S249" s="13" t="s">
        <v>291</v>
      </c>
      <c r="T249" s="13">
        <v>5561057852</v>
      </c>
      <c r="U249" s="285" t="b">
        <f t="shared" si="9"/>
        <v>1</v>
      </c>
      <c r="V249" s="285">
        <f t="shared" si="10"/>
        <v>0</v>
      </c>
    </row>
    <row r="250" spans="2:22">
      <c r="B250" s="37" t="s">
        <v>460</v>
      </c>
      <c r="C250" s="2" t="s">
        <v>461</v>
      </c>
      <c r="D250" s="32">
        <v>507997206</v>
      </c>
      <c r="E250" s="32"/>
      <c r="F250" s="32"/>
      <c r="G250" s="32"/>
      <c r="H250" s="32"/>
      <c r="I250" s="32"/>
      <c r="J250" s="38" t="s">
        <v>462</v>
      </c>
      <c r="K250" s="2" t="s">
        <v>461</v>
      </c>
      <c r="L250" s="34"/>
      <c r="N250" s="13" t="b">
        <f t="shared" si="11"/>
        <v>1</v>
      </c>
      <c r="O250" s="13" t="s">
        <v>460</v>
      </c>
      <c r="P250" s="13" t="s">
        <v>461</v>
      </c>
      <c r="Q250" s="285"/>
      <c r="S250" s="13" t="s">
        <v>943</v>
      </c>
      <c r="U250" s="285" t="b">
        <f t="shared" si="9"/>
        <v>0</v>
      </c>
      <c r="V250" s="285">
        <f t="shared" si="10"/>
        <v>0</v>
      </c>
    </row>
    <row r="251" spans="2:22">
      <c r="B251" s="29"/>
      <c r="C251" s="30" t="s">
        <v>291</v>
      </c>
      <c r="D251" s="31">
        <v>5561057852</v>
      </c>
      <c r="E251" s="31"/>
      <c r="F251" s="31"/>
      <c r="G251" s="31"/>
      <c r="H251" s="31"/>
      <c r="I251" s="32"/>
      <c r="J251" s="38">
        <v>0</v>
      </c>
      <c r="K251" s="2" t="s">
        <v>66</v>
      </c>
      <c r="L251" s="34"/>
      <c r="N251" s="13" t="b">
        <f t="shared" si="11"/>
        <v>1</v>
      </c>
      <c r="P251" s="13" t="s">
        <v>291</v>
      </c>
      <c r="Q251" s="285"/>
      <c r="S251" s="13" t="s">
        <v>944</v>
      </c>
      <c r="U251" s="285" t="b">
        <f t="shared" si="9"/>
        <v>1</v>
      </c>
      <c r="V251" s="285">
        <f t="shared" si="10"/>
        <v>0</v>
      </c>
    </row>
    <row r="252" spans="2:22">
      <c r="B252" s="37"/>
      <c r="C252" s="2" t="s">
        <v>943</v>
      </c>
      <c r="D252" s="32"/>
      <c r="E252" s="32"/>
      <c r="F252" s="32"/>
      <c r="G252" s="32"/>
      <c r="H252" s="32"/>
      <c r="I252" s="32"/>
      <c r="J252" s="38">
        <v>0</v>
      </c>
      <c r="K252" s="2" t="s">
        <v>66</v>
      </c>
      <c r="L252" s="34"/>
      <c r="N252" s="13" t="b">
        <f t="shared" si="11"/>
        <v>1</v>
      </c>
      <c r="P252" s="13" t="s">
        <v>943</v>
      </c>
      <c r="Q252" s="285">
        <v>0</v>
      </c>
      <c r="S252" s="13" t="s">
        <v>472</v>
      </c>
      <c r="T252" s="13">
        <v>0</v>
      </c>
      <c r="U252" s="285" t="b">
        <f t="shared" si="9"/>
        <v>1</v>
      </c>
      <c r="V252" s="285">
        <f t="shared" si="10"/>
        <v>0</v>
      </c>
    </row>
    <row r="253" spans="2:22">
      <c r="B253" s="37"/>
      <c r="C253" s="2" t="s">
        <v>944</v>
      </c>
      <c r="D253" s="32"/>
      <c r="E253" s="32"/>
      <c r="F253" s="32"/>
      <c r="G253" s="32"/>
      <c r="H253" s="32"/>
      <c r="I253" s="32"/>
      <c r="J253" s="38">
        <v>0</v>
      </c>
      <c r="K253" s="2" t="s">
        <v>66</v>
      </c>
      <c r="L253" s="34"/>
      <c r="N253" s="13" t="b">
        <f t="shared" si="11"/>
        <v>1</v>
      </c>
      <c r="P253" s="13" t="s">
        <v>944</v>
      </c>
      <c r="Q253" s="285">
        <v>0</v>
      </c>
      <c r="R253" s="13" t="s">
        <v>469</v>
      </c>
      <c r="S253" s="13" t="s">
        <v>470</v>
      </c>
      <c r="T253" s="13">
        <v>0</v>
      </c>
      <c r="U253" s="285" t="b">
        <f t="shared" si="9"/>
        <v>0</v>
      </c>
      <c r="V253" s="285">
        <f t="shared" si="10"/>
        <v>0</v>
      </c>
    </row>
    <row r="254" spans="2:22">
      <c r="B254" s="29"/>
      <c r="C254" s="30" t="s">
        <v>472</v>
      </c>
      <c r="D254" s="31">
        <v>0</v>
      </c>
      <c r="E254" s="31"/>
      <c r="F254" s="31"/>
      <c r="G254" s="31"/>
      <c r="H254" s="31"/>
      <c r="I254" s="32"/>
      <c r="J254" s="38">
        <v>0</v>
      </c>
      <c r="K254" s="2" t="s">
        <v>66</v>
      </c>
      <c r="L254" s="34"/>
      <c r="N254" s="13" t="b">
        <f t="shared" si="11"/>
        <v>1</v>
      </c>
      <c r="P254" s="13" t="s">
        <v>472</v>
      </c>
      <c r="Q254" s="285">
        <v>0</v>
      </c>
      <c r="R254" s="13" t="s">
        <v>473</v>
      </c>
      <c r="S254" s="13" t="s">
        <v>474</v>
      </c>
      <c r="T254" s="13">
        <v>0</v>
      </c>
      <c r="U254" s="285" t="b">
        <f t="shared" si="9"/>
        <v>0</v>
      </c>
      <c r="V254" s="285">
        <f t="shared" si="10"/>
        <v>0</v>
      </c>
    </row>
    <row r="255" spans="2:22">
      <c r="B255" s="37" t="s">
        <v>469</v>
      </c>
      <c r="C255" s="2" t="s">
        <v>470</v>
      </c>
      <c r="D255" s="32">
        <v>0</v>
      </c>
      <c r="E255" s="32"/>
      <c r="F255" s="32"/>
      <c r="G255" s="32"/>
      <c r="H255" s="32"/>
      <c r="I255" s="32"/>
      <c r="J255" s="38" t="s">
        <v>471</v>
      </c>
      <c r="K255" s="2" t="s">
        <v>472</v>
      </c>
      <c r="L255" s="34"/>
      <c r="N255" s="13" t="b">
        <f t="shared" si="11"/>
        <v>1</v>
      </c>
      <c r="O255" s="13" t="s">
        <v>469</v>
      </c>
      <c r="P255" s="13" t="s">
        <v>470</v>
      </c>
      <c r="Q255" s="285">
        <v>0</v>
      </c>
      <c r="R255" s="13" t="s">
        <v>475</v>
      </c>
      <c r="S255" s="13" t="s">
        <v>476</v>
      </c>
      <c r="T255" s="13">
        <v>0</v>
      </c>
      <c r="U255" s="285" t="b">
        <f t="shared" si="9"/>
        <v>0</v>
      </c>
      <c r="V255" s="285">
        <f t="shared" si="10"/>
        <v>0</v>
      </c>
    </row>
    <row r="256" spans="2:22">
      <c r="B256" s="37" t="s">
        <v>473</v>
      </c>
      <c r="C256" s="2" t="s">
        <v>474</v>
      </c>
      <c r="D256" s="32">
        <v>0</v>
      </c>
      <c r="E256" s="32"/>
      <c r="F256" s="32"/>
      <c r="G256" s="32"/>
      <c r="H256" s="32"/>
      <c r="I256" s="32"/>
      <c r="J256" s="38" t="s">
        <v>471</v>
      </c>
      <c r="K256" s="2" t="s">
        <v>472</v>
      </c>
      <c r="L256" s="34"/>
      <c r="N256" s="13" t="b">
        <f t="shared" si="11"/>
        <v>1</v>
      </c>
      <c r="O256" s="13" t="s">
        <v>473</v>
      </c>
      <c r="P256" s="13" t="s">
        <v>474</v>
      </c>
      <c r="Q256" s="285">
        <v>0</v>
      </c>
      <c r="R256" s="13" t="s">
        <v>477</v>
      </c>
      <c r="S256" s="13" t="s">
        <v>945</v>
      </c>
      <c r="T256" s="13">
        <v>0</v>
      </c>
      <c r="U256" s="285" t="b">
        <f t="shared" si="9"/>
        <v>0</v>
      </c>
      <c r="V256" s="285">
        <f t="shared" si="10"/>
        <v>0</v>
      </c>
    </row>
    <row r="257" spans="2:22">
      <c r="B257" s="37" t="s">
        <v>475</v>
      </c>
      <c r="C257" s="2" t="s">
        <v>476</v>
      </c>
      <c r="D257" s="32">
        <v>0</v>
      </c>
      <c r="E257" s="32"/>
      <c r="F257" s="32"/>
      <c r="G257" s="32"/>
      <c r="H257" s="32"/>
      <c r="I257" s="32"/>
      <c r="J257" s="38" t="s">
        <v>471</v>
      </c>
      <c r="K257" s="2" t="s">
        <v>472</v>
      </c>
      <c r="L257" s="34"/>
      <c r="N257" s="13" t="b">
        <f t="shared" si="11"/>
        <v>1</v>
      </c>
      <c r="O257" s="13" t="s">
        <v>475</v>
      </c>
      <c r="P257" s="13" t="s">
        <v>476</v>
      </c>
      <c r="Q257" s="285">
        <v>0</v>
      </c>
      <c r="R257" s="13" t="s">
        <v>527</v>
      </c>
      <c r="S257" s="13" t="s">
        <v>528</v>
      </c>
      <c r="T257" s="13">
        <v>0</v>
      </c>
      <c r="U257" s="285" t="b">
        <f t="shared" si="9"/>
        <v>0</v>
      </c>
      <c r="V257" s="285">
        <f t="shared" si="10"/>
        <v>0</v>
      </c>
    </row>
    <row r="258" spans="2:22">
      <c r="B258" s="37" t="s">
        <v>477</v>
      </c>
      <c r="C258" s="2" t="s">
        <v>945</v>
      </c>
      <c r="D258" s="32">
        <v>0</v>
      </c>
      <c r="E258" s="32"/>
      <c r="F258" s="32"/>
      <c r="G258" s="32"/>
      <c r="H258" s="32"/>
      <c r="I258" s="32"/>
      <c r="J258" s="38" t="s">
        <v>471</v>
      </c>
      <c r="K258" s="2" t="s">
        <v>472</v>
      </c>
      <c r="L258" s="34"/>
      <c r="N258" s="13" t="b">
        <f t="shared" si="11"/>
        <v>1</v>
      </c>
      <c r="O258" s="13" t="s">
        <v>477</v>
      </c>
      <c r="P258" s="13" t="s">
        <v>945</v>
      </c>
      <c r="Q258" s="285">
        <v>5561057852</v>
      </c>
      <c r="S258" s="13" t="s">
        <v>482</v>
      </c>
      <c r="T258" s="13">
        <v>5561057852</v>
      </c>
      <c r="U258" s="285" t="b">
        <f t="shared" si="9"/>
        <v>0</v>
      </c>
      <c r="V258" s="285">
        <f t="shared" si="10"/>
        <v>0</v>
      </c>
    </row>
    <row r="259" spans="2:22">
      <c r="B259" s="37" t="s">
        <v>527</v>
      </c>
      <c r="C259" s="2" t="s">
        <v>528</v>
      </c>
      <c r="D259" s="32">
        <v>0</v>
      </c>
      <c r="E259" s="32"/>
      <c r="F259" s="32"/>
      <c r="G259" s="32"/>
      <c r="H259" s="32"/>
      <c r="I259" s="32"/>
      <c r="J259" s="38" t="s">
        <v>471</v>
      </c>
      <c r="K259" s="2" t="s">
        <v>472</v>
      </c>
      <c r="L259" s="34"/>
      <c r="N259" s="13" t="b">
        <f t="shared" si="11"/>
        <v>1</v>
      </c>
      <c r="O259" s="13" t="s">
        <v>527</v>
      </c>
      <c r="P259" s="13" t="s">
        <v>528</v>
      </c>
      <c r="Q259" s="285"/>
    </row>
    <row r="260" spans="2:22">
      <c r="B260" s="29"/>
      <c r="C260" s="30" t="s">
        <v>482</v>
      </c>
      <c r="D260" s="31">
        <v>5561057852</v>
      </c>
      <c r="E260" s="31"/>
      <c r="F260" s="31"/>
      <c r="G260" s="31"/>
      <c r="H260" s="31"/>
      <c r="I260" s="32"/>
      <c r="J260" s="38">
        <v>0</v>
      </c>
      <c r="K260" s="2" t="s">
        <v>66</v>
      </c>
      <c r="L260" s="34"/>
      <c r="N260" s="13" t="b">
        <f t="shared" si="11"/>
        <v>1</v>
      </c>
      <c r="P260" s="13" t="s">
        <v>482</v>
      </c>
      <c r="Q260" s="285"/>
      <c r="T260" s="13">
        <v>0</v>
      </c>
    </row>
    <row r="261" spans="2:22">
      <c r="B261" s="29"/>
      <c r="C261" s="30"/>
      <c r="D261" s="31"/>
      <c r="E261" s="31"/>
      <c r="F261" s="31"/>
      <c r="G261" s="31"/>
      <c r="H261" s="31"/>
      <c r="I261" s="32"/>
      <c r="J261" s="38"/>
      <c r="K261" s="2"/>
      <c r="L261" s="34"/>
      <c r="Q261" s="285"/>
    </row>
    <row r="262" spans="2:22">
      <c r="B262" s="29"/>
      <c r="C262" s="30"/>
      <c r="D262" s="31"/>
      <c r="E262" s="31"/>
      <c r="F262" s="31"/>
      <c r="G262" s="31"/>
      <c r="H262" s="31"/>
      <c r="I262" s="32"/>
      <c r="J262" s="38"/>
      <c r="K262" s="2"/>
      <c r="L262" s="34"/>
    </row>
    <row r="263" spans="2:22">
      <c r="B263" s="37"/>
      <c r="C263" s="2"/>
      <c r="D263" s="32"/>
      <c r="E263" s="32"/>
      <c r="F263" s="32"/>
      <c r="G263" s="32"/>
      <c r="H263" s="32"/>
      <c r="I263" s="32"/>
      <c r="J263" s="38"/>
      <c r="K263" s="2"/>
      <c r="L263" s="34"/>
    </row>
    <row r="264" spans="2:22">
      <c r="B264" s="37"/>
      <c r="C264" s="2"/>
      <c r="D264" s="32"/>
      <c r="E264" s="32"/>
      <c r="F264" s="32"/>
      <c r="G264" s="32"/>
      <c r="H264" s="32"/>
      <c r="I264" s="32"/>
      <c r="J264" s="38"/>
      <c r="K264" s="2"/>
      <c r="L264" s="34"/>
    </row>
    <row r="265" spans="2:22">
      <c r="B265" s="37"/>
      <c r="C265" s="2"/>
      <c r="D265" s="32"/>
      <c r="E265" s="32"/>
      <c r="F265" s="32"/>
      <c r="G265" s="32"/>
      <c r="H265" s="32"/>
      <c r="I265" s="32"/>
      <c r="J265" s="38"/>
      <c r="K265" s="2"/>
      <c r="L265" s="34"/>
    </row>
    <row r="266" spans="2:22">
      <c r="B266" s="37"/>
      <c r="C266" s="2"/>
      <c r="D266" s="32"/>
      <c r="E266" s="32"/>
      <c r="F266" s="32"/>
      <c r="G266" s="32"/>
      <c r="H266" s="32"/>
      <c r="I266" s="32"/>
      <c r="J266" s="38"/>
      <c r="K266" s="2"/>
      <c r="L266" s="34"/>
    </row>
    <row r="267" spans="2:22">
      <c r="B267" s="37"/>
      <c r="C267" s="2"/>
      <c r="D267" s="32"/>
      <c r="E267" s="32"/>
      <c r="F267" s="32"/>
      <c r="G267" s="32"/>
      <c r="H267" s="32"/>
      <c r="I267" s="32"/>
      <c r="J267" s="38"/>
      <c r="K267" s="2"/>
      <c r="L267" s="2"/>
    </row>
    <row r="268" spans="2:22">
      <c r="B268" s="2"/>
      <c r="C268" s="2"/>
      <c r="D268" s="46"/>
      <c r="E268" s="46"/>
      <c r="F268" s="46"/>
      <c r="G268" s="46"/>
      <c r="H268" s="46"/>
      <c r="I268" s="46"/>
      <c r="J268" s="2"/>
      <c r="K268" s="2"/>
      <c r="L268" s="34"/>
    </row>
    <row r="269" spans="2:22">
      <c r="B269" s="37"/>
      <c r="C269" s="2"/>
      <c r="D269" s="47"/>
      <c r="E269" s="32"/>
      <c r="F269" s="47"/>
      <c r="G269" s="47"/>
      <c r="H269" s="47"/>
      <c r="I269" s="47"/>
      <c r="J269" s="38"/>
      <c r="K269" s="2"/>
      <c r="L269" s="34"/>
    </row>
    <row r="270" spans="2:22">
      <c r="B270" s="37"/>
      <c r="C270" s="2"/>
      <c r="D270" s="47"/>
      <c r="E270" s="47"/>
      <c r="F270" s="47"/>
      <c r="G270" s="47"/>
      <c r="H270" s="47"/>
      <c r="I270" s="47"/>
      <c r="J270" s="38"/>
      <c r="K270" s="2"/>
      <c r="L270" s="34"/>
    </row>
    <row r="271" spans="2:22">
      <c r="B271" s="37"/>
      <c r="C271" s="2"/>
      <c r="D271" s="47"/>
      <c r="E271" s="47"/>
      <c r="F271" s="47"/>
      <c r="G271" s="47"/>
      <c r="H271" s="47"/>
      <c r="I271" s="47"/>
      <c r="J271" s="48"/>
      <c r="K271" s="2"/>
      <c r="L271" s="34"/>
    </row>
    <row r="272" spans="2:22">
      <c r="B272" s="37"/>
      <c r="C272" s="2"/>
      <c r="D272" s="47"/>
      <c r="E272" s="47"/>
      <c r="F272" s="47"/>
      <c r="G272" s="47"/>
      <c r="H272" s="47"/>
      <c r="I272" s="47"/>
      <c r="J272" s="48"/>
      <c r="K272" s="2"/>
      <c r="L272" s="2"/>
    </row>
    <row r="273" spans="2:12">
      <c r="B273" s="37"/>
      <c r="C273" s="2"/>
      <c r="D273" s="47"/>
      <c r="E273" s="47"/>
      <c r="F273" s="47"/>
      <c r="G273" s="47"/>
      <c r="H273" s="47"/>
      <c r="I273" s="47"/>
      <c r="J273" s="48"/>
      <c r="K273" s="2"/>
      <c r="L273" s="2"/>
    </row>
    <row r="274" spans="2:12">
      <c r="B274" s="37"/>
      <c r="C274" s="2"/>
      <c r="D274" s="47"/>
      <c r="E274" s="47"/>
      <c r="F274" s="47"/>
      <c r="G274" s="47"/>
      <c r="H274" s="47"/>
      <c r="I274" s="47"/>
      <c r="J274" s="48"/>
      <c r="K274" s="2"/>
      <c r="L274" s="2"/>
    </row>
    <row r="275" spans="2:12">
      <c r="B275" s="37"/>
      <c r="C275" s="2"/>
      <c r="D275" s="47"/>
      <c r="E275" s="47"/>
      <c r="F275" s="47"/>
      <c r="G275" s="47"/>
      <c r="H275" s="47"/>
      <c r="I275" s="47"/>
      <c r="J275" s="48"/>
      <c r="K275" s="2"/>
      <c r="L275" s="2"/>
    </row>
    <row r="276" spans="2:12">
      <c r="B276" s="37"/>
      <c r="C276" s="2"/>
      <c r="D276" s="47"/>
      <c r="E276" s="47"/>
      <c r="F276" s="47"/>
      <c r="G276" s="47"/>
      <c r="H276" s="47"/>
      <c r="I276" s="47"/>
      <c r="J276" s="48"/>
      <c r="K276" s="2"/>
      <c r="L276" s="2"/>
    </row>
    <row r="277" spans="2:12">
      <c r="B277" s="37"/>
      <c r="C277" s="2"/>
      <c r="D277" s="47"/>
      <c r="E277" s="47"/>
      <c r="F277" s="47"/>
      <c r="G277" s="47"/>
      <c r="H277" s="47"/>
      <c r="I277" s="47"/>
      <c r="J277" s="48"/>
      <c r="K277" s="2"/>
      <c r="L277" s="2"/>
    </row>
    <row r="278" spans="2:12">
      <c r="B278" s="37"/>
      <c r="C278" s="2"/>
      <c r="D278" s="47"/>
      <c r="E278" s="47"/>
      <c r="F278" s="47"/>
      <c r="G278" s="47"/>
      <c r="H278" s="47"/>
      <c r="I278" s="47"/>
      <c r="J278" s="48"/>
      <c r="K278" s="2"/>
    </row>
  </sheetData>
  <mergeCells count="1">
    <mergeCell ref="C3:C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154F-CF8E-4ECA-B11C-2DC4BAA25EC0}">
  <dimension ref="B1:N274"/>
  <sheetViews>
    <sheetView workbookViewId="0">
      <pane xSplit="3" ySplit="9" topLeftCell="D121" activePane="bottomRight" state="frozen"/>
      <selection pane="topRight" activeCell="D1" sqref="D1"/>
      <selection pane="bottomLeft" activeCell="A10" sqref="A10"/>
      <selection pane="bottomRight" activeCell="E125" sqref="E125"/>
    </sheetView>
  </sheetViews>
  <sheetFormatPr defaultRowHeight="16.5"/>
  <cols>
    <col min="1" max="1" width="3.875" customWidth="1"/>
    <col min="2" max="2" width="11" customWidth="1"/>
    <col min="3" max="3" width="23" customWidth="1"/>
    <col min="4" max="8" width="16.375" customWidth="1"/>
    <col min="10" max="10" width="8.875" bestFit="1" customWidth="1"/>
  </cols>
  <sheetData>
    <row r="1" spans="2:14">
      <c r="C1" s="9" t="s">
        <v>497</v>
      </c>
      <c r="D1" s="282" t="str">
        <f>'A-1. 별도FS_18'!B2</f>
        <v>별도 정산표 v5.0</v>
      </c>
      <c r="E1" s="10" t="s">
        <v>870</v>
      </c>
      <c r="F1" s="10"/>
      <c r="G1" s="10"/>
      <c r="H1" s="10"/>
      <c r="I1" s="11"/>
      <c r="J1" s="12"/>
      <c r="K1" s="12"/>
    </row>
    <row r="2" spans="2:14" ht="13.15" customHeight="1">
      <c r="B2" s="49" t="s">
        <v>989</v>
      </c>
      <c r="C2" s="49"/>
      <c r="D2" s="12"/>
      <c r="E2" s="12"/>
      <c r="F2" s="12"/>
      <c r="G2" s="12"/>
      <c r="H2" s="12"/>
      <c r="I2" s="12"/>
      <c r="J2" s="12"/>
      <c r="K2" s="12"/>
    </row>
    <row r="3" spans="2:14" ht="13.15" customHeight="1">
      <c r="B3" s="14"/>
      <c r="C3" s="353"/>
      <c r="D3" s="15">
        <v>0</v>
      </c>
      <c r="E3" s="15">
        <v>0</v>
      </c>
      <c r="F3" s="15"/>
      <c r="G3" s="15"/>
      <c r="H3" s="15"/>
      <c r="I3" s="16"/>
      <c r="J3" s="2"/>
      <c r="K3" s="2"/>
    </row>
    <row r="4" spans="2:14" ht="13.15" customHeight="1">
      <c r="B4" s="14"/>
      <c r="C4" s="354"/>
      <c r="D4" s="15">
        <v>0</v>
      </c>
      <c r="E4" s="15">
        <v>0</v>
      </c>
      <c r="F4" s="15"/>
      <c r="G4" s="15"/>
      <c r="H4" s="15"/>
      <c r="I4" s="16"/>
      <c r="J4" s="2"/>
      <c r="K4" s="2"/>
    </row>
    <row r="5" spans="2:14" ht="17.45" customHeight="1">
      <c r="B5" s="17">
        <v>43830</v>
      </c>
      <c r="C5" s="18" t="s">
        <v>867</v>
      </c>
      <c r="D5" s="19" t="s">
        <v>1</v>
      </c>
      <c r="E5" s="19" t="s">
        <v>2</v>
      </c>
      <c r="F5" s="19"/>
      <c r="G5" s="19"/>
      <c r="H5" s="19"/>
      <c r="I5" s="20"/>
      <c r="J5" s="21" t="s">
        <v>499</v>
      </c>
      <c r="K5" s="21" t="s">
        <v>500</v>
      </c>
    </row>
    <row r="6" spans="2:14" ht="30" customHeight="1">
      <c r="B6" s="18" t="s">
        <v>12</v>
      </c>
      <c r="C6" s="18" t="s">
        <v>13</v>
      </c>
      <c r="D6" s="19" t="s">
        <v>868</v>
      </c>
      <c r="E6" s="22" t="s">
        <v>869</v>
      </c>
      <c r="F6" s="22"/>
      <c r="G6" s="22"/>
      <c r="H6" s="22"/>
      <c r="I6" s="20"/>
      <c r="J6" s="21" t="s">
        <v>502</v>
      </c>
      <c r="K6" s="21" t="s">
        <v>503</v>
      </c>
    </row>
    <row r="7" spans="2:14" ht="14.45" customHeight="1">
      <c r="B7" s="24"/>
      <c r="C7" s="25" t="s">
        <v>14</v>
      </c>
      <c r="D7" s="26"/>
      <c r="E7" s="26"/>
      <c r="F7" s="26"/>
      <c r="G7" s="26"/>
      <c r="H7" s="26"/>
      <c r="I7" s="27"/>
      <c r="J7" s="28"/>
      <c r="K7" s="2"/>
      <c r="M7" t="s">
        <v>14</v>
      </c>
    </row>
    <row r="8" spans="2:14" ht="14.45" customHeight="1">
      <c r="B8" s="29" t="s">
        <v>15</v>
      </c>
      <c r="C8" s="30" t="s">
        <v>16</v>
      </c>
      <c r="D8" s="31">
        <v>23588598166</v>
      </c>
      <c r="E8" s="31">
        <v>906761</v>
      </c>
      <c r="F8" s="31"/>
      <c r="G8" s="31"/>
      <c r="H8" s="31"/>
      <c r="I8" s="32"/>
      <c r="J8" s="33"/>
      <c r="K8" s="2"/>
      <c r="L8" t="s">
        <v>15</v>
      </c>
      <c r="M8" t="s">
        <v>16</v>
      </c>
    </row>
    <row r="9" spans="2:14" ht="14.45" customHeight="1">
      <c r="B9" s="24"/>
      <c r="C9" s="25" t="s">
        <v>700</v>
      </c>
      <c r="D9" s="35">
        <v>15831735316</v>
      </c>
      <c r="E9" s="35">
        <v>906761</v>
      </c>
      <c r="F9" s="35"/>
      <c r="G9" s="35"/>
      <c r="H9" s="35"/>
      <c r="I9" s="32"/>
      <c r="J9" s="36"/>
      <c r="K9" s="36"/>
      <c r="M9" t="s">
        <v>700</v>
      </c>
    </row>
    <row r="10" spans="2:14" ht="14.45" customHeight="1">
      <c r="B10" s="37" t="s">
        <v>17</v>
      </c>
      <c r="C10" s="2" t="s">
        <v>18</v>
      </c>
      <c r="D10" s="32">
        <v>8772043</v>
      </c>
      <c r="E10" s="32">
        <v>906761</v>
      </c>
      <c r="F10" s="32"/>
      <c r="G10" s="32"/>
      <c r="H10" s="32"/>
      <c r="I10" s="32"/>
      <c r="J10" s="38" t="s">
        <v>19</v>
      </c>
      <c r="K10" s="2" t="s">
        <v>20</v>
      </c>
      <c r="L10" t="s">
        <v>17</v>
      </c>
      <c r="M10" t="s">
        <v>18</v>
      </c>
      <c r="N10" t="b">
        <f>L10=B10</f>
        <v>1</v>
      </c>
    </row>
    <row r="11" spans="2:14" ht="14.45" customHeight="1">
      <c r="B11" s="37" t="s">
        <v>21</v>
      </c>
      <c r="C11" s="2" t="s">
        <v>22</v>
      </c>
      <c r="D11" s="32">
        <v>5517522912</v>
      </c>
      <c r="E11" s="32">
        <v>0</v>
      </c>
      <c r="F11" s="32"/>
      <c r="G11" s="32"/>
      <c r="H11" s="32"/>
      <c r="I11" s="32"/>
      <c r="J11" s="38" t="s">
        <v>19</v>
      </c>
      <c r="K11" s="2" t="s">
        <v>20</v>
      </c>
      <c r="L11" t="s">
        <v>21</v>
      </c>
      <c r="M11" t="s">
        <v>22</v>
      </c>
      <c r="N11" t="b">
        <f t="shared" ref="N11:N74" si="0">L11=B11</f>
        <v>1</v>
      </c>
    </row>
    <row r="12" spans="2:14" ht="14.45" customHeight="1">
      <c r="B12" s="37" t="s">
        <v>23</v>
      </c>
      <c r="C12" s="2" t="s">
        <v>24</v>
      </c>
      <c r="D12" s="32">
        <v>0</v>
      </c>
      <c r="E12" s="32">
        <v>0</v>
      </c>
      <c r="F12" s="32"/>
      <c r="G12" s="32"/>
      <c r="H12" s="32"/>
      <c r="I12" s="32"/>
      <c r="J12" s="38" t="s">
        <v>19</v>
      </c>
      <c r="K12" s="2" t="s">
        <v>20</v>
      </c>
      <c r="L12" t="s">
        <v>23</v>
      </c>
      <c r="M12" t="s">
        <v>24</v>
      </c>
      <c r="N12" t="b">
        <f t="shared" si="0"/>
        <v>1</v>
      </c>
    </row>
    <row r="13" spans="2:14" ht="14.45" customHeight="1">
      <c r="B13" s="37" t="s">
        <v>25</v>
      </c>
      <c r="C13" s="2" t="s">
        <v>26</v>
      </c>
      <c r="D13" s="32">
        <v>0</v>
      </c>
      <c r="E13" s="32">
        <v>0</v>
      </c>
      <c r="F13" s="32"/>
      <c r="G13" s="32"/>
      <c r="H13" s="32"/>
      <c r="I13" s="32"/>
      <c r="J13" s="38" t="s">
        <v>27</v>
      </c>
      <c r="K13" s="2" t="s">
        <v>28</v>
      </c>
      <c r="L13" t="s">
        <v>25</v>
      </c>
      <c r="M13" t="s">
        <v>26</v>
      </c>
      <c r="N13" t="b">
        <f t="shared" si="0"/>
        <v>1</v>
      </c>
    </row>
    <row r="14" spans="2:14" ht="14.45" customHeight="1">
      <c r="B14" s="37" t="s">
        <v>29</v>
      </c>
      <c r="C14" s="2" t="s">
        <v>30</v>
      </c>
      <c r="D14" s="32">
        <v>1001420524</v>
      </c>
      <c r="E14" s="32">
        <v>0</v>
      </c>
      <c r="F14" s="32"/>
      <c r="G14" s="32"/>
      <c r="H14" s="32"/>
      <c r="I14" s="32"/>
      <c r="J14" s="38" t="s">
        <v>504</v>
      </c>
      <c r="K14" s="2" t="s">
        <v>30</v>
      </c>
      <c r="L14" t="s">
        <v>29</v>
      </c>
      <c r="M14" t="s">
        <v>30</v>
      </c>
      <c r="N14" t="b">
        <f t="shared" si="0"/>
        <v>1</v>
      </c>
    </row>
    <row r="15" spans="2:14" ht="14.45" customHeight="1">
      <c r="B15" s="37" t="s">
        <v>31</v>
      </c>
      <c r="C15" s="2" t="s">
        <v>32</v>
      </c>
      <c r="D15" s="32">
        <v>9358066120</v>
      </c>
      <c r="E15" s="32">
        <v>0</v>
      </c>
      <c r="F15" s="32"/>
      <c r="G15" s="32"/>
      <c r="H15" s="32"/>
      <c r="I15" s="32"/>
      <c r="J15" s="38" t="s">
        <v>33</v>
      </c>
      <c r="K15" s="2" t="s">
        <v>34</v>
      </c>
      <c r="L15" t="s">
        <v>31</v>
      </c>
      <c r="M15" t="s">
        <v>32</v>
      </c>
      <c r="N15" t="b">
        <f t="shared" si="0"/>
        <v>1</v>
      </c>
    </row>
    <row r="16" spans="2:14" ht="14.45" customHeight="1">
      <c r="B16" s="37" t="s">
        <v>35</v>
      </c>
      <c r="C16" s="2" t="s">
        <v>36</v>
      </c>
      <c r="D16" s="32">
        <v>0</v>
      </c>
      <c r="E16" s="32">
        <v>0</v>
      </c>
      <c r="F16" s="32"/>
      <c r="G16" s="32"/>
      <c r="H16" s="32"/>
      <c r="I16" s="32"/>
      <c r="J16" s="38" t="s">
        <v>33</v>
      </c>
      <c r="K16" s="2" t="s">
        <v>34</v>
      </c>
      <c r="L16" t="s">
        <v>35</v>
      </c>
      <c r="M16" t="s">
        <v>36</v>
      </c>
      <c r="N16" t="b">
        <f t="shared" si="0"/>
        <v>1</v>
      </c>
    </row>
    <row r="17" spans="2:14" ht="14.45" customHeight="1">
      <c r="B17" s="37" t="s">
        <v>37</v>
      </c>
      <c r="C17" s="2" t="s">
        <v>38</v>
      </c>
      <c r="D17" s="32">
        <v>0</v>
      </c>
      <c r="E17" s="32">
        <v>0</v>
      </c>
      <c r="F17" s="32"/>
      <c r="G17" s="32"/>
      <c r="H17" s="32"/>
      <c r="I17" s="32"/>
      <c r="J17" s="38" t="s">
        <v>33</v>
      </c>
      <c r="K17" s="2" t="s">
        <v>34</v>
      </c>
      <c r="L17" t="s">
        <v>37</v>
      </c>
      <c r="M17" t="s">
        <v>38</v>
      </c>
      <c r="N17" t="b">
        <f t="shared" si="0"/>
        <v>1</v>
      </c>
    </row>
    <row r="18" spans="2:14" ht="14.45" customHeight="1">
      <c r="B18" s="37" t="s">
        <v>39</v>
      </c>
      <c r="C18" s="2" t="s">
        <v>40</v>
      </c>
      <c r="D18" s="32">
        <v>-533323483</v>
      </c>
      <c r="E18" s="32">
        <v>0</v>
      </c>
      <c r="F18" s="32"/>
      <c r="G18" s="32"/>
      <c r="H18" s="32"/>
      <c r="I18" s="32"/>
      <c r="J18" s="38" t="s">
        <v>33</v>
      </c>
      <c r="K18" s="2" t="s">
        <v>34</v>
      </c>
      <c r="L18" t="s">
        <v>39</v>
      </c>
      <c r="M18" t="s">
        <v>40</v>
      </c>
      <c r="N18" t="b">
        <f t="shared" si="0"/>
        <v>1</v>
      </c>
    </row>
    <row r="19" spans="2:14" ht="14.45" customHeight="1">
      <c r="B19" s="37" t="s">
        <v>41</v>
      </c>
      <c r="C19" s="2" t="s">
        <v>42</v>
      </c>
      <c r="D19" s="32">
        <v>0</v>
      </c>
      <c r="E19" s="32">
        <v>0</v>
      </c>
      <c r="F19" s="32"/>
      <c r="G19" s="32"/>
      <c r="H19" s="32"/>
      <c r="I19" s="32"/>
      <c r="J19" s="38" t="s">
        <v>33</v>
      </c>
      <c r="K19" s="2" t="s">
        <v>34</v>
      </c>
      <c r="L19" t="s">
        <v>41</v>
      </c>
      <c r="M19" t="s">
        <v>42</v>
      </c>
      <c r="N19" t="b">
        <f t="shared" si="0"/>
        <v>1</v>
      </c>
    </row>
    <row r="20" spans="2:14" ht="14.45" customHeight="1">
      <c r="B20" s="37" t="s">
        <v>43</v>
      </c>
      <c r="C20" s="2" t="s">
        <v>44</v>
      </c>
      <c r="D20" s="32">
        <v>0</v>
      </c>
      <c r="E20" s="32">
        <v>0</v>
      </c>
      <c r="F20" s="32"/>
      <c r="G20" s="32"/>
      <c r="H20" s="32"/>
      <c r="I20" s="32"/>
      <c r="J20" s="38" t="s">
        <v>45</v>
      </c>
      <c r="K20" s="2" t="s">
        <v>46</v>
      </c>
      <c r="L20" t="s">
        <v>43</v>
      </c>
      <c r="M20" t="s">
        <v>44</v>
      </c>
      <c r="N20" t="b">
        <f t="shared" si="0"/>
        <v>1</v>
      </c>
    </row>
    <row r="21" spans="2:14" ht="14.45" customHeight="1">
      <c r="B21" s="37" t="s">
        <v>47</v>
      </c>
      <c r="C21" s="2" t="s">
        <v>48</v>
      </c>
      <c r="D21" s="32">
        <v>0</v>
      </c>
      <c r="E21" s="32">
        <v>0</v>
      </c>
      <c r="F21" s="32"/>
      <c r="G21" s="32"/>
      <c r="H21" s="32"/>
      <c r="I21" s="32"/>
      <c r="J21" s="38" t="s">
        <v>45</v>
      </c>
      <c r="K21" s="2" t="s">
        <v>46</v>
      </c>
      <c r="L21" t="s">
        <v>47</v>
      </c>
      <c r="M21" t="s">
        <v>48</v>
      </c>
      <c r="N21" t="b">
        <f t="shared" si="0"/>
        <v>1</v>
      </c>
    </row>
    <row r="22" spans="2:14" ht="14.45" customHeight="1">
      <c r="B22" s="37" t="s">
        <v>49</v>
      </c>
      <c r="C22" s="2" t="s">
        <v>50</v>
      </c>
      <c r="D22" s="32">
        <v>0</v>
      </c>
      <c r="E22" s="32">
        <v>0</v>
      </c>
      <c r="F22" s="32"/>
      <c r="G22" s="32"/>
      <c r="H22" s="32"/>
      <c r="I22" s="32"/>
      <c r="J22" s="38" t="s">
        <v>45</v>
      </c>
      <c r="K22" s="2" t="s">
        <v>46</v>
      </c>
      <c r="L22" t="s">
        <v>49</v>
      </c>
      <c r="M22" t="s">
        <v>50</v>
      </c>
      <c r="N22" t="b">
        <f t="shared" si="0"/>
        <v>1</v>
      </c>
    </row>
    <row r="23" spans="2:14" ht="14.45" customHeight="1">
      <c r="B23" s="37" t="s">
        <v>51</v>
      </c>
      <c r="C23" s="2" t="s">
        <v>52</v>
      </c>
      <c r="D23" s="32">
        <v>145946788</v>
      </c>
      <c r="E23" s="32">
        <v>0</v>
      </c>
      <c r="F23" s="32"/>
      <c r="G23" s="32"/>
      <c r="H23" s="32"/>
      <c r="I23" s="32"/>
      <c r="J23" s="38" t="s">
        <v>45</v>
      </c>
      <c r="K23" s="2" t="s">
        <v>46</v>
      </c>
      <c r="L23" t="s">
        <v>51</v>
      </c>
      <c r="M23" t="s">
        <v>52</v>
      </c>
      <c r="N23" t="b">
        <f t="shared" si="0"/>
        <v>1</v>
      </c>
    </row>
    <row r="24" spans="2:14" ht="14.45" customHeight="1">
      <c r="B24" s="37" t="s">
        <v>53</v>
      </c>
      <c r="C24" s="2" t="s">
        <v>54</v>
      </c>
      <c r="D24" s="32">
        <v>306501376</v>
      </c>
      <c r="E24" s="32">
        <v>0</v>
      </c>
      <c r="F24" s="32"/>
      <c r="G24" s="32"/>
      <c r="H24" s="32"/>
      <c r="I24" s="32"/>
      <c r="J24" s="38" t="s">
        <v>55</v>
      </c>
      <c r="K24" s="2" t="s">
        <v>56</v>
      </c>
      <c r="L24" t="s">
        <v>53</v>
      </c>
      <c r="M24" t="s">
        <v>54</v>
      </c>
      <c r="N24" t="b">
        <f t="shared" si="0"/>
        <v>1</v>
      </c>
    </row>
    <row r="25" spans="2:14" ht="14.45" customHeight="1">
      <c r="B25" s="37" t="s">
        <v>57</v>
      </c>
      <c r="C25" s="2" t="s">
        <v>58</v>
      </c>
      <c r="D25" s="32">
        <v>26829036</v>
      </c>
      <c r="E25" s="32">
        <v>0</v>
      </c>
      <c r="F25" s="32"/>
      <c r="G25" s="32"/>
      <c r="H25" s="32"/>
      <c r="I25" s="32"/>
      <c r="J25" s="38" t="s">
        <v>55</v>
      </c>
      <c r="K25" s="2" t="s">
        <v>56</v>
      </c>
      <c r="L25" t="s">
        <v>57</v>
      </c>
      <c r="M25" t="s">
        <v>58</v>
      </c>
      <c r="N25" t="b">
        <f t="shared" si="0"/>
        <v>1</v>
      </c>
    </row>
    <row r="26" spans="2:14" ht="14.45" customHeight="1">
      <c r="B26" s="37" t="s">
        <v>59</v>
      </c>
      <c r="C26" s="2" t="s">
        <v>60</v>
      </c>
      <c r="D26" s="32">
        <v>0</v>
      </c>
      <c r="E26" s="32">
        <v>0</v>
      </c>
      <c r="F26" s="32"/>
      <c r="G26" s="32"/>
      <c r="H26" s="32"/>
      <c r="I26" s="32"/>
      <c r="J26" s="38" t="s">
        <v>61</v>
      </c>
      <c r="K26" s="2" t="s">
        <v>60</v>
      </c>
      <c r="L26" t="s">
        <v>59</v>
      </c>
      <c r="M26" t="s">
        <v>60</v>
      </c>
      <c r="N26" t="b">
        <f t="shared" si="0"/>
        <v>1</v>
      </c>
    </row>
    <row r="27" spans="2:14" ht="14.45" customHeight="1">
      <c r="B27" s="37" t="s">
        <v>62</v>
      </c>
      <c r="C27" s="2" t="s">
        <v>63</v>
      </c>
      <c r="D27" s="32">
        <v>0</v>
      </c>
      <c r="E27" s="32">
        <v>0</v>
      </c>
      <c r="F27" s="32"/>
      <c r="G27" s="32"/>
      <c r="H27" s="32"/>
      <c r="I27" s="32"/>
      <c r="J27" s="38" t="s">
        <v>64</v>
      </c>
      <c r="K27" s="2" t="s">
        <v>65</v>
      </c>
      <c r="L27" t="s">
        <v>62</v>
      </c>
      <c r="M27" t="s">
        <v>63</v>
      </c>
      <c r="N27" t="b">
        <f t="shared" si="0"/>
        <v>1</v>
      </c>
    </row>
    <row r="28" spans="2:14" ht="14.45" customHeight="1">
      <c r="B28" s="50" t="s">
        <v>505</v>
      </c>
      <c r="C28" s="2" t="s">
        <v>506</v>
      </c>
      <c r="D28" s="32">
        <v>0</v>
      </c>
      <c r="E28" s="32">
        <v>0</v>
      </c>
      <c r="F28" s="32"/>
      <c r="G28" s="32"/>
      <c r="H28" s="32"/>
      <c r="I28" s="32"/>
      <c r="J28" s="38" t="s">
        <v>55</v>
      </c>
      <c r="K28" s="2" t="s">
        <v>56</v>
      </c>
      <c r="L28" t="s">
        <v>505</v>
      </c>
      <c r="M28" t="s">
        <v>506</v>
      </c>
      <c r="N28" t="b">
        <f t="shared" si="0"/>
        <v>1</v>
      </c>
    </row>
    <row r="29" spans="2:14" ht="14.45" customHeight="1">
      <c r="B29" s="24"/>
      <c r="C29" s="25" t="s">
        <v>701</v>
      </c>
      <c r="D29" s="35">
        <v>7756862850</v>
      </c>
      <c r="E29" s="35">
        <v>0</v>
      </c>
      <c r="F29" s="35"/>
      <c r="G29" s="35"/>
      <c r="H29" s="35"/>
      <c r="I29" s="32"/>
      <c r="J29" s="38" t="s">
        <v>66</v>
      </c>
      <c r="K29" s="2" t="s">
        <v>66</v>
      </c>
      <c r="M29" t="s">
        <v>701</v>
      </c>
      <c r="N29" t="b">
        <f t="shared" si="0"/>
        <v>1</v>
      </c>
    </row>
    <row r="30" spans="2:14" ht="14.45" customHeight="1">
      <c r="B30" s="36" t="s">
        <v>67</v>
      </c>
      <c r="C30" s="2" t="s">
        <v>68</v>
      </c>
      <c r="D30" s="32">
        <v>545308589</v>
      </c>
      <c r="E30" s="32">
        <v>0</v>
      </c>
      <c r="F30" s="32"/>
      <c r="G30" s="32"/>
      <c r="H30" s="32"/>
      <c r="I30" s="32"/>
      <c r="J30" s="38" t="s">
        <v>69</v>
      </c>
      <c r="K30" s="2" t="s">
        <v>70</v>
      </c>
      <c r="L30" t="s">
        <v>67</v>
      </c>
      <c r="M30" t="s">
        <v>68</v>
      </c>
      <c r="N30" t="b">
        <f t="shared" si="0"/>
        <v>1</v>
      </c>
    </row>
    <row r="31" spans="2:14" ht="14.45" customHeight="1">
      <c r="B31" s="36" t="s">
        <v>71</v>
      </c>
      <c r="C31" s="2" t="s">
        <v>72</v>
      </c>
      <c r="D31" s="32">
        <v>524830179</v>
      </c>
      <c r="E31" s="32">
        <v>0</v>
      </c>
      <c r="F31" s="32"/>
      <c r="G31" s="32"/>
      <c r="H31" s="32"/>
      <c r="I31" s="32"/>
      <c r="J31" s="38" t="s">
        <v>69</v>
      </c>
      <c r="K31" s="2" t="s">
        <v>70</v>
      </c>
      <c r="L31" t="s">
        <v>71</v>
      </c>
      <c r="M31" t="s">
        <v>72</v>
      </c>
      <c r="N31" t="b">
        <f t="shared" si="0"/>
        <v>1</v>
      </c>
    </row>
    <row r="32" spans="2:14" ht="14.45" customHeight="1">
      <c r="B32" s="36" t="s">
        <v>73</v>
      </c>
      <c r="C32" s="2" t="s">
        <v>74</v>
      </c>
      <c r="D32" s="32">
        <v>0</v>
      </c>
      <c r="E32" s="32">
        <v>0</v>
      </c>
      <c r="F32" s="32"/>
      <c r="G32" s="32"/>
      <c r="H32" s="32"/>
      <c r="I32" s="32"/>
      <c r="J32" s="38" t="s">
        <v>69</v>
      </c>
      <c r="K32" s="2" t="s">
        <v>70</v>
      </c>
      <c r="L32" t="s">
        <v>73</v>
      </c>
      <c r="M32" t="s">
        <v>74</v>
      </c>
      <c r="N32" t="b">
        <f t="shared" si="0"/>
        <v>1</v>
      </c>
    </row>
    <row r="33" spans="2:14" ht="14.45" customHeight="1">
      <c r="B33" s="36" t="s">
        <v>75</v>
      </c>
      <c r="C33" s="2" t="s">
        <v>76</v>
      </c>
      <c r="D33" s="32">
        <v>3077150977</v>
      </c>
      <c r="E33" s="32">
        <v>0</v>
      </c>
      <c r="F33" s="32"/>
      <c r="G33" s="32"/>
      <c r="H33" s="32"/>
      <c r="I33" s="32"/>
      <c r="J33" s="38" t="s">
        <v>69</v>
      </c>
      <c r="K33" s="2" t="s">
        <v>70</v>
      </c>
      <c r="L33" t="s">
        <v>75</v>
      </c>
      <c r="M33" t="s">
        <v>76</v>
      </c>
      <c r="N33" t="b">
        <f t="shared" si="0"/>
        <v>1</v>
      </c>
    </row>
    <row r="34" spans="2:14" ht="14.45" customHeight="1">
      <c r="B34" s="36" t="s">
        <v>77</v>
      </c>
      <c r="C34" s="2" t="s">
        <v>78</v>
      </c>
      <c r="D34" s="32">
        <v>0</v>
      </c>
      <c r="E34" s="32">
        <v>0</v>
      </c>
      <c r="F34" s="32"/>
      <c r="G34" s="32"/>
      <c r="H34" s="32"/>
      <c r="I34" s="32"/>
      <c r="J34" s="38" t="s">
        <v>69</v>
      </c>
      <c r="K34" s="2" t="s">
        <v>70</v>
      </c>
      <c r="L34" t="s">
        <v>77</v>
      </c>
      <c r="M34" t="s">
        <v>78</v>
      </c>
      <c r="N34" t="b">
        <f t="shared" si="0"/>
        <v>1</v>
      </c>
    </row>
    <row r="35" spans="2:14" ht="14.45" customHeight="1">
      <c r="B35" s="36" t="s">
        <v>79</v>
      </c>
      <c r="C35" s="2" t="s">
        <v>80</v>
      </c>
      <c r="D35" s="32">
        <v>920887954</v>
      </c>
      <c r="E35" s="32">
        <v>0</v>
      </c>
      <c r="F35" s="32"/>
      <c r="G35" s="32"/>
      <c r="H35" s="32"/>
      <c r="I35" s="32"/>
      <c r="J35" s="38" t="s">
        <v>69</v>
      </c>
      <c r="K35" s="2" t="s">
        <v>70</v>
      </c>
      <c r="L35" t="s">
        <v>79</v>
      </c>
      <c r="M35" t="s">
        <v>80</v>
      </c>
      <c r="N35" t="b">
        <f t="shared" si="0"/>
        <v>1</v>
      </c>
    </row>
    <row r="36" spans="2:14" ht="14.45" customHeight="1">
      <c r="B36" s="36" t="s">
        <v>81</v>
      </c>
      <c r="C36" s="2" t="s">
        <v>82</v>
      </c>
      <c r="D36" s="32">
        <v>2682244471</v>
      </c>
      <c r="E36" s="32">
        <v>0</v>
      </c>
      <c r="F36" s="32"/>
      <c r="G36" s="32"/>
      <c r="H36" s="32"/>
      <c r="I36" s="32"/>
      <c r="J36" s="38" t="s">
        <v>69</v>
      </c>
      <c r="K36" s="2" t="s">
        <v>70</v>
      </c>
      <c r="L36" t="s">
        <v>81</v>
      </c>
      <c r="M36" t="s">
        <v>82</v>
      </c>
      <c r="N36" t="b">
        <f t="shared" si="0"/>
        <v>1</v>
      </c>
    </row>
    <row r="37" spans="2:14" ht="14.45" customHeight="1">
      <c r="B37" s="37" t="s">
        <v>83</v>
      </c>
      <c r="C37" s="2" t="s">
        <v>84</v>
      </c>
      <c r="D37" s="32">
        <v>0</v>
      </c>
      <c r="E37" s="32">
        <v>0</v>
      </c>
      <c r="F37" s="32"/>
      <c r="G37" s="32"/>
      <c r="H37" s="32"/>
      <c r="I37" s="32"/>
      <c r="J37" s="38" t="s">
        <v>69</v>
      </c>
      <c r="K37" s="2" t="s">
        <v>70</v>
      </c>
      <c r="L37" t="s">
        <v>83</v>
      </c>
      <c r="M37" t="s">
        <v>84</v>
      </c>
      <c r="N37" t="b">
        <f t="shared" si="0"/>
        <v>1</v>
      </c>
    </row>
    <row r="38" spans="2:14" ht="14.45" customHeight="1">
      <c r="B38" s="37" t="s">
        <v>85</v>
      </c>
      <c r="C38" s="2" t="s">
        <v>86</v>
      </c>
      <c r="D38" s="32">
        <v>0</v>
      </c>
      <c r="E38" s="32">
        <v>0</v>
      </c>
      <c r="F38" s="32"/>
      <c r="G38" s="32"/>
      <c r="H38" s="32"/>
      <c r="I38" s="32"/>
      <c r="J38" s="38" t="s">
        <v>69</v>
      </c>
      <c r="K38" s="2" t="s">
        <v>70</v>
      </c>
      <c r="L38" t="s">
        <v>85</v>
      </c>
      <c r="M38" t="s">
        <v>86</v>
      </c>
      <c r="N38" t="b">
        <f t="shared" si="0"/>
        <v>1</v>
      </c>
    </row>
    <row r="39" spans="2:14" ht="14.45" customHeight="1">
      <c r="B39" s="37" t="s">
        <v>87</v>
      </c>
      <c r="C39" s="2" t="s">
        <v>88</v>
      </c>
      <c r="D39" s="32">
        <v>0</v>
      </c>
      <c r="E39" s="32">
        <v>0</v>
      </c>
      <c r="F39" s="32"/>
      <c r="G39" s="32"/>
      <c r="H39" s="32"/>
      <c r="I39" s="32"/>
      <c r="J39" s="38" t="s">
        <v>69</v>
      </c>
      <c r="K39" s="2" t="s">
        <v>70</v>
      </c>
      <c r="L39" t="s">
        <v>87</v>
      </c>
      <c r="M39" t="s">
        <v>88</v>
      </c>
      <c r="N39" t="b">
        <f t="shared" si="0"/>
        <v>1</v>
      </c>
    </row>
    <row r="40" spans="2:14" ht="14.45" customHeight="1">
      <c r="B40" s="37" t="s">
        <v>89</v>
      </c>
      <c r="C40" s="2" t="s">
        <v>90</v>
      </c>
      <c r="D40" s="32">
        <v>6440680</v>
      </c>
      <c r="E40" s="32">
        <v>0</v>
      </c>
      <c r="F40" s="32"/>
      <c r="G40" s="32"/>
      <c r="H40" s="32"/>
      <c r="I40" s="32"/>
      <c r="J40" s="38" t="s">
        <v>69</v>
      </c>
      <c r="K40" s="2" t="s">
        <v>70</v>
      </c>
      <c r="L40" t="s">
        <v>89</v>
      </c>
      <c r="M40" t="s">
        <v>90</v>
      </c>
      <c r="N40" t="b">
        <f t="shared" si="0"/>
        <v>1</v>
      </c>
    </row>
    <row r="41" spans="2:14" ht="14.45" customHeight="1">
      <c r="B41" s="29" t="s">
        <v>15</v>
      </c>
      <c r="C41" s="30" t="s">
        <v>91</v>
      </c>
      <c r="D41" s="31">
        <v>107600242493</v>
      </c>
      <c r="E41" s="31">
        <v>7486</v>
      </c>
      <c r="F41" s="31"/>
      <c r="G41" s="31"/>
      <c r="H41" s="31"/>
      <c r="I41" s="32"/>
      <c r="J41" s="38" t="s">
        <v>66</v>
      </c>
      <c r="K41" s="2" t="s">
        <v>66</v>
      </c>
      <c r="L41" t="s">
        <v>15</v>
      </c>
      <c r="M41" t="s">
        <v>91</v>
      </c>
      <c r="N41" t="b">
        <f t="shared" si="0"/>
        <v>1</v>
      </c>
    </row>
    <row r="42" spans="2:14" ht="14.45" customHeight="1">
      <c r="B42" s="37" t="s">
        <v>92</v>
      </c>
      <c r="C42" s="2" t="s">
        <v>93</v>
      </c>
      <c r="D42" s="32">
        <v>0</v>
      </c>
      <c r="E42" s="32">
        <v>0</v>
      </c>
      <c r="F42" s="32"/>
      <c r="G42" s="32"/>
      <c r="H42" s="32"/>
      <c r="I42" s="32"/>
      <c r="J42" s="38" t="s">
        <v>94</v>
      </c>
      <c r="K42" s="2" t="s">
        <v>95</v>
      </c>
      <c r="L42" t="s">
        <v>92</v>
      </c>
      <c r="M42" t="s">
        <v>93</v>
      </c>
      <c r="N42" t="b">
        <f t="shared" si="0"/>
        <v>1</v>
      </c>
    </row>
    <row r="43" spans="2:14" ht="14.45" customHeight="1">
      <c r="B43" s="37" t="s">
        <v>96</v>
      </c>
      <c r="C43" s="2" t="s">
        <v>97</v>
      </c>
      <c r="D43" s="32">
        <v>0</v>
      </c>
      <c r="E43" s="32">
        <v>0</v>
      </c>
      <c r="F43" s="32"/>
      <c r="G43" s="32"/>
      <c r="H43" s="32"/>
      <c r="I43" s="32"/>
      <c r="J43" s="38" t="s">
        <v>94</v>
      </c>
      <c r="K43" s="2" t="s">
        <v>95</v>
      </c>
      <c r="L43" t="s">
        <v>96</v>
      </c>
      <c r="M43" t="s">
        <v>97</v>
      </c>
      <c r="N43" t="b">
        <f t="shared" si="0"/>
        <v>1</v>
      </c>
    </row>
    <row r="44" spans="2:14" ht="14.45" customHeight="1">
      <c r="B44" s="37" t="s">
        <v>98</v>
      </c>
      <c r="C44" s="2" t="s">
        <v>99</v>
      </c>
      <c r="D44" s="32">
        <v>1059412860</v>
      </c>
      <c r="E44" s="32">
        <v>0</v>
      </c>
      <c r="F44" s="32"/>
      <c r="G44" s="32"/>
      <c r="H44" s="32"/>
      <c r="I44" s="32"/>
      <c r="J44" s="38" t="s">
        <v>507</v>
      </c>
      <c r="K44" s="2" t="s">
        <v>99</v>
      </c>
      <c r="L44" t="s">
        <v>98</v>
      </c>
      <c r="M44" t="s">
        <v>99</v>
      </c>
      <c r="N44" t="b">
        <f t="shared" si="0"/>
        <v>1</v>
      </c>
    </row>
    <row r="45" spans="2:14" ht="14.45" customHeight="1">
      <c r="B45" s="37" t="s">
        <v>100</v>
      </c>
      <c r="C45" s="2" t="s">
        <v>101</v>
      </c>
      <c r="D45" s="32">
        <v>0</v>
      </c>
      <c r="E45" s="32">
        <v>0</v>
      </c>
      <c r="F45" s="32"/>
      <c r="G45" s="32"/>
      <c r="H45" s="32"/>
      <c r="I45" s="32"/>
      <c r="J45" s="38" t="s">
        <v>102</v>
      </c>
      <c r="K45" s="2" t="s">
        <v>103</v>
      </c>
      <c r="L45" t="s">
        <v>100</v>
      </c>
      <c r="M45" t="s">
        <v>101</v>
      </c>
      <c r="N45" t="b">
        <f t="shared" si="0"/>
        <v>1</v>
      </c>
    </row>
    <row r="46" spans="2:14" ht="14.45" customHeight="1">
      <c r="B46" s="37" t="s">
        <v>104</v>
      </c>
      <c r="C46" s="2" t="s">
        <v>105</v>
      </c>
      <c r="D46" s="32">
        <v>1179726013</v>
      </c>
      <c r="E46" s="32">
        <v>0</v>
      </c>
      <c r="F46" s="32"/>
      <c r="G46" s="32"/>
      <c r="H46" s="32"/>
      <c r="I46" s="32"/>
      <c r="J46" s="38" t="s">
        <v>106</v>
      </c>
      <c r="K46" s="2" t="s">
        <v>107</v>
      </c>
      <c r="L46" t="s">
        <v>104</v>
      </c>
      <c r="M46" t="s">
        <v>105</v>
      </c>
      <c r="N46" t="b">
        <f t="shared" si="0"/>
        <v>1</v>
      </c>
    </row>
    <row r="47" spans="2:14" ht="14.45" customHeight="1">
      <c r="B47" s="37" t="s">
        <v>108</v>
      </c>
      <c r="C47" s="2" t="s">
        <v>109</v>
      </c>
      <c r="D47" s="32">
        <v>81445762713</v>
      </c>
      <c r="E47" s="32">
        <v>0</v>
      </c>
      <c r="F47" s="32"/>
      <c r="G47" s="32"/>
      <c r="H47" s="32"/>
      <c r="I47" s="32"/>
      <c r="J47" s="38" t="s">
        <v>106</v>
      </c>
      <c r="K47" s="2" t="s">
        <v>107</v>
      </c>
      <c r="L47" t="s">
        <v>108</v>
      </c>
      <c r="M47" t="s">
        <v>109</v>
      </c>
      <c r="N47" t="b">
        <f t="shared" si="0"/>
        <v>1</v>
      </c>
    </row>
    <row r="48" spans="2:14" ht="14.45" customHeight="1">
      <c r="B48" s="37" t="s">
        <v>110</v>
      </c>
      <c r="C48" s="2" t="s">
        <v>111</v>
      </c>
      <c r="D48" s="32">
        <v>0</v>
      </c>
      <c r="E48" s="32">
        <v>0</v>
      </c>
      <c r="F48" s="32"/>
      <c r="G48" s="32"/>
      <c r="H48" s="32"/>
      <c r="I48" s="32"/>
      <c r="J48" s="38" t="s">
        <v>94</v>
      </c>
      <c r="K48" s="2" t="s">
        <v>95</v>
      </c>
      <c r="L48" t="s">
        <v>110</v>
      </c>
      <c r="M48" t="s">
        <v>111</v>
      </c>
      <c r="N48" t="b">
        <f t="shared" si="0"/>
        <v>1</v>
      </c>
    </row>
    <row r="49" spans="2:14" ht="14.45" customHeight="1">
      <c r="B49" s="37" t="s">
        <v>112</v>
      </c>
      <c r="C49" s="2" t="s">
        <v>113</v>
      </c>
      <c r="D49" s="32">
        <v>0</v>
      </c>
      <c r="E49" s="32">
        <v>0</v>
      </c>
      <c r="F49" s="32"/>
      <c r="G49" s="32"/>
      <c r="H49" s="32"/>
      <c r="I49" s="32"/>
      <c r="J49" s="38" t="s">
        <v>94</v>
      </c>
      <c r="K49" s="2" t="s">
        <v>95</v>
      </c>
      <c r="L49" t="s">
        <v>112</v>
      </c>
      <c r="M49" t="s">
        <v>113</v>
      </c>
      <c r="N49" t="b">
        <f t="shared" si="0"/>
        <v>1</v>
      </c>
    </row>
    <row r="50" spans="2:14" ht="14.45" customHeight="1">
      <c r="B50" s="37" t="s">
        <v>952</v>
      </c>
      <c r="C50" s="2" t="s">
        <v>953</v>
      </c>
      <c r="D50" s="32">
        <v>42450000</v>
      </c>
      <c r="E50" s="32">
        <v>0</v>
      </c>
      <c r="F50" s="32"/>
      <c r="G50" s="32"/>
      <c r="H50" s="32"/>
      <c r="I50" s="32"/>
      <c r="J50" s="38"/>
      <c r="K50" s="2"/>
      <c r="L50" t="s">
        <v>952</v>
      </c>
      <c r="M50" t="s">
        <v>953</v>
      </c>
      <c r="N50" t="b">
        <f t="shared" si="0"/>
        <v>1</v>
      </c>
    </row>
    <row r="51" spans="2:14" ht="14.45" customHeight="1">
      <c r="B51" s="37" t="s">
        <v>114</v>
      </c>
      <c r="C51" s="2" t="s">
        <v>115</v>
      </c>
      <c r="D51" s="32">
        <v>0</v>
      </c>
      <c r="E51" s="32">
        <v>0</v>
      </c>
      <c r="F51" s="32"/>
      <c r="G51" s="32"/>
      <c r="H51" s="32"/>
      <c r="I51" s="32"/>
      <c r="J51" s="38" t="s">
        <v>94</v>
      </c>
      <c r="K51" s="2" t="s">
        <v>95</v>
      </c>
      <c r="L51" t="s">
        <v>114</v>
      </c>
      <c r="M51" t="s">
        <v>115</v>
      </c>
      <c r="N51" t="b">
        <f t="shared" si="0"/>
        <v>1</v>
      </c>
    </row>
    <row r="52" spans="2:14" ht="14.45" customHeight="1">
      <c r="B52" s="37" t="s">
        <v>116</v>
      </c>
      <c r="C52" s="2" t="s">
        <v>117</v>
      </c>
      <c r="D52" s="32">
        <v>0</v>
      </c>
      <c r="E52" s="32">
        <v>0</v>
      </c>
      <c r="F52" s="32"/>
      <c r="G52" s="32"/>
      <c r="H52" s="32"/>
      <c r="I52" s="32"/>
      <c r="J52" s="38" t="s">
        <v>118</v>
      </c>
      <c r="K52" s="2" t="s">
        <v>117</v>
      </c>
      <c r="L52" t="s">
        <v>116</v>
      </c>
      <c r="M52" t="s">
        <v>117</v>
      </c>
      <c r="N52" t="b">
        <f t="shared" si="0"/>
        <v>1</v>
      </c>
    </row>
    <row r="53" spans="2:14" ht="14.45" customHeight="1">
      <c r="B53" s="37" t="s">
        <v>119</v>
      </c>
      <c r="C53" s="2" t="s">
        <v>120</v>
      </c>
      <c r="D53" s="32">
        <v>0</v>
      </c>
      <c r="E53" s="32">
        <v>0</v>
      </c>
      <c r="F53" s="32"/>
      <c r="G53" s="32"/>
      <c r="H53" s="32"/>
      <c r="I53" s="32"/>
      <c r="J53" s="38" t="s">
        <v>118</v>
      </c>
      <c r="K53" s="2" t="s">
        <v>117</v>
      </c>
      <c r="L53" t="s">
        <v>119</v>
      </c>
      <c r="M53" t="s">
        <v>120</v>
      </c>
      <c r="N53" t="b">
        <f t="shared" si="0"/>
        <v>1</v>
      </c>
    </row>
    <row r="54" spans="2:14" ht="14.45" customHeight="1">
      <c r="B54" s="37" t="s">
        <v>121</v>
      </c>
      <c r="C54" s="2" t="s">
        <v>122</v>
      </c>
      <c r="D54" s="32">
        <v>0</v>
      </c>
      <c r="E54" s="32">
        <v>0</v>
      </c>
      <c r="F54" s="32"/>
      <c r="G54" s="32"/>
      <c r="H54" s="32"/>
      <c r="I54" s="32"/>
      <c r="J54" s="38" t="s">
        <v>118</v>
      </c>
      <c r="K54" s="2" t="s">
        <v>117</v>
      </c>
      <c r="L54" t="s">
        <v>121</v>
      </c>
      <c r="M54" t="s">
        <v>122</v>
      </c>
      <c r="N54" t="b">
        <f t="shared" si="0"/>
        <v>1</v>
      </c>
    </row>
    <row r="55" spans="2:14" ht="14.45" customHeight="1">
      <c r="B55" s="37" t="s">
        <v>123</v>
      </c>
      <c r="C55" s="2" t="s">
        <v>124</v>
      </c>
      <c r="D55" s="32">
        <v>0</v>
      </c>
      <c r="E55" s="32">
        <v>0</v>
      </c>
      <c r="F55" s="32"/>
      <c r="G55" s="32"/>
      <c r="H55" s="32"/>
      <c r="I55" s="32"/>
      <c r="J55" s="38" t="s">
        <v>118</v>
      </c>
      <c r="K55" s="2" t="s">
        <v>117</v>
      </c>
      <c r="L55" t="s">
        <v>123</v>
      </c>
      <c r="M55" t="s">
        <v>124</v>
      </c>
      <c r="N55" t="b">
        <f t="shared" si="0"/>
        <v>1</v>
      </c>
    </row>
    <row r="56" spans="2:14" ht="14.45" customHeight="1">
      <c r="B56" s="24" t="s">
        <v>15</v>
      </c>
      <c r="C56" s="25" t="s">
        <v>125</v>
      </c>
      <c r="D56" s="35">
        <v>23568001502</v>
      </c>
      <c r="E56" s="35">
        <v>7486</v>
      </c>
      <c r="F56" s="35"/>
      <c r="G56" s="35"/>
      <c r="H56" s="35"/>
      <c r="I56" s="32"/>
      <c r="J56" s="38" t="s">
        <v>66</v>
      </c>
      <c r="K56" s="2" t="s">
        <v>66</v>
      </c>
      <c r="L56" t="s">
        <v>15</v>
      </c>
      <c r="M56" t="s">
        <v>125</v>
      </c>
      <c r="N56" t="b">
        <f t="shared" si="0"/>
        <v>1</v>
      </c>
    </row>
    <row r="57" spans="2:14" ht="14.45" customHeight="1">
      <c r="B57" s="37" t="s">
        <v>126</v>
      </c>
      <c r="C57" s="2" t="s">
        <v>127</v>
      </c>
      <c r="D57" s="32">
        <v>10242504190</v>
      </c>
      <c r="E57" s="32">
        <v>0</v>
      </c>
      <c r="F57" s="32"/>
      <c r="G57" s="32"/>
      <c r="H57" s="32"/>
      <c r="I57" s="32"/>
      <c r="J57" s="38" t="s">
        <v>128</v>
      </c>
      <c r="K57" s="2" t="s">
        <v>129</v>
      </c>
      <c r="L57" t="s">
        <v>126</v>
      </c>
      <c r="M57" t="s">
        <v>127</v>
      </c>
      <c r="N57" t="b">
        <f t="shared" si="0"/>
        <v>1</v>
      </c>
    </row>
    <row r="58" spans="2:14" ht="14.45" customHeight="1">
      <c r="B58" s="37" t="s">
        <v>130</v>
      </c>
      <c r="C58" s="2" t="s">
        <v>131</v>
      </c>
      <c r="D58" s="32">
        <v>10031774698</v>
      </c>
      <c r="E58" s="32">
        <v>0</v>
      </c>
      <c r="F58" s="32"/>
      <c r="G58" s="32"/>
      <c r="H58" s="32"/>
      <c r="I58" s="32"/>
      <c r="J58" s="38" t="s">
        <v>128</v>
      </c>
      <c r="K58" s="2" t="s">
        <v>129</v>
      </c>
      <c r="L58" t="s">
        <v>130</v>
      </c>
      <c r="M58" t="s">
        <v>131</v>
      </c>
      <c r="N58" t="b">
        <f t="shared" si="0"/>
        <v>1</v>
      </c>
    </row>
    <row r="59" spans="2:14" ht="14.45" customHeight="1">
      <c r="B59" s="37" t="s">
        <v>132</v>
      </c>
      <c r="C59" s="2" t="s">
        <v>133</v>
      </c>
      <c r="D59" s="32">
        <v>-1432627018</v>
      </c>
      <c r="E59" s="32">
        <v>0</v>
      </c>
      <c r="F59" s="32"/>
      <c r="G59" s="32"/>
      <c r="H59" s="32"/>
      <c r="I59" s="32"/>
      <c r="J59" s="38" t="s">
        <v>128</v>
      </c>
      <c r="K59" s="2" t="s">
        <v>129</v>
      </c>
      <c r="L59" t="s">
        <v>132</v>
      </c>
      <c r="M59" t="s">
        <v>133</v>
      </c>
      <c r="N59" t="b">
        <f t="shared" si="0"/>
        <v>1</v>
      </c>
    </row>
    <row r="60" spans="2:14" ht="14.45" customHeight="1">
      <c r="B60" s="37" t="s">
        <v>134</v>
      </c>
      <c r="C60" s="2" t="s">
        <v>135</v>
      </c>
      <c r="D60" s="32">
        <v>22700000</v>
      </c>
      <c r="E60" s="32">
        <v>0</v>
      </c>
      <c r="F60" s="32"/>
      <c r="G60" s="32"/>
      <c r="H60" s="32"/>
      <c r="I60" s="32"/>
      <c r="J60" s="38" t="s">
        <v>128</v>
      </c>
      <c r="K60" s="2" t="s">
        <v>129</v>
      </c>
      <c r="L60" t="s">
        <v>134</v>
      </c>
      <c r="M60" t="s">
        <v>135</v>
      </c>
      <c r="N60" t="b">
        <f t="shared" si="0"/>
        <v>1</v>
      </c>
    </row>
    <row r="61" spans="2:14" ht="14.45" customHeight="1">
      <c r="B61" s="37" t="s">
        <v>136</v>
      </c>
      <c r="C61" s="2" t="s">
        <v>137</v>
      </c>
      <c r="D61" s="32">
        <v>-3171875</v>
      </c>
      <c r="E61" s="32">
        <v>0</v>
      </c>
      <c r="F61" s="32"/>
      <c r="G61" s="32"/>
      <c r="H61" s="32"/>
      <c r="I61" s="32"/>
      <c r="J61" s="38" t="s">
        <v>128</v>
      </c>
      <c r="K61" s="2" t="s">
        <v>129</v>
      </c>
      <c r="L61" t="s">
        <v>136</v>
      </c>
      <c r="M61" t="s">
        <v>137</v>
      </c>
      <c r="N61" t="b">
        <f t="shared" si="0"/>
        <v>1</v>
      </c>
    </row>
    <row r="62" spans="2:14" ht="14.45" customHeight="1">
      <c r="B62" s="37" t="s">
        <v>138</v>
      </c>
      <c r="C62" s="2" t="s">
        <v>139</v>
      </c>
      <c r="D62" s="32">
        <v>6503637671</v>
      </c>
      <c r="E62" s="32">
        <v>0</v>
      </c>
      <c r="F62" s="32"/>
      <c r="G62" s="32"/>
      <c r="H62" s="32"/>
      <c r="I62" s="32"/>
      <c r="J62" s="38" t="s">
        <v>128</v>
      </c>
      <c r="K62" s="2" t="s">
        <v>129</v>
      </c>
      <c r="L62" t="s">
        <v>138</v>
      </c>
      <c r="M62" t="s">
        <v>139</v>
      </c>
      <c r="N62" t="b">
        <f t="shared" si="0"/>
        <v>1</v>
      </c>
    </row>
    <row r="63" spans="2:14" ht="14.45" customHeight="1">
      <c r="B63" s="37" t="s">
        <v>140</v>
      </c>
      <c r="C63" s="2" t="s">
        <v>141</v>
      </c>
      <c r="D63" s="32">
        <v>-3140202769</v>
      </c>
      <c r="E63" s="32">
        <v>0</v>
      </c>
      <c r="F63" s="32"/>
      <c r="G63" s="32"/>
      <c r="H63" s="32"/>
      <c r="I63" s="32"/>
      <c r="J63" s="38" t="s">
        <v>128</v>
      </c>
      <c r="K63" s="2" t="s">
        <v>129</v>
      </c>
      <c r="L63" t="s">
        <v>140</v>
      </c>
      <c r="M63" t="s">
        <v>141</v>
      </c>
      <c r="N63" t="b">
        <f t="shared" si="0"/>
        <v>1</v>
      </c>
    </row>
    <row r="64" spans="2:14" ht="14.45" customHeight="1">
      <c r="B64" s="37" t="s">
        <v>142</v>
      </c>
      <c r="C64" s="2" t="s">
        <v>143</v>
      </c>
      <c r="D64" s="32">
        <v>0</v>
      </c>
      <c r="E64" s="32">
        <v>0</v>
      </c>
      <c r="F64" s="32"/>
      <c r="G64" s="32"/>
      <c r="H64" s="32"/>
      <c r="I64" s="32"/>
      <c r="J64" s="38" t="s">
        <v>128</v>
      </c>
      <c r="K64" s="2" t="s">
        <v>129</v>
      </c>
      <c r="L64" t="s">
        <v>142</v>
      </c>
      <c r="M64" t="s">
        <v>143</v>
      </c>
      <c r="N64" t="b">
        <f t="shared" si="0"/>
        <v>1</v>
      </c>
    </row>
    <row r="65" spans="2:14" ht="14.45" customHeight="1">
      <c r="B65" s="37" t="s">
        <v>144</v>
      </c>
      <c r="C65" s="2" t="s">
        <v>145</v>
      </c>
      <c r="D65" s="32">
        <v>34420100</v>
      </c>
      <c r="E65" s="32">
        <v>0</v>
      </c>
      <c r="F65" s="32"/>
      <c r="G65" s="32"/>
      <c r="H65" s="32"/>
      <c r="I65" s="32"/>
      <c r="J65" s="38" t="s">
        <v>128</v>
      </c>
      <c r="K65" s="2" t="s">
        <v>129</v>
      </c>
      <c r="L65" t="s">
        <v>144</v>
      </c>
      <c r="M65" t="s">
        <v>145</v>
      </c>
      <c r="N65" t="b">
        <f t="shared" si="0"/>
        <v>1</v>
      </c>
    </row>
    <row r="66" spans="2:14" ht="14.45" customHeight="1">
      <c r="B66" s="39" t="s">
        <v>146</v>
      </c>
      <c r="C66" s="2" t="s">
        <v>147</v>
      </c>
      <c r="D66" s="32">
        <v>-28363302</v>
      </c>
      <c r="E66" s="32">
        <v>0</v>
      </c>
      <c r="F66" s="32"/>
      <c r="G66" s="32"/>
      <c r="H66" s="32"/>
      <c r="I66" s="32"/>
      <c r="J66" s="38" t="s">
        <v>128</v>
      </c>
      <c r="K66" s="2" t="s">
        <v>129</v>
      </c>
      <c r="L66" t="s">
        <v>146</v>
      </c>
      <c r="M66" t="s">
        <v>147</v>
      </c>
      <c r="N66" t="b">
        <f t="shared" si="0"/>
        <v>1</v>
      </c>
    </row>
    <row r="67" spans="2:14" ht="14.45" customHeight="1">
      <c r="B67" s="37" t="s">
        <v>148</v>
      </c>
      <c r="C67" s="2" t="s">
        <v>149</v>
      </c>
      <c r="D67" s="32">
        <v>201435000</v>
      </c>
      <c r="E67" s="32">
        <v>0</v>
      </c>
      <c r="F67" s="32"/>
      <c r="G67" s="32"/>
      <c r="H67" s="32"/>
      <c r="I67" s="32"/>
      <c r="J67" s="38" t="s">
        <v>128</v>
      </c>
      <c r="K67" s="2" t="s">
        <v>129</v>
      </c>
      <c r="L67" t="s">
        <v>148</v>
      </c>
      <c r="M67" t="s">
        <v>149</v>
      </c>
      <c r="N67" t="b">
        <f t="shared" si="0"/>
        <v>1</v>
      </c>
    </row>
    <row r="68" spans="2:14" ht="14.45" customHeight="1">
      <c r="B68" s="37" t="s">
        <v>150</v>
      </c>
      <c r="C68" s="2" t="s">
        <v>151</v>
      </c>
      <c r="D68" s="32">
        <v>-151462155</v>
      </c>
      <c r="E68" s="32">
        <v>0</v>
      </c>
      <c r="F68" s="32"/>
      <c r="G68" s="32"/>
      <c r="H68" s="32"/>
      <c r="I68" s="32"/>
      <c r="J68" s="38" t="s">
        <v>128</v>
      </c>
      <c r="K68" s="2" t="s">
        <v>129</v>
      </c>
      <c r="L68" t="s">
        <v>150</v>
      </c>
      <c r="M68" t="s">
        <v>151</v>
      </c>
      <c r="N68" t="b">
        <f t="shared" si="0"/>
        <v>1</v>
      </c>
    </row>
    <row r="69" spans="2:14" ht="14.45" customHeight="1">
      <c r="B69" s="37" t="s">
        <v>152</v>
      </c>
      <c r="C69" s="2" t="s">
        <v>153</v>
      </c>
      <c r="D69" s="32">
        <v>0</v>
      </c>
      <c r="E69" s="32">
        <v>0</v>
      </c>
      <c r="F69" s="32"/>
      <c r="G69" s="32"/>
      <c r="H69" s="32"/>
      <c r="I69" s="32"/>
      <c r="J69" s="38" t="s">
        <v>128</v>
      </c>
      <c r="K69" s="2" t="s">
        <v>129</v>
      </c>
      <c r="L69" t="s">
        <v>152</v>
      </c>
      <c r="M69" t="s">
        <v>153</v>
      </c>
      <c r="N69" t="b">
        <f t="shared" si="0"/>
        <v>1</v>
      </c>
    </row>
    <row r="70" spans="2:14" ht="14.45" customHeight="1">
      <c r="B70" s="37" t="s">
        <v>154</v>
      </c>
      <c r="C70" s="2" t="s">
        <v>155</v>
      </c>
      <c r="D70" s="32">
        <v>1257299040</v>
      </c>
      <c r="E70" s="32">
        <v>7613</v>
      </c>
      <c r="F70" s="32"/>
      <c r="G70" s="32"/>
      <c r="H70" s="32"/>
      <c r="I70" s="32"/>
      <c r="J70" s="38" t="s">
        <v>128</v>
      </c>
      <c r="K70" s="2" t="s">
        <v>129</v>
      </c>
      <c r="L70" t="s">
        <v>154</v>
      </c>
      <c r="M70" t="s">
        <v>155</v>
      </c>
      <c r="N70" t="b">
        <f t="shared" si="0"/>
        <v>1</v>
      </c>
    </row>
    <row r="71" spans="2:14" ht="14.45" customHeight="1">
      <c r="B71" s="37" t="s">
        <v>156</v>
      </c>
      <c r="C71" s="2" t="s">
        <v>157</v>
      </c>
      <c r="D71" s="32">
        <v>-906493640</v>
      </c>
      <c r="E71" s="32">
        <v>-127</v>
      </c>
      <c r="F71" s="32"/>
      <c r="G71" s="32"/>
      <c r="H71" s="32"/>
      <c r="I71" s="32"/>
      <c r="J71" s="38" t="s">
        <v>128</v>
      </c>
      <c r="K71" s="2" t="s">
        <v>129</v>
      </c>
      <c r="L71" t="s">
        <v>156</v>
      </c>
      <c r="M71" t="s">
        <v>157</v>
      </c>
      <c r="N71" t="b">
        <f t="shared" si="0"/>
        <v>1</v>
      </c>
    </row>
    <row r="72" spans="2:14" ht="14.45" customHeight="1">
      <c r="B72" s="37" t="s">
        <v>158</v>
      </c>
      <c r="C72" s="2" t="s">
        <v>159</v>
      </c>
      <c r="D72" s="32">
        <v>346550000</v>
      </c>
      <c r="E72" s="32">
        <v>0</v>
      </c>
      <c r="F72" s="32"/>
      <c r="G72" s="32"/>
      <c r="H72" s="32"/>
      <c r="I72" s="32"/>
      <c r="J72" s="38" t="s">
        <v>128</v>
      </c>
      <c r="K72" s="2" t="s">
        <v>129</v>
      </c>
      <c r="L72" t="s">
        <v>158</v>
      </c>
      <c r="M72" t="s">
        <v>159</v>
      </c>
      <c r="N72" t="b">
        <f t="shared" si="0"/>
        <v>1</v>
      </c>
    </row>
    <row r="73" spans="2:14" ht="14.45" customHeight="1">
      <c r="B73" s="37" t="s">
        <v>160</v>
      </c>
      <c r="C73" s="2" t="s">
        <v>161</v>
      </c>
      <c r="D73" s="32">
        <v>1687253723</v>
      </c>
      <c r="E73" s="32">
        <v>0</v>
      </c>
      <c r="F73" s="32"/>
      <c r="G73" s="32"/>
      <c r="H73" s="32"/>
      <c r="I73" s="32"/>
      <c r="J73" s="38" t="s">
        <v>128</v>
      </c>
      <c r="K73" s="2" t="s">
        <v>129</v>
      </c>
      <c r="L73" t="s">
        <v>160</v>
      </c>
      <c r="M73" t="s">
        <v>161</v>
      </c>
      <c r="N73" t="b">
        <f t="shared" si="0"/>
        <v>1</v>
      </c>
    </row>
    <row r="74" spans="2:14" ht="14.45" customHeight="1">
      <c r="B74" s="37" t="s">
        <v>162</v>
      </c>
      <c r="C74" s="2" t="s">
        <v>163</v>
      </c>
      <c r="D74" s="32">
        <v>-1187465138</v>
      </c>
      <c r="E74" s="32">
        <v>0</v>
      </c>
      <c r="F74" s="32"/>
      <c r="G74" s="32"/>
      <c r="H74" s="32"/>
      <c r="I74" s="32"/>
      <c r="J74" s="38" t="s">
        <v>128</v>
      </c>
      <c r="K74" s="2" t="s">
        <v>129</v>
      </c>
      <c r="L74" t="s">
        <v>162</v>
      </c>
      <c r="M74" t="s">
        <v>163</v>
      </c>
      <c r="N74" t="b">
        <f t="shared" si="0"/>
        <v>1</v>
      </c>
    </row>
    <row r="75" spans="2:14" ht="14.45" customHeight="1">
      <c r="B75" s="37" t="s">
        <v>164</v>
      </c>
      <c r="C75" s="2" t="s">
        <v>165</v>
      </c>
      <c r="D75" s="32">
        <v>132069996</v>
      </c>
      <c r="E75" s="32">
        <v>0</v>
      </c>
      <c r="F75" s="32"/>
      <c r="G75" s="32"/>
      <c r="H75" s="32"/>
      <c r="I75" s="32"/>
      <c r="J75" s="38" t="s">
        <v>128</v>
      </c>
      <c r="K75" s="2" t="s">
        <v>129</v>
      </c>
      <c r="L75" t="s">
        <v>164</v>
      </c>
      <c r="M75" t="s">
        <v>165</v>
      </c>
      <c r="N75" t="b">
        <f t="shared" ref="N75:N138" si="1">L75=B75</f>
        <v>1</v>
      </c>
    </row>
    <row r="76" spans="2:14" ht="14.45" customHeight="1">
      <c r="B76" s="37" t="s">
        <v>166</v>
      </c>
      <c r="C76" s="2" t="s">
        <v>167</v>
      </c>
      <c r="D76" s="32">
        <v>-41857019</v>
      </c>
      <c r="E76" s="32">
        <v>0</v>
      </c>
      <c r="F76" s="32"/>
      <c r="G76" s="32"/>
      <c r="H76" s="32"/>
      <c r="I76" s="32"/>
      <c r="J76" s="38" t="s">
        <v>128</v>
      </c>
      <c r="K76" s="2" t="s">
        <v>129</v>
      </c>
      <c r="L76" t="s">
        <v>166</v>
      </c>
      <c r="M76" t="s">
        <v>167</v>
      </c>
      <c r="N76" t="b">
        <f t="shared" si="1"/>
        <v>1</v>
      </c>
    </row>
    <row r="77" spans="2:14" ht="14.45" customHeight="1">
      <c r="B77" s="37"/>
      <c r="C77" s="2"/>
      <c r="D77" s="32">
        <v>0</v>
      </c>
      <c r="E77" s="32">
        <v>0</v>
      </c>
      <c r="F77" s="32"/>
      <c r="G77" s="32"/>
      <c r="H77" s="32"/>
      <c r="I77" s="32"/>
      <c r="J77" s="38" t="s">
        <v>66</v>
      </c>
      <c r="K77" s="2" t="s">
        <v>66</v>
      </c>
      <c r="N77" t="b">
        <f t="shared" si="1"/>
        <v>1</v>
      </c>
    </row>
    <row r="78" spans="2:14" ht="14.45" customHeight="1">
      <c r="B78" s="24" t="s">
        <v>15</v>
      </c>
      <c r="C78" s="25" t="s">
        <v>168</v>
      </c>
      <c r="D78" s="35">
        <v>304889405</v>
      </c>
      <c r="E78" s="35">
        <v>0</v>
      </c>
      <c r="F78" s="35"/>
      <c r="G78" s="35"/>
      <c r="H78" s="35"/>
      <c r="I78" s="32"/>
      <c r="J78" s="38" t="s">
        <v>66</v>
      </c>
      <c r="K78" s="2" t="s">
        <v>66</v>
      </c>
      <c r="L78" t="s">
        <v>15</v>
      </c>
      <c r="M78" t="s">
        <v>168</v>
      </c>
      <c r="N78" t="b">
        <f t="shared" si="1"/>
        <v>1</v>
      </c>
    </row>
    <row r="79" spans="2:14" ht="14.45" customHeight="1">
      <c r="B79" s="37" t="s">
        <v>169</v>
      </c>
      <c r="C79" s="2" t="s">
        <v>170</v>
      </c>
      <c r="D79" s="32">
        <v>0</v>
      </c>
      <c r="E79" s="32">
        <v>0</v>
      </c>
      <c r="F79" s="32"/>
      <c r="G79" s="32"/>
      <c r="H79" s="32"/>
      <c r="I79" s="32"/>
      <c r="J79" s="38" t="s">
        <v>171</v>
      </c>
      <c r="K79" s="2" t="s">
        <v>172</v>
      </c>
      <c r="L79" t="s">
        <v>169</v>
      </c>
      <c r="M79" t="s">
        <v>170</v>
      </c>
      <c r="N79" t="b">
        <f t="shared" si="1"/>
        <v>1</v>
      </c>
    </row>
    <row r="80" spans="2:14" ht="14.45" customHeight="1">
      <c r="B80" s="37" t="s">
        <v>173</v>
      </c>
      <c r="C80" s="2" t="s">
        <v>174</v>
      </c>
      <c r="D80" s="32">
        <v>120423562</v>
      </c>
      <c r="E80" s="32">
        <v>0</v>
      </c>
      <c r="F80" s="32"/>
      <c r="G80" s="32"/>
      <c r="H80" s="32"/>
      <c r="I80" s="32"/>
      <c r="J80" s="38" t="s">
        <v>171</v>
      </c>
      <c r="K80" s="2" t="s">
        <v>172</v>
      </c>
      <c r="L80" t="s">
        <v>173</v>
      </c>
      <c r="M80" t="s">
        <v>174</v>
      </c>
      <c r="N80" t="b">
        <f t="shared" si="1"/>
        <v>1</v>
      </c>
    </row>
    <row r="81" spans="2:14" ht="14.45" customHeight="1">
      <c r="B81" s="37" t="s">
        <v>847</v>
      </c>
      <c r="C81" s="2" t="s">
        <v>848</v>
      </c>
      <c r="D81" s="32">
        <v>-104068596</v>
      </c>
      <c r="E81" s="32">
        <v>0</v>
      </c>
      <c r="F81" s="32"/>
      <c r="G81" s="32"/>
      <c r="H81" s="32"/>
      <c r="I81" s="32"/>
      <c r="J81" s="38" t="s">
        <v>171</v>
      </c>
      <c r="K81" s="2" t="s">
        <v>172</v>
      </c>
      <c r="L81" t="s">
        <v>847</v>
      </c>
      <c r="M81" t="s">
        <v>848</v>
      </c>
      <c r="N81" t="b">
        <f t="shared" si="1"/>
        <v>1</v>
      </c>
    </row>
    <row r="82" spans="2:14" ht="14.45" customHeight="1">
      <c r="B82" s="37" t="s">
        <v>175</v>
      </c>
      <c r="C82" s="2" t="s">
        <v>176</v>
      </c>
      <c r="D82" s="32">
        <v>455258699</v>
      </c>
      <c r="E82" s="32">
        <v>0</v>
      </c>
      <c r="F82" s="32"/>
      <c r="G82" s="32"/>
      <c r="H82" s="32"/>
      <c r="I82" s="32"/>
      <c r="J82" s="38" t="s">
        <v>171</v>
      </c>
      <c r="K82" s="2" t="s">
        <v>172</v>
      </c>
      <c r="L82" t="s">
        <v>175</v>
      </c>
      <c r="M82" t="s">
        <v>176</v>
      </c>
      <c r="N82" t="b">
        <f t="shared" si="1"/>
        <v>1</v>
      </c>
    </row>
    <row r="83" spans="2:14" ht="14.45" customHeight="1">
      <c r="B83" s="37" t="s">
        <v>849</v>
      </c>
      <c r="C83" s="2" t="s">
        <v>850</v>
      </c>
      <c r="D83" s="32">
        <v>-339194260</v>
      </c>
      <c r="E83" s="32">
        <v>0</v>
      </c>
      <c r="F83" s="32"/>
      <c r="G83" s="32"/>
      <c r="H83" s="32"/>
      <c r="I83" s="32"/>
      <c r="J83" s="38" t="s">
        <v>171</v>
      </c>
      <c r="K83" s="2" t="s">
        <v>172</v>
      </c>
      <c r="L83" t="s">
        <v>849</v>
      </c>
      <c r="M83" t="s">
        <v>850</v>
      </c>
      <c r="N83" t="b">
        <f t="shared" si="1"/>
        <v>1</v>
      </c>
    </row>
    <row r="84" spans="2:14" ht="14.45" customHeight="1">
      <c r="B84" s="37" t="s">
        <v>177</v>
      </c>
      <c r="C84" s="2" t="s">
        <v>178</v>
      </c>
      <c r="D84" s="32">
        <v>172470000</v>
      </c>
      <c r="E84" s="32">
        <v>0</v>
      </c>
      <c r="F84" s="32"/>
      <c r="G84" s="32"/>
      <c r="H84" s="32"/>
      <c r="I84" s="32"/>
      <c r="J84" s="38" t="s">
        <v>171</v>
      </c>
      <c r="K84" s="2" t="s">
        <v>172</v>
      </c>
      <c r="L84" t="s">
        <v>177</v>
      </c>
      <c r="M84" t="s">
        <v>178</v>
      </c>
      <c r="N84" t="b">
        <f t="shared" si="1"/>
        <v>1</v>
      </c>
    </row>
    <row r="85" spans="2:14" ht="14.45" customHeight="1">
      <c r="B85" s="37" t="s">
        <v>179</v>
      </c>
      <c r="C85" s="2" t="s">
        <v>180</v>
      </c>
      <c r="D85" s="32">
        <v>0</v>
      </c>
      <c r="E85" s="32">
        <v>0</v>
      </c>
      <c r="F85" s="32"/>
      <c r="G85" s="32"/>
      <c r="H85" s="32"/>
      <c r="I85" s="32"/>
      <c r="J85" s="38" t="s">
        <v>171</v>
      </c>
      <c r="K85" s="2" t="s">
        <v>172</v>
      </c>
      <c r="L85" t="s">
        <v>179</v>
      </c>
      <c r="M85" t="s">
        <v>180</v>
      </c>
      <c r="N85" t="b">
        <f t="shared" si="1"/>
        <v>1</v>
      </c>
    </row>
    <row r="86" spans="2:14" ht="14.45" customHeight="1">
      <c r="B86" s="37" t="s">
        <v>181</v>
      </c>
      <c r="C86" s="2" t="s">
        <v>182</v>
      </c>
      <c r="D86" s="32">
        <v>0</v>
      </c>
      <c r="E86" s="32">
        <v>0</v>
      </c>
      <c r="F86" s="32"/>
      <c r="G86" s="32"/>
      <c r="H86" s="32"/>
      <c r="I86" s="32"/>
      <c r="J86" s="38" t="s">
        <v>171</v>
      </c>
      <c r="K86" s="2" t="s">
        <v>172</v>
      </c>
      <c r="L86" t="s">
        <v>181</v>
      </c>
      <c r="M86" t="s">
        <v>182</v>
      </c>
      <c r="N86" t="b">
        <f t="shared" si="1"/>
        <v>1</v>
      </c>
    </row>
    <row r="87" spans="2:14" ht="14.45" customHeight="1">
      <c r="B87" s="24" t="s">
        <v>183</v>
      </c>
      <c r="C87" s="25" t="s">
        <v>65</v>
      </c>
      <c r="D87" s="32">
        <v>0</v>
      </c>
      <c r="E87" s="32">
        <v>0</v>
      </c>
      <c r="F87" s="32"/>
      <c r="G87" s="32"/>
      <c r="H87" s="32"/>
      <c r="I87" s="32"/>
      <c r="J87" s="38" t="s">
        <v>184</v>
      </c>
      <c r="K87" s="2" t="s">
        <v>65</v>
      </c>
      <c r="L87" t="s">
        <v>183</v>
      </c>
      <c r="M87" t="s">
        <v>65</v>
      </c>
      <c r="N87" t="b">
        <f t="shared" si="1"/>
        <v>1</v>
      </c>
    </row>
    <row r="88" spans="2:14" ht="14.45" customHeight="1">
      <c r="B88" s="29" t="s">
        <v>15</v>
      </c>
      <c r="C88" s="30" t="s">
        <v>185</v>
      </c>
      <c r="D88" s="31">
        <v>131188840659</v>
      </c>
      <c r="E88" s="31">
        <v>914247</v>
      </c>
      <c r="F88" s="31"/>
      <c r="G88" s="31"/>
      <c r="H88" s="31"/>
      <c r="I88" s="32"/>
      <c r="J88" s="38" t="s">
        <v>66</v>
      </c>
      <c r="K88" s="2" t="s">
        <v>66</v>
      </c>
      <c r="L88" t="s">
        <v>15</v>
      </c>
      <c r="M88" t="s">
        <v>185</v>
      </c>
      <c r="N88" t="b">
        <f t="shared" si="1"/>
        <v>1</v>
      </c>
    </row>
    <row r="89" spans="2:14" ht="14.45" customHeight="1">
      <c r="B89" s="37" t="s">
        <v>15</v>
      </c>
      <c r="C89" s="2" t="s">
        <v>186</v>
      </c>
      <c r="D89" s="32"/>
      <c r="E89" s="32"/>
      <c r="F89" s="32"/>
      <c r="G89" s="32"/>
      <c r="H89" s="32"/>
      <c r="I89" s="32"/>
      <c r="J89" s="38" t="s">
        <v>66</v>
      </c>
      <c r="K89" s="2" t="s">
        <v>66</v>
      </c>
      <c r="L89" t="s">
        <v>15</v>
      </c>
      <c r="M89" t="s">
        <v>186</v>
      </c>
      <c r="N89" t="b">
        <f t="shared" si="1"/>
        <v>1</v>
      </c>
    </row>
    <row r="90" spans="2:14" ht="14.45" customHeight="1">
      <c r="B90" s="29" t="s">
        <v>15</v>
      </c>
      <c r="C90" s="30" t="s">
        <v>187</v>
      </c>
      <c r="D90" s="31">
        <v>16876608631</v>
      </c>
      <c r="E90" s="31">
        <v>5693</v>
      </c>
      <c r="F90" s="31"/>
      <c r="G90" s="31"/>
      <c r="H90" s="31"/>
      <c r="I90" s="32"/>
      <c r="J90" s="38" t="s">
        <v>66</v>
      </c>
      <c r="K90" s="2" t="s">
        <v>66</v>
      </c>
      <c r="L90" t="s">
        <v>15</v>
      </c>
      <c r="M90" t="s">
        <v>187</v>
      </c>
      <c r="N90" t="b">
        <f t="shared" si="1"/>
        <v>1</v>
      </c>
    </row>
    <row r="91" spans="2:14" ht="14.45" customHeight="1">
      <c r="B91" s="37" t="s">
        <v>188</v>
      </c>
      <c r="C91" s="2" t="s">
        <v>189</v>
      </c>
      <c r="D91" s="32">
        <v>2315989588</v>
      </c>
      <c r="E91" s="32">
        <v>0</v>
      </c>
      <c r="F91" s="32"/>
      <c r="G91" s="32"/>
      <c r="H91" s="32"/>
      <c r="I91" s="32"/>
      <c r="J91" s="38" t="s">
        <v>190</v>
      </c>
      <c r="K91" s="2" t="s">
        <v>191</v>
      </c>
      <c r="L91" t="s">
        <v>188</v>
      </c>
      <c r="M91" t="s">
        <v>189</v>
      </c>
      <c r="N91" t="b">
        <f t="shared" si="1"/>
        <v>1</v>
      </c>
    </row>
    <row r="92" spans="2:14" ht="14.45" customHeight="1">
      <c r="B92" s="37" t="s">
        <v>192</v>
      </c>
      <c r="C92" s="2" t="s">
        <v>193</v>
      </c>
      <c r="D92" s="32">
        <v>0</v>
      </c>
      <c r="E92" s="32">
        <v>0</v>
      </c>
      <c r="F92" s="32"/>
      <c r="G92" s="32"/>
      <c r="H92" s="32"/>
      <c r="I92" s="32"/>
      <c r="J92" s="38" t="s">
        <v>190</v>
      </c>
      <c r="K92" s="2" t="s">
        <v>191</v>
      </c>
      <c r="L92" t="s">
        <v>192</v>
      </c>
      <c r="M92" t="s">
        <v>193</v>
      </c>
      <c r="N92" t="b">
        <f t="shared" si="1"/>
        <v>1</v>
      </c>
    </row>
    <row r="93" spans="2:14" ht="14.45" customHeight="1">
      <c r="B93" s="37" t="s">
        <v>194</v>
      </c>
      <c r="C93" s="2" t="s">
        <v>195</v>
      </c>
      <c r="D93" s="32">
        <v>811451092</v>
      </c>
      <c r="E93" s="32">
        <v>5693</v>
      </c>
      <c r="F93" s="32"/>
      <c r="G93" s="32"/>
      <c r="H93" s="32"/>
      <c r="I93" s="32"/>
      <c r="J93" s="38" t="s">
        <v>196</v>
      </c>
      <c r="K93" s="2" t="s">
        <v>197</v>
      </c>
      <c r="L93" t="s">
        <v>194</v>
      </c>
      <c r="M93" t="s">
        <v>195</v>
      </c>
      <c r="N93" t="b">
        <f t="shared" si="1"/>
        <v>1</v>
      </c>
    </row>
    <row r="94" spans="2:14" ht="14.45" customHeight="1">
      <c r="B94" s="37" t="s">
        <v>198</v>
      </c>
      <c r="C94" s="2" t="s">
        <v>199</v>
      </c>
      <c r="D94" s="32">
        <v>0</v>
      </c>
      <c r="E94" s="32">
        <v>0</v>
      </c>
      <c r="F94" s="32"/>
      <c r="G94" s="32"/>
      <c r="H94" s="32"/>
      <c r="I94" s="32"/>
      <c r="J94" s="38" t="s">
        <v>196</v>
      </c>
      <c r="K94" s="2" t="s">
        <v>197</v>
      </c>
      <c r="L94" t="s">
        <v>198</v>
      </c>
      <c r="M94" t="s">
        <v>199</v>
      </c>
      <c r="N94" t="b">
        <f t="shared" si="1"/>
        <v>1</v>
      </c>
    </row>
    <row r="95" spans="2:14" ht="14.45" customHeight="1">
      <c r="B95" s="37" t="s">
        <v>200</v>
      </c>
      <c r="C95" s="2" t="s">
        <v>201</v>
      </c>
      <c r="D95" s="32">
        <v>92240620</v>
      </c>
      <c r="E95" s="32">
        <v>0</v>
      </c>
      <c r="F95" s="32"/>
      <c r="G95" s="32"/>
      <c r="H95" s="32"/>
      <c r="I95" s="32"/>
      <c r="J95" s="38" t="s">
        <v>202</v>
      </c>
      <c r="K95" s="2" t="s">
        <v>203</v>
      </c>
      <c r="L95" t="s">
        <v>200</v>
      </c>
      <c r="M95" t="s">
        <v>201</v>
      </c>
      <c r="N95" t="b">
        <f t="shared" si="1"/>
        <v>1</v>
      </c>
    </row>
    <row r="96" spans="2:14" ht="14.45" customHeight="1">
      <c r="B96" s="37" t="s">
        <v>851</v>
      </c>
      <c r="C96" s="2" t="s">
        <v>852</v>
      </c>
      <c r="D96" s="32">
        <v>5756000</v>
      </c>
      <c r="E96" s="32">
        <v>0</v>
      </c>
      <c r="F96" s="32"/>
      <c r="G96" s="32"/>
      <c r="H96" s="32"/>
      <c r="I96" s="32"/>
      <c r="J96" s="38" t="s">
        <v>196</v>
      </c>
      <c r="K96" s="2" t="s">
        <v>197</v>
      </c>
      <c r="L96" t="s">
        <v>851</v>
      </c>
      <c r="M96" t="s">
        <v>852</v>
      </c>
      <c r="N96" t="b">
        <f t="shared" si="1"/>
        <v>1</v>
      </c>
    </row>
    <row r="97" spans="2:14" ht="14.45" customHeight="1">
      <c r="B97" s="37" t="s">
        <v>204</v>
      </c>
      <c r="C97" s="2" t="s">
        <v>205</v>
      </c>
      <c r="D97" s="32">
        <v>0</v>
      </c>
      <c r="E97" s="32">
        <v>0</v>
      </c>
      <c r="F97" s="32"/>
      <c r="G97" s="32"/>
      <c r="H97" s="32"/>
      <c r="I97" s="32"/>
      <c r="J97" s="38" t="s">
        <v>202</v>
      </c>
      <c r="K97" s="2" t="s">
        <v>203</v>
      </c>
      <c r="L97" t="s">
        <v>204</v>
      </c>
      <c r="M97" t="s">
        <v>205</v>
      </c>
      <c r="N97" t="b">
        <f t="shared" si="1"/>
        <v>1</v>
      </c>
    </row>
    <row r="98" spans="2:14" ht="14.45" customHeight="1">
      <c r="B98" s="37" t="s">
        <v>853</v>
      </c>
      <c r="C98" s="2" t="s">
        <v>854</v>
      </c>
      <c r="D98" s="32">
        <v>0</v>
      </c>
      <c r="E98" s="32">
        <v>0</v>
      </c>
      <c r="F98" s="32"/>
      <c r="G98" s="32"/>
      <c r="H98" s="32"/>
      <c r="I98" s="32"/>
      <c r="J98" s="38" t="s">
        <v>202</v>
      </c>
      <c r="K98" s="2" t="s">
        <v>203</v>
      </c>
      <c r="L98" t="s">
        <v>853</v>
      </c>
      <c r="M98" t="s">
        <v>854</v>
      </c>
      <c r="N98" t="b">
        <f t="shared" si="1"/>
        <v>1</v>
      </c>
    </row>
    <row r="99" spans="2:14" ht="14.45" customHeight="1">
      <c r="B99" s="37" t="s">
        <v>206</v>
      </c>
      <c r="C99" s="2" t="s">
        <v>207</v>
      </c>
      <c r="D99" s="32">
        <v>284270337</v>
      </c>
      <c r="E99" s="32">
        <v>0</v>
      </c>
      <c r="F99" s="32"/>
      <c r="G99" s="32"/>
      <c r="H99" s="32"/>
      <c r="I99" s="32"/>
      <c r="J99" s="38" t="s">
        <v>208</v>
      </c>
      <c r="K99" s="2" t="s">
        <v>207</v>
      </c>
      <c r="L99" t="s">
        <v>206</v>
      </c>
      <c r="M99" t="s">
        <v>207</v>
      </c>
      <c r="N99" t="b">
        <f t="shared" si="1"/>
        <v>1</v>
      </c>
    </row>
    <row r="100" spans="2:14" ht="14.45" customHeight="1">
      <c r="B100" s="37" t="s">
        <v>209</v>
      </c>
      <c r="C100" s="2" t="s">
        <v>210</v>
      </c>
      <c r="D100" s="32">
        <v>12000000000</v>
      </c>
      <c r="E100" s="32">
        <v>0</v>
      </c>
      <c r="F100" s="32"/>
      <c r="G100" s="32"/>
      <c r="H100" s="32"/>
      <c r="I100" s="32"/>
      <c r="J100" s="38" t="s">
        <v>211</v>
      </c>
      <c r="K100" s="2" t="s">
        <v>212</v>
      </c>
      <c r="L100" t="s">
        <v>209</v>
      </c>
      <c r="M100" t="s">
        <v>210</v>
      </c>
      <c r="N100" t="b">
        <f t="shared" si="1"/>
        <v>1</v>
      </c>
    </row>
    <row r="101" spans="2:14" ht="14.45" customHeight="1">
      <c r="B101" s="37" t="s">
        <v>213</v>
      </c>
      <c r="C101" s="2" t="s">
        <v>214</v>
      </c>
      <c r="D101" s="32">
        <v>964956210</v>
      </c>
      <c r="E101" s="32">
        <v>0</v>
      </c>
      <c r="F101" s="32"/>
      <c r="G101" s="32"/>
      <c r="H101" s="32"/>
      <c r="I101" s="32"/>
      <c r="J101" s="38" t="s">
        <v>215</v>
      </c>
      <c r="K101" s="2" t="s">
        <v>216</v>
      </c>
      <c r="L101" t="s">
        <v>213</v>
      </c>
      <c r="M101" t="s">
        <v>214</v>
      </c>
      <c r="N101" t="b">
        <f t="shared" si="1"/>
        <v>1</v>
      </c>
    </row>
    <row r="102" spans="2:14" ht="14.45" customHeight="1">
      <c r="B102" s="37" t="s">
        <v>217</v>
      </c>
      <c r="C102" s="2" t="s">
        <v>218</v>
      </c>
      <c r="D102" s="32">
        <v>177318330</v>
      </c>
      <c r="E102" s="32">
        <v>0</v>
      </c>
      <c r="F102" s="32"/>
      <c r="G102" s="32"/>
      <c r="H102" s="32"/>
      <c r="I102" s="32"/>
      <c r="J102" s="38" t="s">
        <v>202</v>
      </c>
      <c r="K102" s="2" t="s">
        <v>203</v>
      </c>
      <c r="L102" t="s">
        <v>217</v>
      </c>
      <c r="M102" t="s">
        <v>218</v>
      </c>
      <c r="N102" t="b">
        <f t="shared" si="1"/>
        <v>1</v>
      </c>
    </row>
    <row r="103" spans="2:14" ht="14.45" customHeight="1">
      <c r="B103" s="37" t="s">
        <v>219</v>
      </c>
      <c r="C103" s="2" t="s">
        <v>220</v>
      </c>
      <c r="D103" s="32">
        <v>0</v>
      </c>
      <c r="E103" s="32">
        <v>0</v>
      </c>
      <c r="F103" s="32"/>
      <c r="G103" s="32"/>
      <c r="H103" s="32"/>
      <c r="I103" s="32"/>
      <c r="J103" s="38" t="s">
        <v>211</v>
      </c>
      <c r="K103" s="2" t="s">
        <v>212</v>
      </c>
      <c r="L103" t="s">
        <v>219</v>
      </c>
      <c r="M103" t="s">
        <v>220</v>
      </c>
      <c r="N103" t="b">
        <f t="shared" si="1"/>
        <v>1</v>
      </c>
    </row>
    <row r="104" spans="2:14" ht="14.45" customHeight="1">
      <c r="B104" s="37" t="s">
        <v>221</v>
      </c>
      <c r="C104" s="2" t="s">
        <v>222</v>
      </c>
      <c r="D104" s="32">
        <v>182945958</v>
      </c>
      <c r="E104" s="32">
        <v>0</v>
      </c>
      <c r="F104" s="32"/>
      <c r="G104" s="32"/>
      <c r="H104" s="32"/>
      <c r="I104" s="32"/>
      <c r="J104" s="38" t="s">
        <v>202</v>
      </c>
      <c r="K104" s="2" t="s">
        <v>203</v>
      </c>
      <c r="L104" t="s">
        <v>221</v>
      </c>
      <c r="M104" t="s">
        <v>222</v>
      </c>
      <c r="N104" t="b">
        <f t="shared" si="1"/>
        <v>1</v>
      </c>
    </row>
    <row r="105" spans="2:14" ht="14.45" customHeight="1">
      <c r="B105" s="37" t="s">
        <v>223</v>
      </c>
      <c r="C105" s="2" t="s">
        <v>224</v>
      </c>
      <c r="D105" s="32">
        <v>43536000</v>
      </c>
      <c r="E105" s="32">
        <v>0</v>
      </c>
      <c r="F105" s="32"/>
      <c r="G105" s="32"/>
      <c r="H105" s="32"/>
      <c r="I105" s="32"/>
      <c r="J105" s="38" t="s">
        <v>225</v>
      </c>
      <c r="K105" s="2" t="s">
        <v>224</v>
      </c>
      <c r="L105" t="s">
        <v>223</v>
      </c>
      <c r="M105" t="s">
        <v>224</v>
      </c>
      <c r="N105" t="b">
        <f t="shared" si="1"/>
        <v>1</v>
      </c>
    </row>
    <row r="106" spans="2:14" ht="14.45" customHeight="1">
      <c r="B106" s="37" t="s">
        <v>226</v>
      </c>
      <c r="C106" s="2" t="s">
        <v>227</v>
      </c>
      <c r="D106" s="32">
        <v>-1855504</v>
      </c>
      <c r="E106" s="32">
        <v>0</v>
      </c>
      <c r="F106" s="32"/>
      <c r="G106" s="32"/>
      <c r="H106" s="32"/>
      <c r="I106" s="32"/>
      <c r="J106" s="38" t="s">
        <v>225</v>
      </c>
      <c r="K106" s="2" t="s">
        <v>224</v>
      </c>
      <c r="L106" t="s">
        <v>226</v>
      </c>
      <c r="M106" t="s">
        <v>227</v>
      </c>
      <c r="N106" t="b">
        <f t="shared" si="1"/>
        <v>1</v>
      </c>
    </row>
    <row r="107" spans="2:14" ht="14.45" customHeight="1">
      <c r="B107" s="50" t="s">
        <v>508</v>
      </c>
      <c r="C107" s="2" t="s">
        <v>509</v>
      </c>
      <c r="D107" s="32">
        <v>0</v>
      </c>
      <c r="E107" s="32">
        <v>0</v>
      </c>
      <c r="F107" s="32"/>
      <c r="G107" s="32"/>
      <c r="H107" s="32"/>
      <c r="I107" s="32"/>
      <c r="J107" s="38" t="s">
        <v>196</v>
      </c>
      <c r="K107" s="2" t="s">
        <v>197</v>
      </c>
      <c r="L107" t="s">
        <v>508</v>
      </c>
      <c r="M107" t="s">
        <v>509</v>
      </c>
      <c r="N107" t="b">
        <f t="shared" si="1"/>
        <v>1</v>
      </c>
    </row>
    <row r="108" spans="2:14" ht="14.45" customHeight="1">
      <c r="B108" s="29" t="s">
        <v>15</v>
      </c>
      <c r="C108" s="30" t="s">
        <v>228</v>
      </c>
      <c r="D108" s="31">
        <v>3400236326</v>
      </c>
      <c r="E108" s="31">
        <v>0</v>
      </c>
      <c r="F108" s="31"/>
      <c r="G108" s="31"/>
      <c r="H108" s="31"/>
      <c r="I108" s="32"/>
      <c r="J108" s="38" t="s">
        <v>66</v>
      </c>
      <c r="K108" s="2" t="s">
        <v>66</v>
      </c>
      <c r="L108" t="s">
        <v>15</v>
      </c>
      <c r="M108" t="s">
        <v>228</v>
      </c>
      <c r="N108" t="b">
        <f t="shared" si="1"/>
        <v>1</v>
      </c>
    </row>
    <row r="109" spans="2:14" ht="14.45" customHeight="1">
      <c r="B109" s="37" t="s">
        <v>229</v>
      </c>
      <c r="C109" s="2" t="s">
        <v>230</v>
      </c>
      <c r="D109" s="32">
        <v>0</v>
      </c>
      <c r="E109" s="32">
        <v>0</v>
      </c>
      <c r="F109" s="32"/>
      <c r="G109" s="32"/>
      <c r="H109" s="32"/>
      <c r="I109" s="32"/>
      <c r="J109" s="38" t="s">
        <v>231</v>
      </c>
      <c r="K109" s="2" t="s">
        <v>232</v>
      </c>
      <c r="L109" t="s">
        <v>229</v>
      </c>
      <c r="M109" t="s">
        <v>230</v>
      </c>
      <c r="N109" t="b">
        <f t="shared" si="1"/>
        <v>1</v>
      </c>
    </row>
    <row r="110" spans="2:14" ht="14.45" customHeight="1">
      <c r="B110" s="37" t="s">
        <v>233</v>
      </c>
      <c r="C110" s="2" t="s">
        <v>234</v>
      </c>
      <c r="D110" s="32">
        <v>0</v>
      </c>
      <c r="E110" s="32">
        <v>0</v>
      </c>
      <c r="F110" s="32"/>
      <c r="G110" s="32"/>
      <c r="H110" s="32"/>
      <c r="I110" s="32"/>
      <c r="J110" s="38" t="s">
        <v>235</v>
      </c>
      <c r="K110" s="2" t="s">
        <v>236</v>
      </c>
      <c r="L110" t="s">
        <v>233</v>
      </c>
      <c r="M110" t="s">
        <v>234</v>
      </c>
      <c r="N110" t="b">
        <f t="shared" si="1"/>
        <v>1</v>
      </c>
    </row>
    <row r="111" spans="2:14" ht="14.45" customHeight="1">
      <c r="B111" s="37" t="s">
        <v>237</v>
      </c>
      <c r="C111" s="2" t="s">
        <v>238</v>
      </c>
      <c r="D111" s="32">
        <v>5000000</v>
      </c>
      <c r="E111" s="32">
        <v>0</v>
      </c>
      <c r="F111" s="32"/>
      <c r="G111" s="32"/>
      <c r="H111" s="32"/>
      <c r="I111" s="32"/>
      <c r="J111" s="38" t="s">
        <v>239</v>
      </c>
      <c r="K111" s="2" t="s">
        <v>240</v>
      </c>
      <c r="L111" t="s">
        <v>237</v>
      </c>
      <c r="M111" t="s">
        <v>238</v>
      </c>
      <c r="N111" t="b">
        <f t="shared" si="1"/>
        <v>1</v>
      </c>
    </row>
    <row r="112" spans="2:14" ht="14.45" customHeight="1">
      <c r="B112" s="37" t="s">
        <v>510</v>
      </c>
      <c r="C112" s="2" t="s">
        <v>511</v>
      </c>
      <c r="D112" s="32">
        <v>0</v>
      </c>
      <c r="E112" s="32">
        <v>0</v>
      </c>
      <c r="F112" s="32"/>
      <c r="G112" s="32"/>
      <c r="H112" s="32"/>
      <c r="I112" s="32"/>
      <c r="J112" s="38" t="s">
        <v>512</v>
      </c>
      <c r="K112" s="2" t="s">
        <v>513</v>
      </c>
      <c r="L112" t="s">
        <v>510</v>
      </c>
      <c r="M112" t="s">
        <v>511</v>
      </c>
      <c r="N112" t="b">
        <f t="shared" si="1"/>
        <v>1</v>
      </c>
    </row>
    <row r="113" spans="2:14" ht="14.45" customHeight="1">
      <c r="B113" s="37" t="s">
        <v>241</v>
      </c>
      <c r="C113" s="2" t="s">
        <v>242</v>
      </c>
      <c r="D113" s="32">
        <v>0</v>
      </c>
      <c r="E113" s="32">
        <v>0</v>
      </c>
      <c r="F113" s="32"/>
      <c r="G113" s="32"/>
      <c r="H113" s="32"/>
      <c r="I113" s="32"/>
      <c r="J113" s="38" t="s">
        <v>239</v>
      </c>
      <c r="K113" s="2" t="s">
        <v>240</v>
      </c>
      <c r="L113" t="s">
        <v>241</v>
      </c>
      <c r="M113" t="s">
        <v>242</v>
      </c>
      <c r="N113" t="b">
        <f t="shared" si="1"/>
        <v>1</v>
      </c>
    </row>
    <row r="114" spans="2:14" ht="14.45" customHeight="1">
      <c r="B114" s="37" t="s">
        <v>243</v>
      </c>
      <c r="C114" s="2" t="s">
        <v>244</v>
      </c>
      <c r="D114" s="32">
        <v>25303266</v>
      </c>
      <c r="E114" s="32">
        <v>0</v>
      </c>
      <c r="F114" s="32"/>
      <c r="G114" s="32"/>
      <c r="H114" s="32"/>
      <c r="I114" s="32"/>
      <c r="J114" s="38" t="s">
        <v>245</v>
      </c>
      <c r="K114" s="2" t="s">
        <v>246</v>
      </c>
      <c r="L114" t="s">
        <v>243</v>
      </c>
      <c r="M114" t="s">
        <v>244</v>
      </c>
      <c r="N114" t="b">
        <f t="shared" si="1"/>
        <v>1</v>
      </c>
    </row>
    <row r="115" spans="2:14" ht="14.45" customHeight="1">
      <c r="B115" s="37" t="s">
        <v>247</v>
      </c>
      <c r="C115" s="2" t="s">
        <v>248</v>
      </c>
      <c r="D115" s="32">
        <v>50916000</v>
      </c>
      <c r="E115" s="32">
        <v>0</v>
      </c>
      <c r="F115" s="32"/>
      <c r="G115" s="32"/>
      <c r="H115" s="32"/>
      <c r="I115" s="32"/>
      <c r="J115" s="38" t="s">
        <v>249</v>
      </c>
      <c r="K115" s="2" t="s">
        <v>248</v>
      </c>
      <c r="L115" t="s">
        <v>247</v>
      </c>
      <c r="M115" t="s">
        <v>248</v>
      </c>
      <c r="N115" t="b">
        <f t="shared" si="1"/>
        <v>1</v>
      </c>
    </row>
    <row r="116" spans="2:14" ht="14.45" customHeight="1">
      <c r="B116" s="37" t="s">
        <v>250</v>
      </c>
      <c r="C116" s="2" t="s">
        <v>251</v>
      </c>
      <c r="D116" s="32">
        <v>-1340414</v>
      </c>
      <c r="E116" s="32">
        <v>0</v>
      </c>
      <c r="F116" s="32"/>
      <c r="G116" s="32"/>
      <c r="H116" s="32"/>
      <c r="I116" s="32"/>
      <c r="J116" s="38" t="s">
        <v>249</v>
      </c>
      <c r="K116" s="2" t="s">
        <v>248</v>
      </c>
      <c r="L116" t="s">
        <v>250</v>
      </c>
      <c r="M116" t="s">
        <v>251</v>
      </c>
      <c r="N116" t="b">
        <f t="shared" si="1"/>
        <v>1</v>
      </c>
    </row>
    <row r="117" spans="2:14" ht="14.45" customHeight="1">
      <c r="B117" s="37" t="s">
        <v>906</v>
      </c>
      <c r="C117" s="2" t="s">
        <v>908</v>
      </c>
      <c r="D117" s="32">
        <v>3320357474</v>
      </c>
      <c r="E117" s="32">
        <v>0</v>
      </c>
      <c r="F117" s="32"/>
      <c r="G117" s="32"/>
      <c r="H117" s="32"/>
      <c r="I117" s="32"/>
      <c r="J117" s="38" t="s">
        <v>66</v>
      </c>
      <c r="K117" s="2" t="s">
        <v>66</v>
      </c>
      <c r="L117" t="s">
        <v>906</v>
      </c>
      <c r="M117" t="s">
        <v>908</v>
      </c>
      <c r="N117" t="b">
        <f t="shared" si="1"/>
        <v>1</v>
      </c>
    </row>
    <row r="118" spans="2:14" ht="14.45" customHeight="1">
      <c r="B118" s="37"/>
      <c r="C118" s="2"/>
      <c r="D118" s="32">
        <v>0</v>
      </c>
      <c r="E118" s="32">
        <v>0</v>
      </c>
      <c r="F118" s="32"/>
      <c r="G118" s="32"/>
      <c r="H118" s="32"/>
      <c r="I118" s="32"/>
      <c r="J118" s="38" t="s">
        <v>66</v>
      </c>
      <c r="K118" s="2" t="s">
        <v>66</v>
      </c>
      <c r="N118" t="b">
        <f t="shared" si="1"/>
        <v>1</v>
      </c>
    </row>
    <row r="119" spans="2:14" ht="14.45" customHeight="1">
      <c r="B119" s="29" t="s">
        <v>15</v>
      </c>
      <c r="C119" s="30" t="s">
        <v>252</v>
      </c>
      <c r="D119" s="31">
        <v>20276844957</v>
      </c>
      <c r="E119" s="31">
        <v>5693</v>
      </c>
      <c r="F119" s="31"/>
      <c r="G119" s="31"/>
      <c r="H119" s="31"/>
      <c r="I119" s="32"/>
      <c r="J119" s="38" t="s">
        <v>66</v>
      </c>
      <c r="K119" s="2" t="s">
        <v>66</v>
      </c>
      <c r="L119" t="s">
        <v>15</v>
      </c>
      <c r="M119" t="s">
        <v>252</v>
      </c>
      <c r="N119" t="b">
        <f t="shared" si="1"/>
        <v>1</v>
      </c>
    </row>
    <row r="120" spans="2:14" ht="14.45" customHeight="1">
      <c r="B120" s="24" t="s">
        <v>15</v>
      </c>
      <c r="C120" s="25" t="s">
        <v>253</v>
      </c>
      <c r="D120" s="35"/>
      <c r="E120" s="35"/>
      <c r="F120" s="35"/>
      <c r="G120" s="35"/>
      <c r="H120" s="35"/>
      <c r="I120" s="32"/>
      <c r="J120" s="38" t="s">
        <v>66</v>
      </c>
      <c r="K120" s="2" t="s">
        <v>66</v>
      </c>
      <c r="L120" t="s">
        <v>15</v>
      </c>
      <c r="M120" t="s">
        <v>253</v>
      </c>
      <c r="N120" t="b">
        <f t="shared" si="1"/>
        <v>1</v>
      </c>
    </row>
    <row r="121" spans="2:14" ht="14.45" customHeight="1">
      <c r="B121" s="40" t="s">
        <v>15</v>
      </c>
      <c r="C121" s="25" t="s">
        <v>254</v>
      </c>
      <c r="D121" s="35">
        <v>110911995702</v>
      </c>
      <c r="E121" s="35">
        <v>908554</v>
      </c>
      <c r="F121" s="35"/>
      <c r="G121" s="35"/>
      <c r="H121" s="35"/>
      <c r="I121" s="32"/>
      <c r="J121" s="38" t="s">
        <v>66</v>
      </c>
      <c r="K121" s="2" t="s">
        <v>66</v>
      </c>
      <c r="L121" t="s">
        <v>15</v>
      </c>
      <c r="M121" t="s">
        <v>254</v>
      </c>
      <c r="N121" t="b">
        <f t="shared" si="1"/>
        <v>1</v>
      </c>
    </row>
    <row r="122" spans="2:14" ht="14.45" customHeight="1">
      <c r="B122" s="29" t="s">
        <v>15</v>
      </c>
      <c r="C122" s="30" t="s">
        <v>255</v>
      </c>
      <c r="D122" s="31">
        <v>2923626500</v>
      </c>
      <c r="E122" s="31">
        <v>5000</v>
      </c>
      <c r="F122" s="31"/>
      <c r="G122" s="31"/>
      <c r="H122" s="31"/>
      <c r="I122" s="32"/>
      <c r="J122" s="38" t="s">
        <v>66</v>
      </c>
      <c r="K122" s="2" t="s">
        <v>66</v>
      </c>
      <c r="L122" t="s">
        <v>15</v>
      </c>
      <c r="M122" t="s">
        <v>255</v>
      </c>
      <c r="N122" t="b">
        <f t="shared" si="1"/>
        <v>1</v>
      </c>
    </row>
    <row r="123" spans="2:14" ht="14.45" customHeight="1">
      <c r="B123" s="37" t="s">
        <v>256</v>
      </c>
      <c r="C123" s="2" t="s">
        <v>257</v>
      </c>
      <c r="D123" s="32">
        <v>2923626500</v>
      </c>
      <c r="E123" s="32">
        <v>5000</v>
      </c>
      <c r="F123" s="32"/>
      <c r="G123" s="32"/>
      <c r="H123" s="32"/>
      <c r="I123" s="32"/>
      <c r="J123" s="38" t="s">
        <v>258</v>
      </c>
      <c r="K123" s="2" t="s">
        <v>259</v>
      </c>
      <c r="L123" t="s">
        <v>256</v>
      </c>
      <c r="M123" t="s">
        <v>257</v>
      </c>
      <c r="N123" t="b">
        <f t="shared" si="1"/>
        <v>1</v>
      </c>
    </row>
    <row r="124" spans="2:14" ht="14.45" customHeight="1">
      <c r="B124" s="29" t="s">
        <v>15</v>
      </c>
      <c r="C124" s="30" t="s">
        <v>260</v>
      </c>
      <c r="D124" s="31">
        <v>55731835040</v>
      </c>
      <c r="E124" s="31">
        <v>995000</v>
      </c>
      <c r="F124" s="31"/>
      <c r="G124" s="31"/>
      <c r="H124" s="31"/>
      <c r="I124" s="32"/>
      <c r="J124" s="38" t="s">
        <v>66</v>
      </c>
      <c r="K124" s="2" t="s">
        <v>66</v>
      </c>
      <c r="L124" t="s">
        <v>15</v>
      </c>
      <c r="M124" t="s">
        <v>260</v>
      </c>
      <c r="N124" t="b">
        <f t="shared" si="1"/>
        <v>1</v>
      </c>
    </row>
    <row r="125" spans="2:14" ht="14.45" customHeight="1">
      <c r="B125" s="37" t="s">
        <v>261</v>
      </c>
      <c r="C125" s="2" t="s">
        <v>262</v>
      </c>
      <c r="D125" s="32">
        <v>55731835040</v>
      </c>
      <c r="E125" s="32">
        <v>995000</v>
      </c>
      <c r="F125" s="32"/>
      <c r="G125" s="32"/>
      <c r="H125" s="32"/>
      <c r="I125" s="32"/>
      <c r="J125" s="38" t="s">
        <v>263</v>
      </c>
      <c r="K125" s="2" t="s">
        <v>264</v>
      </c>
      <c r="L125" t="s">
        <v>261</v>
      </c>
      <c r="M125" t="s">
        <v>262</v>
      </c>
      <c r="N125" t="b">
        <f t="shared" si="1"/>
        <v>1</v>
      </c>
    </row>
    <row r="126" spans="2:14" ht="14.45" customHeight="1">
      <c r="B126" s="37" t="s">
        <v>265</v>
      </c>
      <c r="C126" s="2" t="s">
        <v>266</v>
      </c>
      <c r="D126" s="32">
        <v>0</v>
      </c>
      <c r="E126" s="32">
        <v>0</v>
      </c>
      <c r="F126" s="32"/>
      <c r="G126" s="32"/>
      <c r="H126" s="32"/>
      <c r="I126" s="32"/>
      <c r="J126" s="38" t="s">
        <v>263</v>
      </c>
      <c r="K126" s="2" t="s">
        <v>264</v>
      </c>
      <c r="L126" t="s">
        <v>265</v>
      </c>
      <c r="M126" t="s">
        <v>266</v>
      </c>
      <c r="N126" t="b">
        <f t="shared" si="1"/>
        <v>1</v>
      </c>
    </row>
    <row r="127" spans="2:14" ht="14.45" customHeight="1">
      <c r="B127" s="37" t="s">
        <v>267</v>
      </c>
      <c r="C127" s="2" t="s">
        <v>268</v>
      </c>
      <c r="D127" s="32">
        <v>0</v>
      </c>
      <c r="E127" s="32">
        <v>0</v>
      </c>
      <c r="F127" s="32"/>
      <c r="G127" s="32"/>
      <c r="H127" s="32"/>
      <c r="I127" s="32"/>
      <c r="J127" s="38" t="s">
        <v>263</v>
      </c>
      <c r="K127" s="2" t="s">
        <v>264</v>
      </c>
      <c r="L127" t="s">
        <v>267</v>
      </c>
      <c r="M127" t="s">
        <v>268</v>
      </c>
      <c r="N127" t="b">
        <f t="shared" si="1"/>
        <v>1</v>
      </c>
    </row>
    <row r="128" spans="2:14" ht="14.45" customHeight="1">
      <c r="B128" s="29" t="s">
        <v>15</v>
      </c>
      <c r="C128" s="30" t="s">
        <v>269</v>
      </c>
      <c r="D128" s="31">
        <v>0</v>
      </c>
      <c r="E128" s="31">
        <v>0</v>
      </c>
      <c r="F128" s="31"/>
      <c r="G128" s="31"/>
      <c r="H128" s="31"/>
      <c r="I128" s="32"/>
      <c r="J128" s="38" t="s">
        <v>66</v>
      </c>
      <c r="K128" s="2" t="s">
        <v>66</v>
      </c>
      <c r="L128" t="s">
        <v>15</v>
      </c>
      <c r="M128" t="s">
        <v>269</v>
      </c>
      <c r="N128" t="b">
        <f t="shared" si="1"/>
        <v>1</v>
      </c>
    </row>
    <row r="129" spans="2:14" ht="14.45" customHeight="1">
      <c r="B129" s="37" t="s">
        <v>270</v>
      </c>
      <c r="C129" s="2" t="s">
        <v>271</v>
      </c>
      <c r="D129" s="32">
        <v>0</v>
      </c>
      <c r="E129" s="32">
        <v>0</v>
      </c>
      <c r="F129" s="32"/>
      <c r="G129" s="32"/>
      <c r="H129" s="32"/>
      <c r="I129" s="32"/>
      <c r="J129" s="38" t="s">
        <v>272</v>
      </c>
      <c r="K129" s="2" t="s">
        <v>273</v>
      </c>
      <c r="L129" t="s">
        <v>270</v>
      </c>
      <c r="M129" t="s">
        <v>271</v>
      </c>
      <c r="N129" t="b">
        <f t="shared" si="1"/>
        <v>1</v>
      </c>
    </row>
    <row r="130" spans="2:14" ht="14.45" customHeight="1">
      <c r="B130" s="37"/>
      <c r="C130" s="2"/>
      <c r="D130" s="32">
        <v>0</v>
      </c>
      <c r="E130" s="32">
        <v>0</v>
      </c>
      <c r="F130" s="32"/>
      <c r="G130" s="32"/>
      <c r="H130" s="32"/>
      <c r="I130" s="32"/>
      <c r="J130" s="38" t="s">
        <v>66</v>
      </c>
      <c r="K130" s="2" t="s">
        <v>66</v>
      </c>
      <c r="N130" t="b">
        <f t="shared" si="1"/>
        <v>1</v>
      </c>
    </row>
    <row r="131" spans="2:14" ht="14.45" customHeight="1">
      <c r="B131" s="29" t="s">
        <v>15</v>
      </c>
      <c r="C131" s="30" t="s">
        <v>274</v>
      </c>
      <c r="D131" s="31">
        <v>0</v>
      </c>
      <c r="E131" s="31">
        <v>0</v>
      </c>
      <c r="F131" s="31"/>
      <c r="G131" s="31"/>
      <c r="H131" s="31"/>
      <c r="I131" s="32"/>
      <c r="J131" s="38" t="s">
        <v>66</v>
      </c>
      <c r="K131" s="2" t="s">
        <v>66</v>
      </c>
      <c r="L131" t="s">
        <v>15</v>
      </c>
      <c r="M131" t="s">
        <v>274</v>
      </c>
      <c r="N131" t="b">
        <f t="shared" si="1"/>
        <v>1</v>
      </c>
    </row>
    <row r="132" spans="2:14" ht="14.45" customHeight="1">
      <c r="B132" s="37" t="s">
        <v>275</v>
      </c>
      <c r="C132" s="2" t="s">
        <v>276</v>
      </c>
      <c r="D132" s="32">
        <v>0</v>
      </c>
      <c r="E132" s="32">
        <v>0</v>
      </c>
      <c r="F132" s="32"/>
      <c r="G132" s="32"/>
      <c r="H132" s="32"/>
      <c r="I132" s="32"/>
      <c r="J132" s="38" t="s">
        <v>277</v>
      </c>
      <c r="K132" s="2" t="s">
        <v>278</v>
      </c>
      <c r="L132" t="s">
        <v>275</v>
      </c>
      <c r="M132" t="s">
        <v>276</v>
      </c>
      <c r="N132" t="b">
        <f t="shared" si="1"/>
        <v>1</v>
      </c>
    </row>
    <row r="133" spans="2:14" ht="14.45" customHeight="1">
      <c r="B133" s="37" t="s">
        <v>279</v>
      </c>
      <c r="C133" s="2" t="s">
        <v>280</v>
      </c>
      <c r="D133" s="32">
        <v>0</v>
      </c>
      <c r="E133" s="32">
        <v>0</v>
      </c>
      <c r="F133" s="32"/>
      <c r="G133" s="32"/>
      <c r="H133" s="32"/>
      <c r="I133" s="32"/>
      <c r="J133" s="38" t="s">
        <v>277</v>
      </c>
      <c r="K133" s="2" t="s">
        <v>278</v>
      </c>
      <c r="L133" t="s">
        <v>279</v>
      </c>
      <c r="M133" t="s">
        <v>280</v>
      </c>
      <c r="N133" t="b">
        <f t="shared" si="1"/>
        <v>1</v>
      </c>
    </row>
    <row r="134" spans="2:14" ht="14.45" customHeight="1">
      <c r="B134" s="37" t="s">
        <v>281</v>
      </c>
      <c r="C134" s="2" t="s">
        <v>282</v>
      </c>
      <c r="D134" s="32">
        <v>0</v>
      </c>
      <c r="E134" s="32">
        <v>0</v>
      </c>
      <c r="F134" s="32"/>
      <c r="G134" s="32"/>
      <c r="H134" s="32"/>
      <c r="I134" s="32"/>
      <c r="J134" s="38" t="s">
        <v>277</v>
      </c>
      <c r="K134" s="2" t="s">
        <v>278</v>
      </c>
      <c r="L134" t="s">
        <v>281</v>
      </c>
      <c r="M134" t="s">
        <v>282</v>
      </c>
      <c r="N134" t="b">
        <f t="shared" si="1"/>
        <v>1</v>
      </c>
    </row>
    <row r="135" spans="2:14" ht="14.45" customHeight="1">
      <c r="B135" s="37" t="s">
        <v>855</v>
      </c>
      <c r="C135" s="2" t="s">
        <v>856</v>
      </c>
      <c r="D135" s="32">
        <v>0</v>
      </c>
      <c r="E135" s="32">
        <v>0</v>
      </c>
      <c r="F135" s="32"/>
      <c r="G135" s="32"/>
      <c r="H135" s="32"/>
      <c r="I135" s="32"/>
      <c r="J135" s="38" t="s">
        <v>277</v>
      </c>
      <c r="K135" s="2" t="s">
        <v>278</v>
      </c>
      <c r="L135" t="s">
        <v>855</v>
      </c>
      <c r="M135" t="s">
        <v>856</v>
      </c>
      <c r="N135" t="b">
        <f t="shared" si="1"/>
        <v>1</v>
      </c>
    </row>
    <row r="136" spans="2:14" ht="14.45" customHeight="1">
      <c r="B136" s="29" t="s">
        <v>15</v>
      </c>
      <c r="C136" s="30" t="s">
        <v>283</v>
      </c>
      <c r="D136" s="31">
        <v>52256534162</v>
      </c>
      <c r="E136" s="31">
        <v>-91446</v>
      </c>
      <c r="F136" s="31"/>
      <c r="G136" s="31"/>
      <c r="H136" s="31"/>
      <c r="I136" s="32"/>
      <c r="J136" s="38" t="s">
        <v>66</v>
      </c>
      <c r="K136" s="2" t="s">
        <v>66</v>
      </c>
      <c r="L136" t="s">
        <v>15</v>
      </c>
      <c r="M136" t="s">
        <v>283</v>
      </c>
      <c r="N136" t="b">
        <f t="shared" si="1"/>
        <v>1</v>
      </c>
    </row>
    <row r="137" spans="2:14" ht="14.45" customHeight="1">
      <c r="B137" s="41" t="s">
        <v>284</v>
      </c>
      <c r="C137" s="2" t="s">
        <v>285</v>
      </c>
      <c r="D137" s="32">
        <v>265000000</v>
      </c>
      <c r="E137" s="32">
        <v>0</v>
      </c>
      <c r="F137" s="32"/>
      <c r="G137" s="32"/>
      <c r="H137" s="32"/>
      <c r="I137" s="32"/>
      <c r="J137" s="38" t="s">
        <v>286</v>
      </c>
      <c r="K137" s="2" t="s">
        <v>287</v>
      </c>
      <c r="L137" t="s">
        <v>284</v>
      </c>
      <c r="M137" t="s">
        <v>285</v>
      </c>
      <c r="N137" t="b">
        <f t="shared" si="1"/>
        <v>1</v>
      </c>
    </row>
    <row r="138" spans="2:14" ht="14.45" customHeight="1">
      <c r="B138" s="41" t="s">
        <v>514</v>
      </c>
      <c r="C138" s="2" t="s">
        <v>515</v>
      </c>
      <c r="D138" s="32">
        <v>0</v>
      </c>
      <c r="E138" s="32">
        <v>0</v>
      </c>
      <c r="F138" s="32"/>
      <c r="G138" s="32"/>
      <c r="H138" s="32"/>
      <c r="I138" s="32"/>
      <c r="J138" s="38" t="s">
        <v>286</v>
      </c>
      <c r="K138" s="2" t="s">
        <v>287</v>
      </c>
      <c r="L138" t="s">
        <v>514</v>
      </c>
      <c r="M138" t="s">
        <v>515</v>
      </c>
      <c r="N138" t="b">
        <f t="shared" si="1"/>
        <v>1</v>
      </c>
    </row>
    <row r="139" spans="2:14" ht="14.45" customHeight="1">
      <c r="B139" s="41" t="s">
        <v>288</v>
      </c>
      <c r="C139" s="2" t="s">
        <v>289</v>
      </c>
      <c r="D139" s="32">
        <v>0</v>
      </c>
      <c r="E139" s="32">
        <v>0</v>
      </c>
      <c r="F139" s="32"/>
      <c r="G139" s="32"/>
      <c r="H139" s="32"/>
      <c r="I139" s="32"/>
      <c r="J139" s="38" t="s">
        <v>286</v>
      </c>
      <c r="K139" s="2" t="s">
        <v>287</v>
      </c>
      <c r="L139" t="s">
        <v>288</v>
      </c>
      <c r="M139" t="s">
        <v>289</v>
      </c>
      <c r="N139" t="b">
        <f t="shared" ref="N139:N202" si="2">L139=B139</f>
        <v>1</v>
      </c>
    </row>
    <row r="140" spans="2:14" ht="14.45" customHeight="1">
      <c r="B140" s="37" t="s">
        <v>290</v>
      </c>
      <c r="C140" s="2" t="s">
        <v>291</v>
      </c>
      <c r="D140" s="32">
        <v>20878351446</v>
      </c>
      <c r="E140" s="32">
        <v>-91446</v>
      </c>
      <c r="F140" s="32"/>
      <c r="G140" s="32"/>
      <c r="H140" s="32"/>
      <c r="I140" s="32"/>
      <c r="J140" s="38" t="s">
        <v>286</v>
      </c>
      <c r="K140" s="2" t="s">
        <v>287</v>
      </c>
      <c r="L140" t="s">
        <v>290</v>
      </c>
      <c r="M140" t="s">
        <v>291</v>
      </c>
      <c r="N140" t="b">
        <f t="shared" si="2"/>
        <v>1</v>
      </c>
    </row>
    <row r="141" spans="2:14" ht="14.45" customHeight="1">
      <c r="B141" s="41" t="s">
        <v>292</v>
      </c>
      <c r="C141" s="2" t="s">
        <v>293</v>
      </c>
      <c r="D141" s="32">
        <v>31113182716</v>
      </c>
      <c r="E141" s="32">
        <v>0</v>
      </c>
      <c r="F141" s="32"/>
      <c r="G141" s="32"/>
      <c r="H141" s="32"/>
      <c r="I141" s="32"/>
      <c r="J141" s="38" t="s">
        <v>286</v>
      </c>
      <c r="K141" s="2" t="s">
        <v>287</v>
      </c>
      <c r="L141" t="s">
        <v>292</v>
      </c>
      <c r="M141" t="s">
        <v>293</v>
      </c>
      <c r="N141" t="b">
        <f t="shared" si="2"/>
        <v>1</v>
      </c>
    </row>
    <row r="142" spans="2:14" ht="14.45" customHeight="1">
      <c r="B142" s="40" t="s">
        <v>15</v>
      </c>
      <c r="C142" s="25" t="s">
        <v>294</v>
      </c>
      <c r="D142" s="35">
        <v>0</v>
      </c>
      <c r="E142" s="35">
        <v>0</v>
      </c>
      <c r="F142" s="35"/>
      <c r="G142" s="35"/>
      <c r="H142" s="35"/>
      <c r="I142" s="32"/>
      <c r="J142" s="38" t="s">
        <v>66</v>
      </c>
      <c r="K142" s="2" t="s">
        <v>66</v>
      </c>
      <c r="L142" t="s">
        <v>15</v>
      </c>
      <c r="M142" t="s">
        <v>294</v>
      </c>
      <c r="N142" t="b">
        <f t="shared" si="2"/>
        <v>1</v>
      </c>
    </row>
    <row r="143" spans="2:14" ht="14.45" customHeight="1">
      <c r="B143" s="37" t="s">
        <v>295</v>
      </c>
      <c r="C143" s="2" t="s">
        <v>296</v>
      </c>
      <c r="D143" s="32">
        <v>0</v>
      </c>
      <c r="E143" s="32">
        <v>0</v>
      </c>
      <c r="F143" s="32"/>
      <c r="G143" s="32"/>
      <c r="H143" s="32"/>
      <c r="I143" s="2"/>
      <c r="J143" s="38" t="s">
        <v>297</v>
      </c>
      <c r="K143" s="2" t="s">
        <v>294</v>
      </c>
      <c r="L143" t="s">
        <v>295</v>
      </c>
      <c r="M143" t="s">
        <v>296</v>
      </c>
      <c r="N143" t="b">
        <f t="shared" si="2"/>
        <v>1</v>
      </c>
    </row>
    <row r="144" spans="2:14" ht="14.45" customHeight="1">
      <c r="B144" s="37" t="s">
        <v>298</v>
      </c>
      <c r="C144" s="2" t="s">
        <v>299</v>
      </c>
      <c r="D144" s="32">
        <v>0</v>
      </c>
      <c r="E144" s="32">
        <v>0</v>
      </c>
      <c r="F144" s="32"/>
      <c r="G144" s="32"/>
      <c r="H144" s="32"/>
      <c r="I144" s="2"/>
      <c r="J144" s="38" t="s">
        <v>297</v>
      </c>
      <c r="K144" s="2" t="s">
        <v>294</v>
      </c>
      <c r="L144" t="s">
        <v>298</v>
      </c>
      <c r="M144" t="s">
        <v>299</v>
      </c>
      <c r="N144" t="b">
        <f t="shared" si="2"/>
        <v>1</v>
      </c>
    </row>
    <row r="145" spans="2:14" ht="14.45" customHeight="1">
      <c r="B145" s="37" t="s">
        <v>300</v>
      </c>
      <c r="C145" s="2" t="s">
        <v>301</v>
      </c>
      <c r="D145" s="32">
        <v>0</v>
      </c>
      <c r="E145" s="32">
        <v>0</v>
      </c>
      <c r="F145" s="32"/>
      <c r="G145" s="32"/>
      <c r="H145" s="32"/>
      <c r="I145" s="2"/>
      <c r="J145" s="38" t="s">
        <v>297</v>
      </c>
      <c r="K145" s="2" t="s">
        <v>294</v>
      </c>
      <c r="L145" t="s">
        <v>300</v>
      </c>
      <c r="M145" t="s">
        <v>301</v>
      </c>
      <c r="N145" t="b">
        <f t="shared" si="2"/>
        <v>1</v>
      </c>
    </row>
    <row r="146" spans="2:14" ht="14.45" customHeight="1">
      <c r="B146" s="37" t="s">
        <v>302</v>
      </c>
      <c r="C146" s="2" t="s">
        <v>303</v>
      </c>
      <c r="D146" s="32">
        <v>0</v>
      </c>
      <c r="E146" s="32">
        <v>0</v>
      </c>
      <c r="F146" s="32"/>
      <c r="G146" s="32"/>
      <c r="H146" s="32"/>
      <c r="I146" s="2"/>
      <c r="J146" s="38" t="s">
        <v>297</v>
      </c>
      <c r="K146" s="2" t="s">
        <v>294</v>
      </c>
      <c r="L146" t="s">
        <v>302</v>
      </c>
      <c r="M146" t="s">
        <v>303</v>
      </c>
      <c r="N146" t="b">
        <f t="shared" si="2"/>
        <v>1</v>
      </c>
    </row>
    <row r="147" spans="2:14" ht="14.45" customHeight="1">
      <c r="B147" s="29" t="s">
        <v>15</v>
      </c>
      <c r="C147" s="30" t="s">
        <v>304</v>
      </c>
      <c r="D147" s="31">
        <v>110911995702</v>
      </c>
      <c r="E147" s="31">
        <v>908554</v>
      </c>
      <c r="F147" s="31"/>
      <c r="G147" s="31"/>
      <c r="H147" s="31"/>
      <c r="I147" s="32"/>
      <c r="J147" s="38" t="s">
        <v>66</v>
      </c>
      <c r="K147" s="2" t="s">
        <v>66</v>
      </c>
      <c r="L147" t="s">
        <v>15</v>
      </c>
      <c r="M147" t="s">
        <v>304</v>
      </c>
      <c r="N147" t="b">
        <f t="shared" si="2"/>
        <v>1</v>
      </c>
    </row>
    <row r="148" spans="2:14" ht="14.45" customHeight="1">
      <c r="B148" s="29" t="s">
        <v>15</v>
      </c>
      <c r="C148" s="30" t="s">
        <v>305</v>
      </c>
      <c r="D148" s="31">
        <v>131188840659</v>
      </c>
      <c r="E148" s="31">
        <v>914247</v>
      </c>
      <c r="F148" s="31"/>
      <c r="G148" s="31"/>
      <c r="H148" s="31"/>
      <c r="I148" s="32"/>
      <c r="J148" s="38" t="s">
        <v>66</v>
      </c>
      <c r="K148" s="2" t="s">
        <v>66</v>
      </c>
      <c r="L148" t="s">
        <v>15</v>
      </c>
      <c r="M148" t="s">
        <v>305</v>
      </c>
      <c r="N148" t="b">
        <f t="shared" si="2"/>
        <v>1</v>
      </c>
    </row>
    <row r="149" spans="2:14" ht="14.45" customHeight="1">
      <c r="B149" s="37"/>
      <c r="C149" s="2"/>
      <c r="D149" s="32">
        <v>0</v>
      </c>
      <c r="E149" s="32">
        <v>0</v>
      </c>
      <c r="F149" s="42"/>
      <c r="G149" s="32"/>
      <c r="H149" s="32"/>
      <c r="I149" s="32"/>
      <c r="J149" s="38" t="s">
        <v>66</v>
      </c>
      <c r="K149" s="2" t="s">
        <v>66</v>
      </c>
      <c r="N149" t="b">
        <f t="shared" si="2"/>
        <v>1</v>
      </c>
    </row>
    <row r="150" spans="2:14" ht="14.45" customHeight="1">
      <c r="B150" s="37"/>
      <c r="C150" s="2"/>
      <c r="D150" s="32"/>
      <c r="E150" s="32"/>
      <c r="F150" s="43"/>
      <c r="G150" s="43"/>
      <c r="H150" s="43"/>
      <c r="I150" s="32"/>
      <c r="J150" s="38" t="s">
        <v>66</v>
      </c>
      <c r="K150" s="2" t="s">
        <v>66</v>
      </c>
      <c r="N150" t="b">
        <f t="shared" si="2"/>
        <v>1</v>
      </c>
    </row>
    <row r="151" spans="2:14" ht="14.45" customHeight="1">
      <c r="B151" s="29" t="s">
        <v>306</v>
      </c>
      <c r="C151" s="30" t="s">
        <v>307</v>
      </c>
      <c r="D151" s="31">
        <v>40047496797.000008</v>
      </c>
      <c r="E151" s="31">
        <v>0</v>
      </c>
      <c r="F151" s="31"/>
      <c r="G151" s="31"/>
      <c r="H151" s="31"/>
      <c r="I151" s="32"/>
      <c r="J151" s="38" t="s">
        <v>66</v>
      </c>
      <c r="K151" s="2" t="s">
        <v>66</v>
      </c>
      <c r="L151" t="s">
        <v>306</v>
      </c>
      <c r="M151" t="s">
        <v>307</v>
      </c>
      <c r="N151" t="b">
        <f t="shared" si="2"/>
        <v>1</v>
      </c>
    </row>
    <row r="152" spans="2:14" ht="14.45" customHeight="1">
      <c r="B152" s="37" t="s">
        <v>308</v>
      </c>
      <c r="C152" s="2" t="s">
        <v>309</v>
      </c>
      <c r="D152" s="32">
        <v>4315353600</v>
      </c>
      <c r="E152" s="32">
        <v>0</v>
      </c>
      <c r="F152" s="32"/>
      <c r="G152" s="32"/>
      <c r="H152" s="32"/>
      <c r="I152" s="32"/>
      <c r="J152" s="38" t="s">
        <v>310</v>
      </c>
      <c r="K152" s="2" t="s">
        <v>311</v>
      </c>
      <c r="L152" t="s">
        <v>308</v>
      </c>
      <c r="M152" t="s">
        <v>309</v>
      </c>
      <c r="N152" t="b">
        <f t="shared" si="2"/>
        <v>1</v>
      </c>
    </row>
    <row r="153" spans="2:14" ht="14.45" customHeight="1">
      <c r="B153" s="37" t="s">
        <v>312</v>
      </c>
      <c r="C153" s="2" t="s">
        <v>313</v>
      </c>
      <c r="D153" s="32">
        <v>0</v>
      </c>
      <c r="E153" s="32">
        <v>0</v>
      </c>
      <c r="F153" s="32"/>
      <c r="G153" s="32"/>
      <c r="H153" s="32"/>
      <c r="I153" s="32"/>
      <c r="J153" s="38" t="s">
        <v>310</v>
      </c>
      <c r="K153" s="2" t="s">
        <v>311</v>
      </c>
      <c r="L153" t="s">
        <v>312</v>
      </c>
      <c r="M153" t="s">
        <v>313</v>
      </c>
      <c r="N153" t="b">
        <f t="shared" si="2"/>
        <v>1</v>
      </c>
    </row>
    <row r="154" spans="2:14" ht="14.45" customHeight="1">
      <c r="B154" s="37" t="s">
        <v>314</v>
      </c>
      <c r="C154" s="2" t="s">
        <v>315</v>
      </c>
      <c r="D154" s="32">
        <v>12989432722</v>
      </c>
      <c r="E154" s="32">
        <v>0</v>
      </c>
      <c r="F154" s="32"/>
      <c r="G154" s="32"/>
      <c r="H154" s="32"/>
      <c r="I154" s="32"/>
      <c r="J154" s="38" t="s">
        <v>310</v>
      </c>
      <c r="K154" s="2" t="s">
        <v>311</v>
      </c>
      <c r="L154" t="s">
        <v>314</v>
      </c>
      <c r="M154" t="s">
        <v>315</v>
      </c>
      <c r="N154" t="b">
        <f t="shared" si="2"/>
        <v>1</v>
      </c>
    </row>
    <row r="155" spans="2:14" ht="14.45" customHeight="1">
      <c r="B155" s="37" t="s">
        <v>316</v>
      </c>
      <c r="C155" s="2" t="s">
        <v>317</v>
      </c>
      <c r="D155" s="32">
        <v>0</v>
      </c>
      <c r="E155" s="32">
        <v>0</v>
      </c>
      <c r="F155" s="32"/>
      <c r="G155" s="32"/>
      <c r="H155" s="32"/>
      <c r="I155" s="32"/>
      <c r="J155" s="38" t="s">
        <v>310</v>
      </c>
      <c r="K155" s="2" t="s">
        <v>311</v>
      </c>
      <c r="L155" t="s">
        <v>316</v>
      </c>
      <c r="M155" t="s">
        <v>317</v>
      </c>
      <c r="N155" t="b">
        <f t="shared" si="2"/>
        <v>1</v>
      </c>
    </row>
    <row r="156" spans="2:14" ht="14.45" customHeight="1">
      <c r="B156" s="37" t="s">
        <v>318</v>
      </c>
      <c r="C156" s="2" t="s">
        <v>319</v>
      </c>
      <c r="D156" s="32">
        <v>19270145149.630001</v>
      </c>
      <c r="E156" s="32">
        <v>0</v>
      </c>
      <c r="F156" s="32"/>
      <c r="G156" s="32"/>
      <c r="H156" s="32"/>
      <c r="I156" s="32"/>
      <c r="J156" s="38" t="s">
        <v>310</v>
      </c>
      <c r="K156" s="2" t="s">
        <v>311</v>
      </c>
      <c r="L156" t="s">
        <v>318</v>
      </c>
      <c r="M156" t="s">
        <v>319</v>
      </c>
      <c r="N156" t="b">
        <f t="shared" si="2"/>
        <v>1</v>
      </c>
    </row>
    <row r="157" spans="2:14" ht="14.45" customHeight="1">
      <c r="B157" s="37" t="s">
        <v>320</v>
      </c>
      <c r="C157" s="2" t="s">
        <v>321</v>
      </c>
      <c r="D157" s="32">
        <v>0</v>
      </c>
      <c r="E157" s="32">
        <v>0</v>
      </c>
      <c r="F157" s="32"/>
      <c r="G157" s="32"/>
      <c r="H157" s="32"/>
      <c r="I157" s="32"/>
      <c r="J157" s="38" t="s">
        <v>310</v>
      </c>
      <c r="K157" s="2" t="s">
        <v>311</v>
      </c>
      <c r="L157" t="s">
        <v>320</v>
      </c>
      <c r="M157" t="s">
        <v>321</v>
      </c>
      <c r="N157" t="b">
        <f t="shared" si="2"/>
        <v>1</v>
      </c>
    </row>
    <row r="158" spans="2:14" ht="14.45" customHeight="1">
      <c r="B158" s="37" t="s">
        <v>857</v>
      </c>
      <c r="C158" s="2" t="s">
        <v>858</v>
      </c>
      <c r="D158" s="32">
        <v>503625190</v>
      </c>
      <c r="E158" s="32">
        <v>0</v>
      </c>
      <c r="F158" s="32"/>
      <c r="G158" s="32"/>
      <c r="H158" s="32"/>
      <c r="I158" s="32"/>
      <c r="J158" s="38" t="s">
        <v>310</v>
      </c>
      <c r="K158" s="2" t="s">
        <v>311</v>
      </c>
      <c r="L158" t="s">
        <v>857</v>
      </c>
      <c r="M158" t="s">
        <v>858</v>
      </c>
      <c r="N158" t="b">
        <f t="shared" si="2"/>
        <v>1</v>
      </c>
    </row>
    <row r="159" spans="2:14" ht="14.45" customHeight="1">
      <c r="B159" s="37" t="s">
        <v>859</v>
      </c>
      <c r="C159" s="2" t="s">
        <v>860</v>
      </c>
      <c r="D159" s="32">
        <v>539596245.37</v>
      </c>
      <c r="E159" s="32">
        <v>0</v>
      </c>
      <c r="F159" s="32"/>
      <c r="G159" s="32"/>
      <c r="H159" s="32"/>
      <c r="I159" s="32"/>
      <c r="J159" s="38" t="s">
        <v>310</v>
      </c>
      <c r="K159" s="2" t="s">
        <v>311</v>
      </c>
      <c r="L159" t="s">
        <v>859</v>
      </c>
      <c r="M159" t="s">
        <v>860</v>
      </c>
      <c r="N159" t="b">
        <f t="shared" si="2"/>
        <v>1</v>
      </c>
    </row>
    <row r="160" spans="2:14" ht="14.45" customHeight="1">
      <c r="B160" s="37" t="s">
        <v>516</v>
      </c>
      <c r="C160" s="2" t="s">
        <v>517</v>
      </c>
      <c r="D160" s="32">
        <v>2280919890</v>
      </c>
      <c r="E160" s="32">
        <v>0</v>
      </c>
      <c r="F160" s="32"/>
      <c r="G160" s="32"/>
      <c r="H160" s="32"/>
      <c r="I160" s="32"/>
      <c r="J160" s="38" t="s">
        <v>310</v>
      </c>
      <c r="K160" s="2" t="s">
        <v>311</v>
      </c>
      <c r="L160" t="s">
        <v>516</v>
      </c>
      <c r="M160" t="s">
        <v>517</v>
      </c>
      <c r="N160" t="b">
        <f t="shared" si="2"/>
        <v>1</v>
      </c>
    </row>
    <row r="161" spans="2:14" ht="14.45" customHeight="1">
      <c r="B161" s="37" t="s">
        <v>902</v>
      </c>
      <c r="C161" s="2" t="s">
        <v>903</v>
      </c>
      <c r="D161" s="32">
        <v>148424000</v>
      </c>
      <c r="E161" s="32">
        <v>0</v>
      </c>
      <c r="F161" s="32"/>
      <c r="G161" s="32"/>
      <c r="H161" s="32"/>
      <c r="I161" s="32"/>
      <c r="J161" s="38" t="s">
        <v>310</v>
      </c>
      <c r="K161" s="2" t="s">
        <v>311</v>
      </c>
      <c r="L161" t="s">
        <v>902</v>
      </c>
      <c r="M161" t="s">
        <v>903</v>
      </c>
      <c r="N161" t="b">
        <f t="shared" si="2"/>
        <v>1</v>
      </c>
    </row>
    <row r="162" spans="2:14" ht="14.45" customHeight="1">
      <c r="B162" s="29" t="s">
        <v>306</v>
      </c>
      <c r="C162" s="30" t="s">
        <v>322</v>
      </c>
      <c r="D162" s="31">
        <v>21326660406</v>
      </c>
      <c r="E162" s="31">
        <v>0</v>
      </c>
      <c r="F162" s="31"/>
      <c r="G162" s="31"/>
      <c r="H162" s="31"/>
      <c r="I162" s="32"/>
      <c r="J162" s="38" t="s">
        <v>66</v>
      </c>
      <c r="K162" s="2" t="s">
        <v>66</v>
      </c>
      <c r="L162" t="s">
        <v>306</v>
      </c>
      <c r="M162" t="s">
        <v>322</v>
      </c>
      <c r="N162" t="b">
        <f t="shared" si="2"/>
        <v>1</v>
      </c>
    </row>
    <row r="163" spans="2:14" ht="14.45" customHeight="1">
      <c r="B163" s="37" t="s">
        <v>323</v>
      </c>
      <c r="C163" s="2" t="s">
        <v>324</v>
      </c>
      <c r="D163" s="32">
        <v>4613583087</v>
      </c>
      <c r="E163" s="32">
        <v>0</v>
      </c>
      <c r="F163" s="32"/>
      <c r="G163" s="32"/>
      <c r="H163" s="32"/>
      <c r="I163" s="32"/>
      <c r="J163" s="38" t="s">
        <v>325</v>
      </c>
      <c r="K163" s="2" t="s">
        <v>326</v>
      </c>
      <c r="L163" t="s">
        <v>323</v>
      </c>
      <c r="M163" t="s">
        <v>324</v>
      </c>
      <c r="N163" t="b">
        <f t="shared" si="2"/>
        <v>1</v>
      </c>
    </row>
    <row r="164" spans="2:14" ht="14.45" customHeight="1">
      <c r="B164" s="37" t="s">
        <v>327</v>
      </c>
      <c r="C164" s="2" t="s">
        <v>328</v>
      </c>
      <c r="D164" s="32">
        <v>0</v>
      </c>
      <c r="E164" s="32">
        <v>0</v>
      </c>
      <c r="F164" s="32"/>
      <c r="G164" s="32"/>
      <c r="H164" s="32"/>
      <c r="I164" s="32"/>
      <c r="J164" s="38" t="s">
        <v>325</v>
      </c>
      <c r="K164" s="2" t="s">
        <v>326</v>
      </c>
      <c r="L164" t="s">
        <v>327</v>
      </c>
      <c r="M164" t="s">
        <v>328</v>
      </c>
      <c r="N164" t="b">
        <f t="shared" si="2"/>
        <v>1</v>
      </c>
    </row>
    <row r="165" spans="2:14" ht="14.45" customHeight="1">
      <c r="B165" s="37" t="s">
        <v>329</v>
      </c>
      <c r="C165" s="2" t="s">
        <v>330</v>
      </c>
      <c r="D165" s="32">
        <v>16259635096</v>
      </c>
      <c r="E165" s="32">
        <v>0</v>
      </c>
      <c r="F165" s="32"/>
      <c r="G165" s="32"/>
      <c r="H165" s="32"/>
      <c r="I165" s="32"/>
      <c r="J165" s="38" t="s">
        <v>325</v>
      </c>
      <c r="K165" s="2" t="s">
        <v>326</v>
      </c>
      <c r="L165" t="s">
        <v>329</v>
      </c>
      <c r="M165" t="s">
        <v>330</v>
      </c>
      <c r="N165" t="b">
        <f t="shared" si="2"/>
        <v>1</v>
      </c>
    </row>
    <row r="166" spans="2:14" ht="14.45" customHeight="1">
      <c r="B166" s="37" t="s">
        <v>331</v>
      </c>
      <c r="C166" s="2" t="s">
        <v>332</v>
      </c>
      <c r="D166" s="32">
        <v>0</v>
      </c>
      <c r="E166" s="32">
        <v>0</v>
      </c>
      <c r="F166" s="32"/>
      <c r="G166" s="32"/>
      <c r="H166" s="32"/>
      <c r="I166" s="32"/>
      <c r="J166" s="38" t="s">
        <v>325</v>
      </c>
      <c r="K166" s="2" t="s">
        <v>326</v>
      </c>
      <c r="L166" t="s">
        <v>331</v>
      </c>
      <c r="M166" t="s">
        <v>332</v>
      </c>
      <c r="N166" t="b">
        <f t="shared" si="2"/>
        <v>1</v>
      </c>
    </row>
    <row r="167" spans="2:14" ht="14.45" customHeight="1">
      <c r="B167" s="37" t="s">
        <v>518</v>
      </c>
      <c r="C167" s="2" t="s">
        <v>519</v>
      </c>
      <c r="D167" s="32">
        <v>0</v>
      </c>
      <c r="E167" s="32">
        <v>0</v>
      </c>
      <c r="F167" s="32"/>
      <c r="G167" s="32"/>
      <c r="H167" s="32"/>
      <c r="I167" s="32"/>
      <c r="J167" s="38" t="s">
        <v>325</v>
      </c>
      <c r="K167" s="2" t="s">
        <v>326</v>
      </c>
      <c r="L167" t="s">
        <v>518</v>
      </c>
      <c r="M167" t="s">
        <v>519</v>
      </c>
      <c r="N167" t="b">
        <f t="shared" si="2"/>
        <v>1</v>
      </c>
    </row>
    <row r="168" spans="2:14" ht="14.45" customHeight="1">
      <c r="B168" s="37" t="s">
        <v>520</v>
      </c>
      <c r="C168" s="2" t="s">
        <v>521</v>
      </c>
      <c r="D168" s="32">
        <v>0</v>
      </c>
      <c r="E168" s="32">
        <v>0</v>
      </c>
      <c r="F168" s="32"/>
      <c r="G168" s="32"/>
      <c r="H168" s="32"/>
      <c r="I168" s="32"/>
      <c r="J168" s="38" t="s">
        <v>325</v>
      </c>
      <c r="K168" s="2" t="s">
        <v>326</v>
      </c>
      <c r="L168" t="s">
        <v>520</v>
      </c>
      <c r="M168" t="s">
        <v>521</v>
      </c>
      <c r="N168" t="b">
        <f t="shared" si="2"/>
        <v>1</v>
      </c>
    </row>
    <row r="169" spans="2:14" ht="14.45" customHeight="1">
      <c r="B169" s="37" t="s">
        <v>907</v>
      </c>
      <c r="C169" s="2" t="s">
        <v>523</v>
      </c>
      <c r="D169" s="32">
        <v>453442223</v>
      </c>
      <c r="E169" s="32">
        <v>0</v>
      </c>
      <c r="F169" s="32"/>
      <c r="G169" s="32"/>
      <c r="H169" s="32"/>
      <c r="I169" s="32"/>
      <c r="J169" s="38" t="s">
        <v>325</v>
      </c>
      <c r="K169" s="2" t="s">
        <v>326</v>
      </c>
      <c r="L169" t="s">
        <v>907</v>
      </c>
      <c r="M169" t="s">
        <v>523</v>
      </c>
      <c r="N169" t="b">
        <f t="shared" si="2"/>
        <v>1</v>
      </c>
    </row>
    <row r="170" spans="2:14" ht="14.45" customHeight="1">
      <c r="B170" s="29" t="s">
        <v>306</v>
      </c>
      <c r="C170" s="30" t="s">
        <v>333</v>
      </c>
      <c r="D170" s="31">
        <v>18720836391.000008</v>
      </c>
      <c r="E170" s="31">
        <v>0</v>
      </c>
      <c r="F170" s="31"/>
      <c r="G170" s="31"/>
      <c r="H170" s="31"/>
      <c r="I170" s="32"/>
      <c r="J170" s="38" t="s">
        <v>66</v>
      </c>
      <c r="K170" s="2" t="s">
        <v>66</v>
      </c>
      <c r="L170" t="s">
        <v>306</v>
      </c>
      <c r="M170" t="s">
        <v>333</v>
      </c>
      <c r="N170" t="b">
        <f t="shared" si="2"/>
        <v>1</v>
      </c>
    </row>
    <row r="171" spans="2:14" ht="14.45" customHeight="1">
      <c r="B171" s="29" t="s">
        <v>306</v>
      </c>
      <c r="C171" s="30" t="s">
        <v>334</v>
      </c>
      <c r="D171" s="31">
        <v>8686261519</v>
      </c>
      <c r="E171" s="31">
        <v>91446</v>
      </c>
      <c r="F171" s="31"/>
      <c r="G171" s="31"/>
      <c r="H171" s="31"/>
      <c r="I171" s="32"/>
      <c r="J171" s="38" t="s">
        <v>66</v>
      </c>
      <c r="K171" s="2" t="s">
        <v>66</v>
      </c>
      <c r="L171" t="s">
        <v>306</v>
      </c>
      <c r="M171" t="s">
        <v>334</v>
      </c>
      <c r="N171" t="b">
        <f t="shared" si="2"/>
        <v>1</v>
      </c>
    </row>
    <row r="172" spans="2:14" ht="14.45" customHeight="1">
      <c r="B172" s="37" t="s">
        <v>335</v>
      </c>
      <c r="C172" s="2" t="s">
        <v>336</v>
      </c>
      <c r="D172" s="32">
        <v>2197023310</v>
      </c>
      <c r="E172" s="32">
        <v>27627</v>
      </c>
      <c r="F172" s="32"/>
      <c r="G172" s="32"/>
      <c r="H172" s="32"/>
      <c r="I172" s="32"/>
      <c r="J172" s="38" t="s">
        <v>337</v>
      </c>
      <c r="K172" s="2" t="s">
        <v>338</v>
      </c>
      <c r="L172" t="s">
        <v>335</v>
      </c>
      <c r="M172" t="s">
        <v>336</v>
      </c>
      <c r="N172" t="b">
        <f t="shared" si="2"/>
        <v>1</v>
      </c>
    </row>
    <row r="173" spans="2:14" ht="14.45" customHeight="1">
      <c r="B173" s="37" t="s">
        <v>339</v>
      </c>
      <c r="C173" s="2" t="s">
        <v>340</v>
      </c>
      <c r="D173" s="32">
        <v>45316293</v>
      </c>
      <c r="E173" s="32">
        <v>0</v>
      </c>
      <c r="F173" s="32"/>
      <c r="G173" s="32"/>
      <c r="H173" s="32"/>
      <c r="I173" s="32"/>
      <c r="J173" s="38" t="s">
        <v>337</v>
      </c>
      <c r="K173" s="2" t="s">
        <v>338</v>
      </c>
      <c r="L173" t="s">
        <v>339</v>
      </c>
      <c r="M173" t="s">
        <v>340</v>
      </c>
      <c r="N173" t="b">
        <f t="shared" si="2"/>
        <v>1</v>
      </c>
    </row>
    <row r="174" spans="2:14" ht="14.45" customHeight="1">
      <c r="B174" s="37" t="s">
        <v>341</v>
      </c>
      <c r="C174" s="2" t="s">
        <v>342</v>
      </c>
      <c r="D174" s="32">
        <v>186543860</v>
      </c>
      <c r="E174" s="32">
        <v>0</v>
      </c>
      <c r="F174" s="32"/>
      <c r="G174" s="32"/>
      <c r="H174" s="32"/>
      <c r="I174" s="32"/>
      <c r="J174" s="38" t="s">
        <v>337</v>
      </c>
      <c r="K174" s="2" t="s">
        <v>338</v>
      </c>
      <c r="L174" t="s">
        <v>341</v>
      </c>
      <c r="M174" t="s">
        <v>342</v>
      </c>
      <c r="N174" t="b">
        <f t="shared" si="2"/>
        <v>1</v>
      </c>
    </row>
    <row r="175" spans="2:14" ht="14.45" customHeight="1">
      <c r="B175" s="37" t="s">
        <v>343</v>
      </c>
      <c r="C175" s="2" t="s">
        <v>344</v>
      </c>
      <c r="D175" s="32">
        <v>513171985</v>
      </c>
      <c r="E175" s="32">
        <v>245</v>
      </c>
      <c r="F175" s="32"/>
      <c r="G175" s="32"/>
      <c r="H175" s="32"/>
      <c r="I175" s="32"/>
      <c r="J175" s="38" t="s">
        <v>337</v>
      </c>
      <c r="K175" s="2" t="s">
        <v>338</v>
      </c>
      <c r="L175" t="s">
        <v>343</v>
      </c>
      <c r="M175" t="s">
        <v>344</v>
      </c>
      <c r="N175" t="b">
        <f t="shared" si="2"/>
        <v>1</v>
      </c>
    </row>
    <row r="176" spans="2:14" ht="14.45" customHeight="1">
      <c r="B176" s="37" t="s">
        <v>345</v>
      </c>
      <c r="C176" s="2" t="s">
        <v>346</v>
      </c>
      <c r="D176" s="32">
        <v>429848742</v>
      </c>
      <c r="E176" s="32">
        <v>13748</v>
      </c>
      <c r="F176" s="32"/>
      <c r="G176" s="32"/>
      <c r="H176" s="32"/>
      <c r="I176" s="32"/>
      <c r="J176" s="38" t="s">
        <v>337</v>
      </c>
      <c r="K176" s="2" t="s">
        <v>338</v>
      </c>
      <c r="L176" t="s">
        <v>345</v>
      </c>
      <c r="M176" t="s">
        <v>346</v>
      </c>
      <c r="N176" t="b">
        <f t="shared" si="2"/>
        <v>1</v>
      </c>
    </row>
    <row r="177" spans="2:14" ht="14.45" customHeight="1">
      <c r="B177" s="37" t="s">
        <v>347</v>
      </c>
      <c r="C177" s="2" t="s">
        <v>348</v>
      </c>
      <c r="D177" s="32">
        <v>63613797</v>
      </c>
      <c r="E177" s="32">
        <v>0</v>
      </c>
      <c r="F177" s="32"/>
      <c r="G177" s="32"/>
      <c r="H177" s="32"/>
      <c r="I177" s="32"/>
      <c r="J177" s="38" t="s">
        <v>337</v>
      </c>
      <c r="K177" s="2" t="s">
        <v>338</v>
      </c>
      <c r="L177" t="s">
        <v>347</v>
      </c>
      <c r="M177" t="s">
        <v>348</v>
      </c>
      <c r="N177" t="b">
        <f t="shared" si="2"/>
        <v>1</v>
      </c>
    </row>
    <row r="178" spans="2:14" ht="14.45" customHeight="1">
      <c r="B178" s="37" t="s">
        <v>349</v>
      </c>
      <c r="C178" s="2" t="s">
        <v>350</v>
      </c>
      <c r="D178" s="32">
        <v>17608520</v>
      </c>
      <c r="E178" s="32">
        <v>3482</v>
      </c>
      <c r="F178" s="32"/>
      <c r="G178" s="32"/>
      <c r="H178" s="32"/>
      <c r="I178" s="32"/>
      <c r="J178" s="38" t="s">
        <v>337</v>
      </c>
      <c r="K178" s="2" t="s">
        <v>338</v>
      </c>
      <c r="L178" t="s">
        <v>349</v>
      </c>
      <c r="M178" t="s">
        <v>350</v>
      </c>
      <c r="N178" t="b">
        <f t="shared" si="2"/>
        <v>1</v>
      </c>
    </row>
    <row r="179" spans="2:14" ht="14.45" customHeight="1">
      <c r="B179" s="37" t="s">
        <v>351</v>
      </c>
      <c r="C179" s="2" t="s">
        <v>352</v>
      </c>
      <c r="D179" s="32">
        <v>93528947</v>
      </c>
      <c r="E179" s="32">
        <v>0</v>
      </c>
      <c r="F179" s="32"/>
      <c r="G179" s="32"/>
      <c r="H179" s="32"/>
      <c r="I179" s="32"/>
      <c r="J179" s="38" t="s">
        <v>337</v>
      </c>
      <c r="K179" s="2" t="s">
        <v>338</v>
      </c>
      <c r="L179" t="s">
        <v>351</v>
      </c>
      <c r="M179" t="s">
        <v>352</v>
      </c>
      <c r="N179" t="b">
        <f t="shared" si="2"/>
        <v>1</v>
      </c>
    </row>
    <row r="180" spans="2:14" ht="14.45" customHeight="1">
      <c r="B180" s="37" t="s">
        <v>353</v>
      </c>
      <c r="C180" s="2" t="s">
        <v>354</v>
      </c>
      <c r="D180" s="32">
        <v>30880580</v>
      </c>
      <c r="E180" s="32">
        <v>0</v>
      </c>
      <c r="F180" s="32"/>
      <c r="G180" s="32"/>
      <c r="H180" s="32"/>
      <c r="I180" s="32"/>
      <c r="J180" s="38" t="s">
        <v>337</v>
      </c>
      <c r="K180" s="2" t="s">
        <v>338</v>
      </c>
      <c r="L180" t="s">
        <v>353</v>
      </c>
      <c r="M180" t="s">
        <v>354</v>
      </c>
      <c r="N180" t="b">
        <f t="shared" si="2"/>
        <v>1</v>
      </c>
    </row>
    <row r="181" spans="2:14" ht="14.45" customHeight="1">
      <c r="B181" s="37" t="s">
        <v>355</v>
      </c>
      <c r="C181" s="2" t="s">
        <v>356</v>
      </c>
      <c r="D181" s="32">
        <v>161545096</v>
      </c>
      <c r="E181" s="32">
        <v>127</v>
      </c>
      <c r="F181" s="32"/>
      <c r="G181" s="32"/>
      <c r="H181" s="32"/>
      <c r="I181" s="32"/>
      <c r="J181" s="38" t="s">
        <v>337</v>
      </c>
      <c r="K181" s="2" t="s">
        <v>338</v>
      </c>
      <c r="L181" t="s">
        <v>355</v>
      </c>
      <c r="M181" t="s">
        <v>356</v>
      </c>
      <c r="N181" t="b">
        <f t="shared" si="2"/>
        <v>1</v>
      </c>
    </row>
    <row r="182" spans="2:14" ht="14.45" customHeight="1">
      <c r="B182" s="37" t="s">
        <v>357</v>
      </c>
      <c r="C182" s="2" t="s">
        <v>358</v>
      </c>
      <c r="D182" s="32">
        <v>28845594</v>
      </c>
      <c r="E182" s="32">
        <v>8000</v>
      </c>
      <c r="F182" s="32"/>
      <c r="G182" s="32"/>
      <c r="H182" s="32"/>
      <c r="I182" s="32"/>
      <c r="J182" s="38" t="s">
        <v>337</v>
      </c>
      <c r="K182" s="2" t="s">
        <v>338</v>
      </c>
      <c r="L182" t="s">
        <v>357</v>
      </c>
      <c r="M182" t="s">
        <v>358</v>
      </c>
      <c r="N182" t="b">
        <f t="shared" si="2"/>
        <v>1</v>
      </c>
    </row>
    <row r="183" spans="2:14" ht="14.45" customHeight="1">
      <c r="B183" s="37" t="s">
        <v>359</v>
      </c>
      <c r="C183" s="2" t="s">
        <v>360</v>
      </c>
      <c r="D183" s="32">
        <v>13845182</v>
      </c>
      <c r="E183" s="32">
        <v>0</v>
      </c>
      <c r="F183" s="32"/>
      <c r="G183" s="32"/>
      <c r="H183" s="32"/>
      <c r="I183" s="32"/>
      <c r="J183" s="38" t="s">
        <v>337</v>
      </c>
      <c r="K183" s="2" t="s">
        <v>338</v>
      </c>
      <c r="L183" t="s">
        <v>359</v>
      </c>
      <c r="M183" t="s">
        <v>360</v>
      </c>
      <c r="N183" t="b">
        <f t="shared" si="2"/>
        <v>1</v>
      </c>
    </row>
    <row r="184" spans="2:14" ht="14.45" customHeight="1">
      <c r="B184" s="37" t="s">
        <v>361</v>
      </c>
      <c r="C184" s="2" t="s">
        <v>362</v>
      </c>
      <c r="D184" s="32">
        <v>11045164</v>
      </c>
      <c r="E184" s="32">
        <v>5520</v>
      </c>
      <c r="F184" s="32"/>
      <c r="G184" s="32"/>
      <c r="H184" s="32"/>
      <c r="I184" s="32"/>
      <c r="J184" s="38" t="s">
        <v>337</v>
      </c>
      <c r="K184" s="2" t="s">
        <v>338</v>
      </c>
      <c r="L184" t="s">
        <v>361</v>
      </c>
      <c r="M184" t="s">
        <v>362</v>
      </c>
      <c r="N184" t="b">
        <f t="shared" si="2"/>
        <v>1</v>
      </c>
    </row>
    <row r="185" spans="2:14" ht="14.45" customHeight="1">
      <c r="B185" s="37" t="s">
        <v>363</v>
      </c>
      <c r="C185" s="2" t="s">
        <v>364</v>
      </c>
      <c r="D185" s="32">
        <v>4258388</v>
      </c>
      <c r="E185" s="32">
        <v>0</v>
      </c>
      <c r="F185" s="32"/>
      <c r="G185" s="32"/>
      <c r="H185" s="32"/>
      <c r="I185" s="32"/>
      <c r="J185" s="38" t="s">
        <v>337</v>
      </c>
      <c r="K185" s="2" t="s">
        <v>338</v>
      </c>
      <c r="L185" t="s">
        <v>363</v>
      </c>
      <c r="M185" t="s">
        <v>364</v>
      </c>
      <c r="N185" t="b">
        <f t="shared" si="2"/>
        <v>1</v>
      </c>
    </row>
    <row r="186" spans="2:14" ht="14.45" customHeight="1">
      <c r="B186" s="37" t="s">
        <v>365</v>
      </c>
      <c r="C186" s="2" t="s">
        <v>366</v>
      </c>
      <c r="D186" s="32">
        <v>3627783613</v>
      </c>
      <c r="E186" s="32">
        <v>0</v>
      </c>
      <c r="F186" s="32"/>
      <c r="G186" s="32"/>
      <c r="H186" s="32"/>
      <c r="I186" s="32"/>
      <c r="J186" s="38" t="s">
        <v>337</v>
      </c>
      <c r="K186" s="2" t="s">
        <v>338</v>
      </c>
      <c r="L186" t="s">
        <v>365</v>
      </c>
      <c r="M186" t="s">
        <v>366</v>
      </c>
      <c r="N186" t="b">
        <f t="shared" si="2"/>
        <v>1</v>
      </c>
    </row>
    <row r="187" spans="2:14" ht="14.45" customHeight="1">
      <c r="B187" s="37" t="s">
        <v>367</v>
      </c>
      <c r="C187" s="2" t="s">
        <v>368</v>
      </c>
      <c r="D187" s="32">
        <v>0</v>
      </c>
      <c r="E187" s="32">
        <v>0</v>
      </c>
      <c r="F187" s="32"/>
      <c r="G187" s="32"/>
      <c r="H187" s="32"/>
      <c r="I187" s="32"/>
      <c r="J187" s="38" t="s">
        <v>337</v>
      </c>
      <c r="K187" s="2" t="s">
        <v>338</v>
      </c>
      <c r="L187" t="s">
        <v>367</v>
      </c>
      <c r="M187" t="s">
        <v>368</v>
      </c>
      <c r="N187" t="b">
        <f t="shared" si="2"/>
        <v>1</v>
      </c>
    </row>
    <row r="188" spans="2:14" ht="14.45" customHeight="1">
      <c r="B188" s="37" t="s">
        <v>369</v>
      </c>
      <c r="C188" s="2" t="s">
        <v>370</v>
      </c>
      <c r="D188" s="32">
        <v>87048410</v>
      </c>
      <c r="E188" s="32">
        <v>0</v>
      </c>
      <c r="F188" s="32"/>
      <c r="G188" s="32"/>
      <c r="H188" s="32"/>
      <c r="I188" s="32"/>
      <c r="J188" s="38" t="s">
        <v>337</v>
      </c>
      <c r="K188" s="2" t="s">
        <v>338</v>
      </c>
      <c r="L188" t="s">
        <v>369</v>
      </c>
      <c r="M188" t="s">
        <v>370</v>
      </c>
      <c r="N188" t="b">
        <f t="shared" si="2"/>
        <v>1</v>
      </c>
    </row>
    <row r="189" spans="2:14" ht="14.45" customHeight="1">
      <c r="B189" s="37" t="s">
        <v>371</v>
      </c>
      <c r="C189" s="2" t="s">
        <v>372</v>
      </c>
      <c r="D189" s="32">
        <v>0</v>
      </c>
      <c r="E189" s="32">
        <v>0</v>
      </c>
      <c r="F189" s="32"/>
      <c r="G189" s="32"/>
      <c r="H189" s="32"/>
      <c r="I189" s="32"/>
      <c r="J189" s="38" t="s">
        <v>337</v>
      </c>
      <c r="K189" s="2" t="s">
        <v>338</v>
      </c>
      <c r="L189" t="s">
        <v>371</v>
      </c>
      <c r="M189" t="s">
        <v>372</v>
      </c>
      <c r="N189" t="b">
        <f t="shared" si="2"/>
        <v>1</v>
      </c>
    </row>
    <row r="190" spans="2:14" ht="14.45" customHeight="1">
      <c r="B190" s="37" t="s">
        <v>373</v>
      </c>
      <c r="C190" s="2" t="s">
        <v>374</v>
      </c>
      <c r="D190" s="32">
        <v>10974599</v>
      </c>
      <c r="E190" s="32">
        <v>0</v>
      </c>
      <c r="F190" s="32"/>
      <c r="G190" s="32"/>
      <c r="H190" s="32"/>
      <c r="I190" s="32"/>
      <c r="J190" s="38" t="s">
        <v>337</v>
      </c>
      <c r="K190" s="2" t="s">
        <v>338</v>
      </c>
      <c r="L190" t="s">
        <v>373</v>
      </c>
      <c r="M190" t="s">
        <v>374</v>
      </c>
      <c r="N190" t="b">
        <f t="shared" si="2"/>
        <v>1</v>
      </c>
    </row>
    <row r="191" spans="2:14" ht="14.45" customHeight="1">
      <c r="B191" s="37" t="s">
        <v>375</v>
      </c>
      <c r="C191" s="2" t="s">
        <v>376</v>
      </c>
      <c r="D191" s="32">
        <v>8119905</v>
      </c>
      <c r="E191" s="32">
        <v>0</v>
      </c>
      <c r="F191" s="32"/>
      <c r="G191" s="32"/>
      <c r="H191" s="32"/>
      <c r="I191" s="32"/>
      <c r="J191" s="38" t="s">
        <v>337</v>
      </c>
      <c r="K191" s="2" t="s">
        <v>338</v>
      </c>
      <c r="L191" t="s">
        <v>375</v>
      </c>
      <c r="M191" t="s">
        <v>376</v>
      </c>
      <c r="N191" t="b">
        <f t="shared" si="2"/>
        <v>1</v>
      </c>
    </row>
    <row r="192" spans="2:14" ht="14.45" customHeight="1">
      <c r="B192" s="37" t="s">
        <v>377</v>
      </c>
      <c r="C192" s="2" t="s">
        <v>378</v>
      </c>
      <c r="D192" s="32">
        <v>34153580</v>
      </c>
      <c r="E192" s="32">
        <v>30251</v>
      </c>
      <c r="F192" s="32"/>
      <c r="G192" s="32"/>
      <c r="H192" s="32"/>
      <c r="I192" s="32"/>
      <c r="J192" s="38" t="s">
        <v>337</v>
      </c>
      <c r="K192" s="2" t="s">
        <v>338</v>
      </c>
      <c r="L192" t="s">
        <v>377</v>
      </c>
      <c r="M192" t="s">
        <v>378</v>
      </c>
      <c r="N192" t="b">
        <f t="shared" si="2"/>
        <v>1</v>
      </c>
    </row>
    <row r="193" spans="2:14" ht="14.45" customHeight="1">
      <c r="B193" s="37" t="s">
        <v>379</v>
      </c>
      <c r="C193" s="2" t="s">
        <v>380</v>
      </c>
      <c r="D193" s="32">
        <v>0</v>
      </c>
      <c r="E193" s="32">
        <v>0</v>
      </c>
      <c r="F193" s="32"/>
      <c r="G193" s="32"/>
      <c r="H193" s="32"/>
      <c r="I193" s="32"/>
      <c r="J193" s="38" t="s">
        <v>337</v>
      </c>
      <c r="K193" s="2" t="s">
        <v>338</v>
      </c>
      <c r="L193" t="s">
        <v>379</v>
      </c>
      <c r="M193" t="s">
        <v>380</v>
      </c>
      <c r="N193" t="b">
        <f t="shared" si="2"/>
        <v>1</v>
      </c>
    </row>
    <row r="194" spans="2:14" ht="14.45" customHeight="1">
      <c r="B194" s="37" t="s">
        <v>381</v>
      </c>
      <c r="C194" s="2" t="s">
        <v>382</v>
      </c>
      <c r="D194" s="32">
        <v>848422614</v>
      </c>
      <c r="E194" s="32">
        <v>5</v>
      </c>
      <c r="F194" s="32"/>
      <c r="G194" s="32"/>
      <c r="H194" s="32"/>
      <c r="I194" s="32"/>
      <c r="J194" s="38" t="s">
        <v>337</v>
      </c>
      <c r="K194" s="2" t="s">
        <v>338</v>
      </c>
      <c r="L194" t="s">
        <v>381</v>
      </c>
      <c r="M194" t="s">
        <v>382</v>
      </c>
      <c r="N194" t="b">
        <f t="shared" si="2"/>
        <v>1</v>
      </c>
    </row>
    <row r="195" spans="2:14" ht="14.45" customHeight="1">
      <c r="B195" s="37" t="s">
        <v>383</v>
      </c>
      <c r="C195" s="2" t="s">
        <v>384</v>
      </c>
      <c r="D195" s="32">
        <v>0</v>
      </c>
      <c r="E195" s="32">
        <v>0</v>
      </c>
      <c r="F195" s="32"/>
      <c r="G195" s="32"/>
      <c r="H195" s="32"/>
      <c r="I195" s="32"/>
      <c r="J195" s="38" t="s">
        <v>337</v>
      </c>
      <c r="K195" s="2" t="s">
        <v>338</v>
      </c>
      <c r="L195" t="s">
        <v>383</v>
      </c>
      <c r="M195" t="s">
        <v>384</v>
      </c>
      <c r="N195" t="b">
        <f t="shared" si="2"/>
        <v>1</v>
      </c>
    </row>
    <row r="196" spans="2:14" ht="14.45" customHeight="1">
      <c r="B196" s="37" t="s">
        <v>385</v>
      </c>
      <c r="C196" s="2" t="s">
        <v>386</v>
      </c>
      <c r="D196" s="32">
        <v>351347323</v>
      </c>
      <c r="E196" s="32">
        <v>2400</v>
      </c>
      <c r="F196" s="32"/>
      <c r="G196" s="32"/>
      <c r="H196" s="32"/>
      <c r="I196" s="32"/>
      <c r="J196" s="38" t="s">
        <v>337</v>
      </c>
      <c r="K196" s="2" t="s">
        <v>338</v>
      </c>
      <c r="L196" t="s">
        <v>385</v>
      </c>
      <c r="M196" t="s">
        <v>386</v>
      </c>
      <c r="N196" t="b">
        <f t="shared" si="2"/>
        <v>1</v>
      </c>
    </row>
    <row r="197" spans="2:14" ht="14.45" customHeight="1">
      <c r="B197" s="37" t="s">
        <v>387</v>
      </c>
      <c r="C197" s="2" t="s">
        <v>388</v>
      </c>
      <c r="D197" s="32">
        <v>0</v>
      </c>
      <c r="E197" s="32">
        <v>0</v>
      </c>
      <c r="F197" s="32"/>
      <c r="G197" s="32"/>
      <c r="H197" s="32"/>
      <c r="I197" s="32"/>
      <c r="J197" s="38" t="s">
        <v>337</v>
      </c>
      <c r="K197" s="2" t="s">
        <v>338</v>
      </c>
      <c r="L197" t="s">
        <v>387</v>
      </c>
      <c r="M197" t="s">
        <v>388</v>
      </c>
      <c r="N197" t="b">
        <f t="shared" si="2"/>
        <v>1</v>
      </c>
    </row>
    <row r="198" spans="2:14" ht="14.45" customHeight="1">
      <c r="B198" s="37" t="s">
        <v>389</v>
      </c>
      <c r="C198" s="2" t="s">
        <v>390</v>
      </c>
      <c r="D198" s="32">
        <v>-180015648</v>
      </c>
      <c r="E198" s="32">
        <v>0</v>
      </c>
      <c r="F198" s="32"/>
      <c r="G198" s="32"/>
      <c r="H198" s="32"/>
      <c r="I198" s="32"/>
      <c r="J198" s="38" t="s">
        <v>337</v>
      </c>
      <c r="K198" s="2" t="s">
        <v>338</v>
      </c>
      <c r="L198" t="s">
        <v>389</v>
      </c>
      <c r="M198" t="s">
        <v>390</v>
      </c>
      <c r="N198" t="b">
        <f t="shared" si="2"/>
        <v>1</v>
      </c>
    </row>
    <row r="199" spans="2:14" ht="14.45" customHeight="1">
      <c r="B199" s="37" t="s">
        <v>391</v>
      </c>
      <c r="C199" s="2" t="s">
        <v>392</v>
      </c>
      <c r="D199" s="32">
        <v>12374900</v>
      </c>
      <c r="E199" s="32">
        <v>0</v>
      </c>
      <c r="F199" s="32"/>
      <c r="G199" s="32"/>
      <c r="H199" s="32"/>
      <c r="I199" s="32"/>
      <c r="J199" s="38" t="s">
        <v>337</v>
      </c>
      <c r="K199" s="2" t="s">
        <v>338</v>
      </c>
      <c r="L199" t="s">
        <v>391</v>
      </c>
      <c r="M199" t="s">
        <v>392</v>
      </c>
      <c r="N199" t="b">
        <f t="shared" si="2"/>
        <v>1</v>
      </c>
    </row>
    <row r="200" spans="2:14" ht="14.45" customHeight="1">
      <c r="B200" s="37" t="s">
        <v>393</v>
      </c>
      <c r="C200" s="2" t="s">
        <v>394</v>
      </c>
      <c r="D200" s="32">
        <v>0</v>
      </c>
      <c r="E200" s="32">
        <v>0</v>
      </c>
      <c r="F200" s="32"/>
      <c r="G200" s="32"/>
      <c r="H200" s="32"/>
      <c r="I200" s="32"/>
      <c r="J200" s="38" t="s">
        <v>337</v>
      </c>
      <c r="K200" s="2" t="s">
        <v>338</v>
      </c>
      <c r="L200" t="s">
        <v>393</v>
      </c>
      <c r="M200" t="s">
        <v>394</v>
      </c>
      <c r="N200" t="b">
        <f t="shared" si="2"/>
        <v>1</v>
      </c>
    </row>
    <row r="201" spans="2:14" ht="14.45" customHeight="1">
      <c r="B201" s="37" t="s">
        <v>395</v>
      </c>
      <c r="C201" s="2" t="s">
        <v>396</v>
      </c>
      <c r="D201" s="32">
        <v>83718565</v>
      </c>
      <c r="E201" s="32">
        <v>0</v>
      </c>
      <c r="F201" s="32"/>
      <c r="G201" s="32"/>
      <c r="H201" s="32"/>
      <c r="I201" s="32"/>
      <c r="J201" s="38" t="s">
        <v>337</v>
      </c>
      <c r="K201" s="2" t="s">
        <v>338</v>
      </c>
      <c r="L201" t="s">
        <v>395</v>
      </c>
      <c r="M201" t="s">
        <v>396</v>
      </c>
      <c r="N201" t="b">
        <f t="shared" si="2"/>
        <v>1</v>
      </c>
    </row>
    <row r="202" spans="2:14" ht="14.45" customHeight="1">
      <c r="B202" s="37" t="s">
        <v>397</v>
      </c>
      <c r="C202" s="2" t="s">
        <v>398</v>
      </c>
      <c r="D202" s="32">
        <v>0</v>
      </c>
      <c r="E202" s="32">
        <v>41</v>
      </c>
      <c r="F202" s="32"/>
      <c r="G202" s="32"/>
      <c r="H202" s="32"/>
      <c r="I202" s="32"/>
      <c r="J202" s="38" t="s">
        <v>337</v>
      </c>
      <c r="K202" s="2" t="s">
        <v>338</v>
      </c>
      <c r="L202" t="s">
        <v>397</v>
      </c>
      <c r="M202" t="s">
        <v>398</v>
      </c>
      <c r="N202" t="b">
        <f t="shared" si="2"/>
        <v>1</v>
      </c>
    </row>
    <row r="203" spans="2:14" ht="14.45" customHeight="1">
      <c r="B203" s="37" t="s">
        <v>399</v>
      </c>
      <c r="C203" s="2" t="s">
        <v>400</v>
      </c>
      <c r="D203" s="32">
        <v>0</v>
      </c>
      <c r="E203" s="32">
        <v>0</v>
      </c>
      <c r="F203" s="32"/>
      <c r="G203" s="32"/>
      <c r="H203" s="32"/>
      <c r="I203" s="32"/>
      <c r="J203" s="38" t="s">
        <v>337</v>
      </c>
      <c r="K203" s="2" t="s">
        <v>338</v>
      </c>
      <c r="L203" t="s">
        <v>399</v>
      </c>
      <c r="M203" t="s">
        <v>400</v>
      </c>
      <c r="N203" t="b">
        <f t="shared" ref="N203:N257" si="3">L203=B203</f>
        <v>1</v>
      </c>
    </row>
    <row r="204" spans="2:14" ht="14.45" customHeight="1">
      <c r="B204" s="37" t="s">
        <v>861</v>
      </c>
      <c r="C204" s="2" t="s">
        <v>862</v>
      </c>
      <c r="D204" s="32">
        <v>5258200</v>
      </c>
      <c r="E204" s="32">
        <v>0</v>
      </c>
      <c r="F204" s="32"/>
      <c r="G204" s="32"/>
      <c r="H204" s="32"/>
      <c r="I204" s="32"/>
      <c r="J204" s="38" t="s">
        <v>337</v>
      </c>
      <c r="K204" s="2" t="s">
        <v>338</v>
      </c>
      <c r="L204" t="s">
        <v>861</v>
      </c>
      <c r="M204" t="s">
        <v>862</v>
      </c>
      <c r="N204" t="b">
        <f t="shared" si="3"/>
        <v>1</v>
      </c>
    </row>
    <row r="205" spans="2:14" ht="14.45" customHeight="1">
      <c r="B205" s="29" t="s">
        <v>306</v>
      </c>
      <c r="C205" s="30" t="s">
        <v>401</v>
      </c>
      <c r="D205" s="31">
        <v>10034574872.000008</v>
      </c>
      <c r="E205" s="31">
        <v>-91446</v>
      </c>
      <c r="F205" s="31"/>
      <c r="G205" s="31"/>
      <c r="H205" s="31"/>
      <c r="I205" s="32"/>
      <c r="J205" s="38" t="s">
        <v>66</v>
      </c>
      <c r="K205" s="2" t="s">
        <v>66</v>
      </c>
      <c r="L205" t="s">
        <v>306</v>
      </c>
      <c r="M205" t="s">
        <v>401</v>
      </c>
      <c r="N205" t="b">
        <f t="shared" si="3"/>
        <v>1</v>
      </c>
    </row>
    <row r="206" spans="2:14" ht="14.45" customHeight="1">
      <c r="B206" s="29" t="s">
        <v>306</v>
      </c>
      <c r="C206" s="30" t="s">
        <v>402</v>
      </c>
      <c r="D206" s="31">
        <v>16812064360</v>
      </c>
      <c r="E206" s="31">
        <v>0</v>
      </c>
      <c r="F206" s="31"/>
      <c r="G206" s="31"/>
      <c r="H206" s="31"/>
      <c r="I206" s="32"/>
      <c r="J206" s="38" t="s">
        <v>66</v>
      </c>
      <c r="K206" s="2" t="s">
        <v>66</v>
      </c>
      <c r="L206" t="s">
        <v>306</v>
      </c>
      <c r="M206" t="s">
        <v>402</v>
      </c>
      <c r="N206" t="b">
        <f t="shared" si="3"/>
        <v>1</v>
      </c>
    </row>
    <row r="207" spans="2:14" ht="14.45" customHeight="1">
      <c r="B207" s="37" t="s">
        <v>403</v>
      </c>
      <c r="C207" s="2" t="s">
        <v>404</v>
      </c>
      <c r="D207" s="32">
        <v>0</v>
      </c>
      <c r="E207" s="32">
        <v>0</v>
      </c>
      <c r="F207" s="32"/>
      <c r="G207" s="32"/>
      <c r="H207" s="32"/>
      <c r="I207" s="32"/>
      <c r="J207" s="38" t="s">
        <v>405</v>
      </c>
      <c r="K207" s="2" t="s">
        <v>406</v>
      </c>
      <c r="L207" t="s">
        <v>403</v>
      </c>
      <c r="M207" t="s">
        <v>404</v>
      </c>
      <c r="N207" t="b">
        <f t="shared" si="3"/>
        <v>1</v>
      </c>
    </row>
    <row r="208" spans="2:14" ht="14.45" customHeight="1">
      <c r="B208" s="37" t="s">
        <v>407</v>
      </c>
      <c r="C208" s="2" t="s">
        <v>408</v>
      </c>
      <c r="D208" s="32">
        <v>489050671</v>
      </c>
      <c r="E208" s="32">
        <v>0</v>
      </c>
      <c r="F208" s="32"/>
      <c r="G208" s="32"/>
      <c r="H208" s="32"/>
      <c r="I208" s="32"/>
      <c r="J208" s="38" t="s">
        <v>405</v>
      </c>
      <c r="K208" s="2" t="s">
        <v>406</v>
      </c>
      <c r="L208" t="s">
        <v>407</v>
      </c>
      <c r="M208" t="s">
        <v>408</v>
      </c>
      <c r="N208" t="b">
        <f t="shared" si="3"/>
        <v>1</v>
      </c>
    </row>
    <row r="209" spans="2:14" ht="14.45" customHeight="1">
      <c r="B209" s="37" t="s">
        <v>409</v>
      </c>
      <c r="C209" s="2" t="s">
        <v>410</v>
      </c>
      <c r="D209" s="32">
        <v>3166333</v>
      </c>
      <c r="E209" s="32">
        <v>0</v>
      </c>
      <c r="F209" s="32"/>
      <c r="G209" s="32"/>
      <c r="H209" s="32"/>
      <c r="I209" s="32"/>
      <c r="J209" s="38" t="s">
        <v>405</v>
      </c>
      <c r="K209" s="2" t="s">
        <v>406</v>
      </c>
      <c r="L209" t="s">
        <v>409</v>
      </c>
      <c r="M209" t="s">
        <v>410</v>
      </c>
      <c r="N209" t="b">
        <f t="shared" si="3"/>
        <v>1</v>
      </c>
    </row>
    <row r="210" spans="2:14" ht="14.45" customHeight="1">
      <c r="B210" s="37" t="s">
        <v>411</v>
      </c>
      <c r="C210" s="2" t="s">
        <v>524</v>
      </c>
      <c r="D210" s="32">
        <v>0</v>
      </c>
      <c r="E210" s="32">
        <v>0</v>
      </c>
      <c r="F210" s="32"/>
      <c r="G210" s="32"/>
      <c r="H210" s="32"/>
      <c r="I210" s="32"/>
      <c r="J210" s="38" t="s">
        <v>405</v>
      </c>
      <c r="K210" s="2" t="s">
        <v>406</v>
      </c>
      <c r="L210" t="s">
        <v>411</v>
      </c>
      <c r="M210" t="s">
        <v>524</v>
      </c>
      <c r="N210" t="b">
        <f t="shared" si="3"/>
        <v>1</v>
      </c>
    </row>
    <row r="211" spans="2:14" ht="14.45" customHeight="1">
      <c r="B211" s="37" t="s">
        <v>412</v>
      </c>
      <c r="C211" s="2" t="s">
        <v>413</v>
      </c>
      <c r="D211" s="32">
        <v>16291404045</v>
      </c>
      <c r="E211" s="32">
        <v>0</v>
      </c>
      <c r="F211" s="32"/>
      <c r="G211" s="32"/>
      <c r="H211" s="32"/>
      <c r="I211" s="32"/>
      <c r="J211" s="38" t="s">
        <v>405</v>
      </c>
      <c r="K211" s="2" t="s">
        <v>406</v>
      </c>
      <c r="L211" t="s">
        <v>412</v>
      </c>
      <c r="M211" t="s">
        <v>413</v>
      </c>
      <c r="N211" t="b">
        <f t="shared" si="3"/>
        <v>1</v>
      </c>
    </row>
    <row r="212" spans="2:14" ht="14.45" customHeight="1">
      <c r="B212" s="37" t="s">
        <v>414</v>
      </c>
      <c r="C212" s="2" t="s">
        <v>415</v>
      </c>
      <c r="D212" s="32">
        <v>0</v>
      </c>
      <c r="E212" s="32">
        <v>0</v>
      </c>
      <c r="F212" s="32"/>
      <c r="G212" s="32"/>
      <c r="H212" s="32"/>
      <c r="I212" s="32"/>
      <c r="J212" s="38" t="s">
        <v>416</v>
      </c>
      <c r="K212" s="2" t="s">
        <v>417</v>
      </c>
      <c r="L212" t="s">
        <v>414</v>
      </c>
      <c r="M212" t="s">
        <v>415</v>
      </c>
      <c r="N212" t="b">
        <f t="shared" si="3"/>
        <v>1</v>
      </c>
    </row>
    <row r="213" spans="2:14" ht="14.45" customHeight="1">
      <c r="B213" s="37" t="s">
        <v>418</v>
      </c>
      <c r="C213" s="2" t="s">
        <v>419</v>
      </c>
      <c r="D213" s="32">
        <v>24495311</v>
      </c>
      <c r="E213" s="32">
        <v>0</v>
      </c>
      <c r="F213" s="32"/>
      <c r="G213" s="32"/>
      <c r="H213" s="32"/>
      <c r="I213" s="32"/>
      <c r="J213" s="38" t="s">
        <v>405</v>
      </c>
      <c r="K213" s="2" t="s">
        <v>406</v>
      </c>
      <c r="L213" t="s">
        <v>418</v>
      </c>
      <c r="M213" t="s">
        <v>419</v>
      </c>
      <c r="N213" t="b">
        <f t="shared" si="3"/>
        <v>1</v>
      </c>
    </row>
    <row r="214" spans="2:14" ht="14.45" customHeight="1">
      <c r="B214" s="37" t="s">
        <v>863</v>
      </c>
      <c r="C214" s="2" t="s">
        <v>864</v>
      </c>
      <c r="D214" s="32">
        <v>3948000</v>
      </c>
      <c r="E214" s="32">
        <v>0</v>
      </c>
      <c r="F214" s="32"/>
      <c r="G214" s="32"/>
      <c r="H214" s="32"/>
      <c r="I214" s="32"/>
      <c r="J214" s="38" t="s">
        <v>405</v>
      </c>
      <c r="K214" s="2" t="s">
        <v>406</v>
      </c>
      <c r="L214" t="s">
        <v>863</v>
      </c>
      <c r="M214" t="s">
        <v>864</v>
      </c>
      <c r="N214" t="b">
        <f t="shared" si="3"/>
        <v>1</v>
      </c>
    </row>
    <row r="215" spans="2:14" ht="14.45" customHeight="1">
      <c r="B215" s="37"/>
      <c r="C215" s="2"/>
      <c r="D215" s="32"/>
      <c r="E215" s="32">
        <v>0</v>
      </c>
      <c r="F215" s="32"/>
      <c r="G215" s="32"/>
      <c r="H215" s="32"/>
      <c r="I215" s="32"/>
      <c r="J215" s="38" t="s">
        <v>66</v>
      </c>
      <c r="K215" s="2" t="s">
        <v>66</v>
      </c>
      <c r="N215" t="b">
        <f t="shared" si="3"/>
        <v>1</v>
      </c>
    </row>
    <row r="216" spans="2:14" ht="14.45" customHeight="1">
      <c r="B216" s="29" t="s">
        <v>306</v>
      </c>
      <c r="C216" s="30" t="s">
        <v>420</v>
      </c>
      <c r="D216" s="31">
        <v>270943907</v>
      </c>
      <c r="E216" s="31">
        <v>0</v>
      </c>
      <c r="F216" s="31"/>
      <c r="G216" s="31"/>
      <c r="H216" s="31"/>
      <c r="I216" s="32"/>
      <c r="J216" s="38" t="s">
        <v>66</v>
      </c>
      <c r="K216" s="2" t="s">
        <v>66</v>
      </c>
      <c r="L216" t="s">
        <v>306</v>
      </c>
      <c r="M216" t="s">
        <v>420</v>
      </c>
      <c r="N216" t="b">
        <f t="shared" si="3"/>
        <v>1</v>
      </c>
    </row>
    <row r="217" spans="2:14" ht="14.45" customHeight="1">
      <c r="B217" s="37" t="s">
        <v>421</v>
      </c>
      <c r="C217" s="2" t="s">
        <v>422</v>
      </c>
      <c r="D217" s="32">
        <v>0</v>
      </c>
      <c r="E217" s="32">
        <v>0</v>
      </c>
      <c r="F217" s="32"/>
      <c r="G217" s="32"/>
      <c r="H217" s="32"/>
      <c r="I217" s="32"/>
      <c r="J217" s="38" t="s">
        <v>423</v>
      </c>
      <c r="K217" s="2" t="s">
        <v>424</v>
      </c>
      <c r="L217" t="s">
        <v>421</v>
      </c>
      <c r="M217" t="s">
        <v>422</v>
      </c>
      <c r="N217" t="b">
        <f t="shared" si="3"/>
        <v>1</v>
      </c>
    </row>
    <row r="218" spans="2:14" ht="14.45" customHeight="1">
      <c r="B218" s="37" t="s">
        <v>425</v>
      </c>
      <c r="C218" s="2" t="s">
        <v>426</v>
      </c>
      <c r="D218" s="32">
        <v>93430125</v>
      </c>
      <c r="E218" s="32">
        <v>0</v>
      </c>
      <c r="F218" s="32"/>
      <c r="G218" s="32"/>
      <c r="H218" s="32"/>
      <c r="I218" s="32"/>
      <c r="J218" s="38" t="s">
        <v>423</v>
      </c>
      <c r="K218" s="2" t="s">
        <v>424</v>
      </c>
      <c r="L218" t="s">
        <v>425</v>
      </c>
      <c r="M218" t="s">
        <v>426</v>
      </c>
      <c r="N218" t="b">
        <f t="shared" si="3"/>
        <v>1</v>
      </c>
    </row>
    <row r="219" spans="2:14" ht="14.45" customHeight="1">
      <c r="B219" s="37" t="s">
        <v>865</v>
      </c>
      <c r="C219" s="2" t="s">
        <v>866</v>
      </c>
      <c r="D219" s="32">
        <v>6720000</v>
      </c>
      <c r="E219" s="32">
        <v>0</v>
      </c>
      <c r="F219" s="32"/>
      <c r="G219" s="32"/>
      <c r="H219" s="32"/>
      <c r="I219" s="32"/>
      <c r="J219" s="38" t="s">
        <v>423</v>
      </c>
      <c r="K219" s="2" t="s">
        <v>424</v>
      </c>
      <c r="L219" t="s">
        <v>865</v>
      </c>
      <c r="M219" t="s">
        <v>866</v>
      </c>
      <c r="N219" t="b">
        <f t="shared" si="3"/>
        <v>1</v>
      </c>
    </row>
    <row r="220" spans="2:14" ht="14.45" customHeight="1">
      <c r="B220" s="45" t="s">
        <v>427</v>
      </c>
      <c r="C220" s="2" t="s">
        <v>428</v>
      </c>
      <c r="D220" s="32">
        <v>125942885</v>
      </c>
      <c r="E220" s="32">
        <v>0</v>
      </c>
      <c r="F220" s="32"/>
      <c r="G220" s="32"/>
      <c r="H220" s="32"/>
      <c r="I220" s="32"/>
      <c r="J220" s="38" t="s">
        <v>423</v>
      </c>
      <c r="K220" s="2" t="s">
        <v>424</v>
      </c>
      <c r="L220" t="s">
        <v>427</v>
      </c>
      <c r="M220" t="s">
        <v>428</v>
      </c>
      <c r="N220" t="b">
        <f t="shared" si="3"/>
        <v>1</v>
      </c>
    </row>
    <row r="221" spans="2:14" ht="14.45" customHeight="1">
      <c r="B221" s="45" t="s">
        <v>429</v>
      </c>
      <c r="C221" s="2" t="s">
        <v>430</v>
      </c>
      <c r="D221" s="32">
        <v>0</v>
      </c>
      <c r="E221" s="32">
        <v>0</v>
      </c>
      <c r="F221" s="32"/>
      <c r="G221" s="32"/>
      <c r="H221" s="32"/>
      <c r="I221" s="32"/>
      <c r="J221" s="38" t="s">
        <v>416</v>
      </c>
      <c r="K221" s="2" t="s">
        <v>417</v>
      </c>
      <c r="L221" t="s">
        <v>429</v>
      </c>
      <c r="M221" t="s">
        <v>430</v>
      </c>
      <c r="N221" t="b">
        <f t="shared" si="3"/>
        <v>1</v>
      </c>
    </row>
    <row r="222" spans="2:14" ht="14.45" customHeight="1">
      <c r="B222" s="37" t="s">
        <v>431</v>
      </c>
      <c r="C222" s="2" t="s">
        <v>432</v>
      </c>
      <c r="D222" s="32">
        <v>0</v>
      </c>
      <c r="E222" s="32">
        <v>0</v>
      </c>
      <c r="F222" s="32"/>
      <c r="G222" s="32"/>
      <c r="H222" s="32"/>
      <c r="I222" s="32"/>
      <c r="J222" s="38" t="s">
        <v>423</v>
      </c>
      <c r="K222" s="2" t="s">
        <v>424</v>
      </c>
      <c r="L222" t="s">
        <v>431</v>
      </c>
      <c r="M222" t="s">
        <v>432</v>
      </c>
      <c r="N222" t="b">
        <f t="shared" si="3"/>
        <v>1</v>
      </c>
    </row>
    <row r="223" spans="2:14" ht="14.45" customHeight="1">
      <c r="B223" s="37" t="s">
        <v>433</v>
      </c>
      <c r="C223" s="2" t="s">
        <v>434</v>
      </c>
      <c r="D223" s="32">
        <v>0</v>
      </c>
      <c r="E223" s="32">
        <v>0</v>
      </c>
      <c r="F223" s="32"/>
      <c r="G223" s="32"/>
      <c r="H223" s="32"/>
      <c r="I223" s="32"/>
      <c r="J223" s="38" t="s">
        <v>423</v>
      </c>
      <c r="K223" s="2" t="s">
        <v>424</v>
      </c>
      <c r="L223" t="s">
        <v>433</v>
      </c>
      <c r="M223" t="s">
        <v>434</v>
      </c>
      <c r="N223" t="b">
        <f t="shared" si="3"/>
        <v>1</v>
      </c>
    </row>
    <row r="224" spans="2:14" ht="14.45" customHeight="1">
      <c r="B224" s="37" t="s">
        <v>435</v>
      </c>
      <c r="C224" s="2" t="s">
        <v>436</v>
      </c>
      <c r="D224" s="32">
        <v>20320000</v>
      </c>
      <c r="E224" s="32">
        <v>0</v>
      </c>
      <c r="F224" s="32"/>
      <c r="G224" s="32"/>
      <c r="H224" s="32"/>
      <c r="I224" s="32"/>
      <c r="J224" s="38" t="s">
        <v>423</v>
      </c>
      <c r="K224" s="2" t="s">
        <v>424</v>
      </c>
      <c r="L224" t="s">
        <v>435</v>
      </c>
      <c r="M224" t="s">
        <v>436</v>
      </c>
      <c r="N224" t="b">
        <f t="shared" si="3"/>
        <v>1</v>
      </c>
    </row>
    <row r="225" spans="2:14" ht="14.45" customHeight="1">
      <c r="B225" s="37" t="s">
        <v>437</v>
      </c>
      <c r="C225" s="2" t="s">
        <v>438</v>
      </c>
      <c r="D225" s="32">
        <v>24530897</v>
      </c>
      <c r="E225" s="32">
        <v>0</v>
      </c>
      <c r="F225" s="32"/>
      <c r="G225" s="32"/>
      <c r="H225" s="32"/>
      <c r="I225" s="32"/>
      <c r="J225" s="38" t="s">
        <v>423</v>
      </c>
      <c r="K225" s="2" t="s">
        <v>424</v>
      </c>
      <c r="L225" t="s">
        <v>437</v>
      </c>
      <c r="M225" t="s">
        <v>438</v>
      </c>
      <c r="N225" t="b">
        <f t="shared" si="3"/>
        <v>1</v>
      </c>
    </row>
    <row r="226" spans="2:14" ht="14.45" customHeight="1">
      <c r="B226" s="37"/>
      <c r="C226" s="2"/>
      <c r="D226" s="32"/>
      <c r="E226" s="32">
        <v>0</v>
      </c>
      <c r="F226" s="32"/>
      <c r="G226" s="32"/>
      <c r="H226" s="32"/>
      <c r="I226" s="32"/>
      <c r="J226" s="38" t="s">
        <v>66</v>
      </c>
      <c r="K226" s="2" t="s">
        <v>66</v>
      </c>
      <c r="N226" t="b">
        <f t="shared" si="3"/>
        <v>1</v>
      </c>
    </row>
    <row r="227" spans="2:14" ht="14.45" customHeight="1">
      <c r="B227" s="29" t="s">
        <v>306</v>
      </c>
      <c r="C227" s="30" t="s">
        <v>439</v>
      </c>
      <c r="D227" s="31">
        <v>43830238</v>
      </c>
      <c r="E227" s="31">
        <v>0</v>
      </c>
      <c r="F227" s="31"/>
      <c r="G227" s="31"/>
      <c r="H227" s="31"/>
      <c r="I227" s="32"/>
      <c r="J227" s="38" t="s">
        <v>66</v>
      </c>
      <c r="K227" s="2" t="s">
        <v>66</v>
      </c>
      <c r="L227" t="s">
        <v>306</v>
      </c>
      <c r="M227" t="s">
        <v>439</v>
      </c>
      <c r="N227" t="b">
        <f t="shared" si="3"/>
        <v>1</v>
      </c>
    </row>
    <row r="228" spans="2:14" ht="14.45" customHeight="1">
      <c r="B228" s="37" t="s">
        <v>440</v>
      </c>
      <c r="C228" s="2" t="s">
        <v>441</v>
      </c>
      <c r="D228" s="32">
        <v>43830238</v>
      </c>
      <c r="E228" s="32">
        <v>0</v>
      </c>
      <c r="F228" s="32"/>
      <c r="G228" s="32"/>
      <c r="H228" s="32"/>
      <c r="I228" s="32"/>
      <c r="J228" s="38" t="s">
        <v>442</v>
      </c>
      <c r="K228" s="2" t="s">
        <v>443</v>
      </c>
      <c r="L228" t="s">
        <v>440</v>
      </c>
      <c r="M228" t="s">
        <v>441</v>
      </c>
      <c r="N228" t="b">
        <f t="shared" si="3"/>
        <v>1</v>
      </c>
    </row>
    <row r="229" spans="2:14" ht="14.45" customHeight="1">
      <c r="B229" s="37" t="s">
        <v>444</v>
      </c>
      <c r="C229" s="2" t="s">
        <v>445</v>
      </c>
      <c r="D229" s="32">
        <v>0</v>
      </c>
      <c r="E229" s="32">
        <v>0</v>
      </c>
      <c r="F229" s="32"/>
      <c r="G229" s="32"/>
      <c r="H229" s="32"/>
      <c r="I229" s="32"/>
      <c r="J229" s="38" t="s">
        <v>442</v>
      </c>
      <c r="K229" s="2" t="s">
        <v>443</v>
      </c>
      <c r="L229" t="s">
        <v>444</v>
      </c>
      <c r="M229" t="s">
        <v>445</v>
      </c>
      <c r="N229" t="b">
        <f t="shared" si="3"/>
        <v>1</v>
      </c>
    </row>
    <row r="230" spans="2:14" ht="14.45" customHeight="1">
      <c r="B230" s="37" t="s">
        <v>525</v>
      </c>
      <c r="C230" s="2" t="s">
        <v>526</v>
      </c>
      <c r="D230" s="32">
        <v>0</v>
      </c>
      <c r="E230" s="32">
        <v>0</v>
      </c>
      <c r="F230" s="32"/>
      <c r="G230" s="32"/>
      <c r="H230" s="32"/>
      <c r="I230" s="32"/>
      <c r="J230" s="38" t="s">
        <v>442</v>
      </c>
      <c r="K230" s="2" t="s">
        <v>443</v>
      </c>
      <c r="L230" t="s">
        <v>525</v>
      </c>
      <c r="M230" t="s">
        <v>526</v>
      </c>
      <c r="N230" t="b">
        <f t="shared" si="3"/>
        <v>1</v>
      </c>
    </row>
    <row r="231" spans="2:14" ht="14.45" customHeight="1">
      <c r="B231" s="29" t="s">
        <v>306</v>
      </c>
      <c r="C231" s="30" t="s">
        <v>446</v>
      </c>
      <c r="D231" s="31">
        <v>1114597052</v>
      </c>
      <c r="E231" s="31">
        <v>0</v>
      </c>
      <c r="F231" s="31"/>
      <c r="G231" s="31"/>
      <c r="H231" s="31"/>
      <c r="I231" s="32"/>
      <c r="J231" s="38" t="s">
        <v>66</v>
      </c>
      <c r="K231" s="2" t="s">
        <v>66</v>
      </c>
      <c r="L231" t="s">
        <v>306</v>
      </c>
      <c r="M231" t="s">
        <v>446</v>
      </c>
      <c r="N231" t="b">
        <f t="shared" si="3"/>
        <v>1</v>
      </c>
    </row>
    <row r="232" spans="2:14" ht="14.45" customHeight="1">
      <c r="B232" s="37" t="s">
        <v>447</v>
      </c>
      <c r="C232" s="2" t="s">
        <v>448</v>
      </c>
      <c r="D232" s="32">
        <v>468256905</v>
      </c>
      <c r="E232" s="32">
        <v>0</v>
      </c>
      <c r="F232" s="32"/>
      <c r="G232" s="32"/>
      <c r="H232" s="32"/>
      <c r="I232" s="32"/>
      <c r="J232" s="38" t="s">
        <v>449</v>
      </c>
      <c r="K232" s="2" t="s">
        <v>450</v>
      </c>
      <c r="L232" t="s">
        <v>447</v>
      </c>
      <c r="M232" t="s">
        <v>448</v>
      </c>
      <c r="N232" t="b">
        <f t="shared" si="3"/>
        <v>1</v>
      </c>
    </row>
    <row r="233" spans="2:14" ht="14.45" customHeight="1">
      <c r="B233" s="37" t="s">
        <v>451</v>
      </c>
      <c r="C233" s="2" t="s">
        <v>452</v>
      </c>
      <c r="D233" s="32">
        <v>0</v>
      </c>
      <c r="E233" s="32">
        <v>0</v>
      </c>
      <c r="F233" s="32"/>
      <c r="G233" s="32"/>
      <c r="H233" s="32"/>
      <c r="I233" s="32"/>
      <c r="J233" s="38" t="s">
        <v>449</v>
      </c>
      <c r="K233" s="2" t="s">
        <v>450</v>
      </c>
      <c r="L233" t="s">
        <v>451</v>
      </c>
      <c r="M233" t="s">
        <v>452</v>
      </c>
      <c r="N233" t="b">
        <f t="shared" si="3"/>
        <v>1</v>
      </c>
    </row>
    <row r="234" spans="2:14" ht="14.45" customHeight="1">
      <c r="B234" s="37" t="s">
        <v>453</v>
      </c>
      <c r="C234" s="2" t="s">
        <v>454</v>
      </c>
      <c r="D234" s="32">
        <v>646340147</v>
      </c>
      <c r="E234" s="32">
        <v>0</v>
      </c>
      <c r="F234" s="32"/>
      <c r="G234" s="32"/>
      <c r="H234" s="32"/>
      <c r="I234" s="32"/>
      <c r="J234" s="38" t="s">
        <v>449</v>
      </c>
      <c r="K234" s="2" t="s">
        <v>450</v>
      </c>
      <c r="L234" t="s">
        <v>453</v>
      </c>
      <c r="M234" t="s">
        <v>454</v>
      </c>
      <c r="N234" t="b">
        <f t="shared" si="3"/>
        <v>1</v>
      </c>
    </row>
    <row r="235" spans="2:14" ht="14.45" customHeight="1">
      <c r="B235" s="29" t="s">
        <v>306</v>
      </c>
      <c r="C235" s="30" t="s">
        <v>455</v>
      </c>
      <c r="D235" s="31">
        <v>0</v>
      </c>
      <c r="E235" s="31">
        <v>0</v>
      </c>
      <c r="F235" s="31"/>
      <c r="G235" s="31"/>
      <c r="H235" s="31"/>
      <c r="I235" s="32"/>
      <c r="J235" s="38" t="s">
        <v>66</v>
      </c>
      <c r="K235" s="2" t="s">
        <v>66</v>
      </c>
      <c r="L235" t="s">
        <v>306</v>
      </c>
      <c r="M235" t="s">
        <v>455</v>
      </c>
      <c r="N235" t="b">
        <f t="shared" si="3"/>
        <v>1</v>
      </c>
    </row>
    <row r="236" spans="2:14" ht="14.45" customHeight="1">
      <c r="B236" s="37" t="s">
        <v>456</v>
      </c>
      <c r="C236" s="2" t="s">
        <v>417</v>
      </c>
      <c r="D236" s="32">
        <v>0</v>
      </c>
      <c r="E236" s="32">
        <v>0</v>
      </c>
      <c r="F236" s="32"/>
      <c r="G236" s="32"/>
      <c r="H236" s="32"/>
      <c r="I236" s="32"/>
      <c r="J236" s="38" t="s">
        <v>416</v>
      </c>
      <c r="K236" s="2" t="s">
        <v>457</v>
      </c>
      <c r="L236" t="s">
        <v>456</v>
      </c>
      <c r="M236" t="s">
        <v>417</v>
      </c>
      <c r="N236" t="b">
        <f t="shared" si="3"/>
        <v>1</v>
      </c>
    </row>
    <row r="237" spans="2:14" ht="14.45" customHeight="1">
      <c r="B237" s="29" t="s">
        <v>306</v>
      </c>
      <c r="C237" s="30" t="s">
        <v>458</v>
      </c>
      <c r="D237" s="31">
        <v>25504928511.000008</v>
      </c>
      <c r="E237" s="31">
        <v>-91446</v>
      </c>
      <c r="F237" s="31"/>
      <c r="G237" s="31"/>
      <c r="H237" s="31"/>
      <c r="I237" s="32"/>
      <c r="J237" s="38" t="s">
        <v>66</v>
      </c>
      <c r="K237" s="2" t="s">
        <v>66</v>
      </c>
      <c r="L237" t="s">
        <v>306</v>
      </c>
      <c r="M237" t="s">
        <v>458</v>
      </c>
      <c r="N237" t="b">
        <f t="shared" si="3"/>
        <v>1</v>
      </c>
    </row>
    <row r="238" spans="2:14" ht="14.45" customHeight="1">
      <c r="B238" s="29" t="s">
        <v>306</v>
      </c>
      <c r="C238" s="30" t="s">
        <v>459</v>
      </c>
      <c r="D238" s="31">
        <v>4626577065</v>
      </c>
      <c r="E238" s="31">
        <v>0</v>
      </c>
      <c r="F238" s="31"/>
      <c r="G238" s="31"/>
      <c r="H238" s="31"/>
      <c r="I238" s="32"/>
      <c r="J238" s="38" t="s">
        <v>66</v>
      </c>
      <c r="K238" s="2" t="s">
        <v>66</v>
      </c>
      <c r="L238" t="s">
        <v>306</v>
      </c>
      <c r="M238" t="s">
        <v>459</v>
      </c>
      <c r="N238" t="b">
        <f t="shared" si="3"/>
        <v>1</v>
      </c>
    </row>
    <row r="239" spans="2:14" ht="14.45" customHeight="1">
      <c r="B239" s="37" t="s">
        <v>460</v>
      </c>
      <c r="C239" s="2" t="s">
        <v>461</v>
      </c>
      <c r="D239" s="32">
        <v>4626577065</v>
      </c>
      <c r="E239" s="32">
        <v>0</v>
      </c>
      <c r="F239" s="32"/>
      <c r="G239" s="32"/>
      <c r="H239" s="32"/>
      <c r="I239" s="32"/>
      <c r="J239" s="38" t="s">
        <v>462</v>
      </c>
      <c r="K239" s="2" t="s">
        <v>461</v>
      </c>
      <c r="L239" t="s">
        <v>460</v>
      </c>
      <c r="M239" t="s">
        <v>461</v>
      </c>
      <c r="N239" t="b">
        <f t="shared" si="3"/>
        <v>1</v>
      </c>
    </row>
    <row r="240" spans="2:14" ht="14.45" customHeight="1">
      <c r="B240" s="29" t="s">
        <v>306</v>
      </c>
      <c r="C240" s="30" t="s">
        <v>463</v>
      </c>
      <c r="D240" s="31">
        <v>20878351446.000008</v>
      </c>
      <c r="E240" s="31">
        <v>-91446</v>
      </c>
      <c r="F240" s="31"/>
      <c r="G240" s="31"/>
      <c r="H240" s="31"/>
      <c r="I240" s="32"/>
      <c r="J240" s="38" t="s">
        <v>66</v>
      </c>
      <c r="K240" s="2" t="s">
        <v>66</v>
      </c>
      <c r="L240" t="s">
        <v>306</v>
      </c>
      <c r="M240" t="s">
        <v>463</v>
      </c>
      <c r="N240" t="b">
        <f t="shared" si="3"/>
        <v>1</v>
      </c>
    </row>
    <row r="241" spans="2:14" ht="14.45" customHeight="1">
      <c r="B241" s="37" t="s">
        <v>464</v>
      </c>
      <c r="C241" s="2" t="s">
        <v>465</v>
      </c>
      <c r="D241" s="32">
        <v>0</v>
      </c>
      <c r="E241" s="32">
        <v>0</v>
      </c>
      <c r="F241" s="32"/>
      <c r="G241" s="32"/>
      <c r="H241" s="32"/>
      <c r="I241" s="32"/>
      <c r="J241" s="38">
        <v>0</v>
      </c>
      <c r="K241" s="2" t="s">
        <v>291</v>
      </c>
      <c r="L241" t="s">
        <v>464</v>
      </c>
      <c r="M241" t="s">
        <v>465</v>
      </c>
      <c r="N241" t="b">
        <f t="shared" si="3"/>
        <v>1</v>
      </c>
    </row>
    <row r="242" spans="2:14" ht="14.45" customHeight="1">
      <c r="B242" s="37" t="s">
        <v>466</v>
      </c>
      <c r="C242" s="2" t="s">
        <v>467</v>
      </c>
      <c r="D242" s="32">
        <v>0</v>
      </c>
      <c r="E242" s="32">
        <v>0</v>
      </c>
      <c r="F242" s="32"/>
      <c r="G242" s="32"/>
      <c r="H242" s="32"/>
      <c r="I242" s="32"/>
      <c r="J242" s="38">
        <v>0</v>
      </c>
      <c r="K242" s="2" t="s">
        <v>291</v>
      </c>
      <c r="L242" t="s">
        <v>466</v>
      </c>
      <c r="M242" t="s">
        <v>467</v>
      </c>
      <c r="N242" t="b">
        <f t="shared" si="3"/>
        <v>1</v>
      </c>
    </row>
    <row r="243" spans="2:14" ht="14.45" customHeight="1">
      <c r="B243" s="29" t="s">
        <v>306</v>
      </c>
      <c r="C243" s="30" t="s">
        <v>468</v>
      </c>
      <c r="D243" s="31">
        <v>-424624496</v>
      </c>
      <c r="E243" s="31">
        <v>0</v>
      </c>
      <c r="F243" s="31"/>
      <c r="G243" s="31"/>
      <c r="H243" s="31"/>
      <c r="I243" s="32"/>
      <c r="J243" s="38" t="s">
        <v>66</v>
      </c>
      <c r="K243" s="2" t="s">
        <v>66</v>
      </c>
      <c r="L243" t="s">
        <v>306</v>
      </c>
      <c r="M243" t="s">
        <v>468</v>
      </c>
      <c r="N243" t="b">
        <f t="shared" si="3"/>
        <v>1</v>
      </c>
    </row>
    <row r="244" spans="2:14" ht="14.45" customHeight="1">
      <c r="B244" s="37" t="s">
        <v>469</v>
      </c>
      <c r="C244" s="2" t="s">
        <v>470</v>
      </c>
      <c r="D244" s="32">
        <v>0</v>
      </c>
      <c r="E244" s="32">
        <v>0</v>
      </c>
      <c r="F244" s="32"/>
      <c r="G244" s="32"/>
      <c r="H244" s="32"/>
      <c r="I244" s="32"/>
      <c r="J244" s="38" t="s">
        <v>471</v>
      </c>
      <c r="K244" s="2" t="s">
        <v>472</v>
      </c>
      <c r="L244" t="s">
        <v>469</v>
      </c>
      <c r="M244" t="s">
        <v>470</v>
      </c>
      <c r="N244" t="b">
        <f t="shared" si="3"/>
        <v>1</v>
      </c>
    </row>
    <row r="245" spans="2:14" ht="14.45" customHeight="1">
      <c r="B245" s="37" t="s">
        <v>473</v>
      </c>
      <c r="C245" s="2" t="s">
        <v>474</v>
      </c>
      <c r="D245" s="32">
        <v>0</v>
      </c>
      <c r="E245" s="32">
        <v>0</v>
      </c>
      <c r="F245" s="32"/>
      <c r="G245" s="32"/>
      <c r="H245" s="32"/>
      <c r="I245" s="32"/>
      <c r="J245" s="38" t="s">
        <v>471</v>
      </c>
      <c r="K245" s="2" t="s">
        <v>472</v>
      </c>
      <c r="L245" t="s">
        <v>473</v>
      </c>
      <c r="M245" t="s">
        <v>474</v>
      </c>
      <c r="N245" t="b">
        <f t="shared" si="3"/>
        <v>1</v>
      </c>
    </row>
    <row r="246" spans="2:14" ht="14.45" customHeight="1">
      <c r="B246" s="37" t="s">
        <v>475</v>
      </c>
      <c r="C246" s="2" t="s">
        <v>476</v>
      </c>
      <c r="D246" s="32">
        <v>0</v>
      </c>
      <c r="E246" s="32">
        <v>0</v>
      </c>
      <c r="F246" s="32"/>
      <c r="G246" s="32"/>
      <c r="H246" s="32"/>
      <c r="I246" s="32"/>
      <c r="J246" s="38" t="s">
        <v>471</v>
      </c>
      <c r="K246" s="2" t="s">
        <v>472</v>
      </c>
      <c r="L246" t="s">
        <v>475</v>
      </c>
      <c r="M246" t="s">
        <v>476</v>
      </c>
      <c r="N246" t="b">
        <f t="shared" si="3"/>
        <v>1</v>
      </c>
    </row>
    <row r="247" spans="2:14" ht="14.45" customHeight="1">
      <c r="B247" s="37" t="s">
        <v>477</v>
      </c>
      <c r="C247" s="2" t="s">
        <v>478</v>
      </c>
      <c r="D247" s="32">
        <v>-424624496</v>
      </c>
      <c r="E247" s="32">
        <v>0</v>
      </c>
      <c r="F247" s="32"/>
      <c r="G247" s="32"/>
      <c r="H247" s="32"/>
      <c r="I247" s="32"/>
      <c r="J247" s="38" t="s">
        <v>471</v>
      </c>
      <c r="K247" s="2" t="s">
        <v>472</v>
      </c>
      <c r="L247" t="s">
        <v>477</v>
      </c>
      <c r="M247" t="s">
        <v>478</v>
      </c>
      <c r="N247" t="b">
        <f t="shared" si="3"/>
        <v>1</v>
      </c>
    </row>
    <row r="248" spans="2:14" ht="14.45" customHeight="1">
      <c r="B248" s="37" t="s">
        <v>479</v>
      </c>
      <c r="C248" s="2" t="s">
        <v>480</v>
      </c>
      <c r="D248" s="32">
        <v>0</v>
      </c>
      <c r="E248" s="32">
        <v>0</v>
      </c>
      <c r="F248" s="32"/>
      <c r="G248" s="32"/>
      <c r="H248" s="32"/>
      <c r="I248" s="32"/>
      <c r="J248" s="38" t="s">
        <v>471</v>
      </c>
      <c r="K248" s="2" t="s">
        <v>472</v>
      </c>
      <c r="L248" t="s">
        <v>479</v>
      </c>
      <c r="M248" t="s">
        <v>480</v>
      </c>
      <c r="N248" t="b">
        <f t="shared" si="3"/>
        <v>1</v>
      </c>
    </row>
    <row r="249" spans="2:14" ht="14.45" customHeight="1">
      <c r="B249" s="37" t="s">
        <v>527</v>
      </c>
      <c r="C249" s="2" t="s">
        <v>528</v>
      </c>
      <c r="D249" s="32">
        <v>0</v>
      </c>
      <c r="E249" s="32">
        <v>0</v>
      </c>
      <c r="F249" s="32"/>
      <c r="G249" s="32"/>
      <c r="H249" s="32"/>
      <c r="I249" s="32"/>
      <c r="J249" s="38" t="s">
        <v>471</v>
      </c>
      <c r="K249" s="2" t="s">
        <v>472</v>
      </c>
      <c r="L249" t="s">
        <v>527</v>
      </c>
      <c r="M249" t="s">
        <v>528</v>
      </c>
      <c r="N249" t="b">
        <f t="shared" si="3"/>
        <v>1</v>
      </c>
    </row>
    <row r="250" spans="2:14" ht="14.45" customHeight="1">
      <c r="B250" s="29" t="s">
        <v>481</v>
      </c>
      <c r="C250" s="30" t="s">
        <v>482</v>
      </c>
      <c r="D250" s="31">
        <v>20453726950.000008</v>
      </c>
      <c r="E250" s="31">
        <v>-91446</v>
      </c>
      <c r="F250" s="31"/>
      <c r="G250" s="31"/>
      <c r="H250" s="31"/>
      <c r="I250" s="32"/>
      <c r="J250" s="38" t="s">
        <v>66</v>
      </c>
      <c r="K250" s="2" t="s">
        <v>66</v>
      </c>
      <c r="L250" t="s">
        <v>481</v>
      </c>
      <c r="M250" t="s">
        <v>482</v>
      </c>
      <c r="N250" t="b">
        <f t="shared" si="3"/>
        <v>1</v>
      </c>
    </row>
    <row r="251" spans="2:14" ht="14.45" customHeight="1">
      <c r="B251" s="29" t="s">
        <v>306</v>
      </c>
      <c r="C251" s="30" t="s">
        <v>483</v>
      </c>
      <c r="D251" s="31">
        <v>20453726950.000008</v>
      </c>
      <c r="E251" s="31">
        <v>-91446</v>
      </c>
      <c r="F251" s="31"/>
      <c r="G251" s="31"/>
      <c r="H251" s="31"/>
      <c r="I251" s="32"/>
      <c r="J251" s="38" t="s">
        <v>66</v>
      </c>
      <c r="K251" s="2" t="s">
        <v>66</v>
      </c>
      <c r="L251" t="s">
        <v>306</v>
      </c>
      <c r="M251" t="s">
        <v>483</v>
      </c>
      <c r="N251" t="b">
        <f t="shared" si="3"/>
        <v>1</v>
      </c>
    </row>
    <row r="252" spans="2:14" ht="14.45" customHeight="1">
      <c r="B252" s="29" t="s">
        <v>306</v>
      </c>
      <c r="C252" s="30" t="s">
        <v>484</v>
      </c>
      <c r="D252" s="31">
        <v>0</v>
      </c>
      <c r="E252" s="31">
        <v>0</v>
      </c>
      <c r="F252" s="31"/>
      <c r="G252" s="31"/>
      <c r="H252" s="31"/>
      <c r="I252" s="32"/>
      <c r="J252" s="38" t="s">
        <v>66</v>
      </c>
      <c r="K252" s="2" t="s">
        <v>66</v>
      </c>
      <c r="L252" t="s">
        <v>306</v>
      </c>
      <c r="M252" t="s">
        <v>484</v>
      </c>
      <c r="N252" t="b">
        <f t="shared" si="3"/>
        <v>1</v>
      </c>
    </row>
    <row r="253" spans="2:14" ht="14.45" customHeight="1">
      <c r="B253" s="37" t="s">
        <v>485</v>
      </c>
      <c r="C253" s="2" t="s">
        <v>486</v>
      </c>
      <c r="D253" s="32">
        <v>0</v>
      </c>
      <c r="E253" s="32">
        <v>0</v>
      </c>
      <c r="F253" s="32"/>
      <c r="G253" s="32"/>
      <c r="H253" s="32"/>
      <c r="I253" s="32"/>
      <c r="J253" s="38" t="s">
        <v>487</v>
      </c>
      <c r="K253" s="2" t="s">
        <v>488</v>
      </c>
      <c r="L253" t="s">
        <v>485</v>
      </c>
      <c r="M253" t="s">
        <v>486</v>
      </c>
      <c r="N253" t="b">
        <f t="shared" si="3"/>
        <v>1</v>
      </c>
    </row>
    <row r="254" spans="2:14" ht="14.45" customHeight="1">
      <c r="B254" s="37" t="s">
        <v>489</v>
      </c>
      <c r="C254" s="2" t="s">
        <v>490</v>
      </c>
      <c r="D254" s="32">
        <v>0</v>
      </c>
      <c r="E254" s="32">
        <v>0</v>
      </c>
      <c r="F254" s="32"/>
      <c r="G254" s="32"/>
      <c r="H254" s="32"/>
      <c r="I254" s="32"/>
      <c r="J254" s="38" t="s">
        <v>487</v>
      </c>
      <c r="K254" s="2" t="s">
        <v>488</v>
      </c>
      <c r="L254" t="s">
        <v>489</v>
      </c>
      <c r="M254" t="s">
        <v>490</v>
      </c>
      <c r="N254" t="b">
        <f t="shared" si="3"/>
        <v>1</v>
      </c>
    </row>
    <row r="255" spans="2:14" ht="14.45" customHeight="1">
      <c r="B255" s="37" t="s">
        <v>491</v>
      </c>
      <c r="C255" s="2" t="s">
        <v>492</v>
      </c>
      <c r="D255" s="32">
        <v>0</v>
      </c>
      <c r="E255" s="32">
        <v>0</v>
      </c>
      <c r="F255" s="32"/>
      <c r="G255" s="32"/>
      <c r="H255" s="32"/>
      <c r="I255" s="32"/>
      <c r="J255" s="38" t="s">
        <v>487</v>
      </c>
      <c r="K255" s="2" t="s">
        <v>488</v>
      </c>
      <c r="L255" t="s">
        <v>491</v>
      </c>
      <c r="M255" t="s">
        <v>492</v>
      </c>
      <c r="N255" t="b">
        <f t="shared" si="3"/>
        <v>1</v>
      </c>
    </row>
    <row r="256" spans="2:14" ht="14.45" customHeight="1">
      <c r="B256" s="37" t="s">
        <v>493</v>
      </c>
      <c r="C256" s="2" t="s">
        <v>494</v>
      </c>
      <c r="D256" s="32">
        <v>0</v>
      </c>
      <c r="E256" s="32">
        <v>0</v>
      </c>
      <c r="F256" s="32"/>
      <c r="G256" s="32"/>
      <c r="H256" s="32"/>
      <c r="I256" s="32"/>
      <c r="J256" s="38" t="s">
        <v>487</v>
      </c>
      <c r="K256" s="2" t="s">
        <v>488</v>
      </c>
      <c r="L256" t="s">
        <v>493</v>
      </c>
      <c r="M256" t="s">
        <v>494</v>
      </c>
      <c r="N256" t="b">
        <f t="shared" si="3"/>
        <v>1</v>
      </c>
    </row>
    <row r="257" spans="2:14" ht="14.45" customHeight="1">
      <c r="B257" s="37" t="s">
        <v>495</v>
      </c>
      <c r="C257" s="2" t="s">
        <v>496</v>
      </c>
      <c r="D257" s="32">
        <v>0</v>
      </c>
      <c r="E257" s="32">
        <v>0</v>
      </c>
      <c r="F257" s="32"/>
      <c r="G257" s="32"/>
      <c r="H257" s="32"/>
      <c r="I257" s="32"/>
      <c r="J257" s="38" t="s">
        <v>487</v>
      </c>
      <c r="K257" s="2" t="s">
        <v>488</v>
      </c>
      <c r="L257" t="s">
        <v>495</v>
      </c>
      <c r="M257" t="s">
        <v>496</v>
      </c>
      <c r="N257" t="b">
        <f t="shared" si="3"/>
        <v>1</v>
      </c>
    </row>
    <row r="258" spans="2:14" ht="14.45" customHeight="1">
      <c r="B258" s="2"/>
      <c r="C258" s="2"/>
      <c r="D258" s="46"/>
      <c r="E258" s="46"/>
      <c r="F258" s="46"/>
      <c r="G258" s="46"/>
      <c r="H258" s="46"/>
      <c r="I258" s="46"/>
      <c r="J258" s="2"/>
      <c r="K258" s="2"/>
    </row>
    <row r="259" spans="2:14" ht="14.45" customHeight="1">
      <c r="B259" s="37"/>
      <c r="C259" s="2"/>
      <c r="D259" s="47"/>
      <c r="E259" s="47"/>
      <c r="F259" s="47"/>
      <c r="G259" s="47"/>
      <c r="H259" s="47"/>
      <c r="I259" s="47"/>
      <c r="J259" s="38"/>
      <c r="K259" s="2"/>
    </row>
    <row r="260" spans="2:14" ht="14.45" customHeight="1">
      <c r="B260" s="37"/>
      <c r="C260" s="2"/>
      <c r="D260" s="47"/>
      <c r="E260" s="47"/>
      <c r="F260" s="47"/>
      <c r="G260" s="47"/>
      <c r="H260" s="47"/>
      <c r="I260" s="47"/>
      <c r="J260" s="38"/>
      <c r="K260" s="2"/>
    </row>
    <row r="261" spans="2:14" ht="14.45" customHeight="1">
      <c r="B261" s="37"/>
      <c r="C261" s="2"/>
      <c r="D261" s="47"/>
      <c r="E261" s="47"/>
      <c r="F261" s="47"/>
      <c r="G261" s="47"/>
      <c r="H261" s="47"/>
      <c r="I261" s="47"/>
      <c r="J261" s="48"/>
      <c r="K261" s="2"/>
    </row>
    <row r="262" spans="2:14" ht="14.45" customHeight="1">
      <c r="B262" s="37"/>
      <c r="C262" s="2"/>
      <c r="D262" s="47"/>
      <c r="E262" s="47"/>
      <c r="F262" s="47"/>
      <c r="G262" s="47"/>
      <c r="H262" s="47"/>
      <c r="I262" s="47"/>
      <c r="J262" s="48"/>
      <c r="K262" s="2"/>
    </row>
    <row r="263" spans="2:14" ht="14.45" customHeight="1">
      <c r="B263" s="37"/>
      <c r="C263" s="2"/>
      <c r="D263" s="47"/>
      <c r="E263" s="47"/>
      <c r="F263" s="47"/>
      <c r="G263" s="47"/>
      <c r="H263" s="47"/>
      <c r="I263" s="47"/>
      <c r="J263" s="48"/>
      <c r="K263" s="2"/>
    </row>
    <row r="264" spans="2:14" ht="14.45" customHeight="1">
      <c r="B264" s="37"/>
      <c r="C264" s="2"/>
      <c r="D264" s="47"/>
      <c r="E264" s="47"/>
      <c r="F264" s="47"/>
      <c r="G264" s="47"/>
      <c r="H264" s="47"/>
      <c r="I264" s="47"/>
      <c r="J264" s="48"/>
      <c r="K264" s="2"/>
    </row>
    <row r="265" spans="2:14" ht="14.45" customHeight="1">
      <c r="B265" s="37"/>
      <c r="C265" s="2"/>
      <c r="D265" s="47"/>
      <c r="E265" s="47"/>
      <c r="F265" s="47"/>
      <c r="G265" s="47"/>
      <c r="H265" s="47"/>
      <c r="I265" s="47"/>
      <c r="J265" s="48"/>
      <c r="K265" s="2"/>
    </row>
    <row r="266" spans="2:14" ht="14.45" customHeight="1">
      <c r="B266" s="37"/>
      <c r="C266" s="2"/>
      <c r="D266" s="47"/>
      <c r="E266" s="47"/>
      <c r="F266" s="47"/>
      <c r="G266" s="47"/>
      <c r="H266" s="47"/>
      <c r="I266" s="47"/>
      <c r="J266" s="48"/>
      <c r="K266" s="2"/>
    </row>
    <row r="267" spans="2:14" ht="14.45" customHeight="1">
      <c r="B267" s="37"/>
      <c r="C267" s="2"/>
      <c r="D267" s="47"/>
      <c r="E267" s="47"/>
      <c r="F267" s="47"/>
      <c r="G267" s="47"/>
      <c r="H267" s="47"/>
      <c r="I267" s="47"/>
      <c r="J267" s="48"/>
      <c r="K267" s="2"/>
    </row>
    <row r="268" spans="2:14" ht="14.45" customHeight="1">
      <c r="B268" s="37"/>
      <c r="C268" s="2"/>
      <c r="D268" s="47"/>
      <c r="E268" s="47"/>
      <c r="F268" s="47"/>
      <c r="G268" s="47"/>
      <c r="H268" s="47"/>
      <c r="I268" s="47"/>
      <c r="J268" s="48"/>
      <c r="K268" s="2"/>
    </row>
    <row r="269" spans="2:14" ht="14.45" customHeight="1">
      <c r="B269" s="37"/>
      <c r="C269" s="2"/>
      <c r="D269" s="47"/>
      <c r="E269" s="47"/>
      <c r="F269" s="47"/>
      <c r="G269" s="47"/>
      <c r="H269" s="47"/>
      <c r="I269" s="47"/>
      <c r="J269" s="48"/>
      <c r="K269" s="2"/>
    </row>
    <row r="270" spans="2:14" ht="14.45" customHeight="1">
      <c r="B270" s="37"/>
      <c r="C270" s="2"/>
      <c r="D270" s="47"/>
      <c r="E270" s="47"/>
      <c r="F270" s="47"/>
      <c r="G270" s="47"/>
      <c r="H270" s="47"/>
      <c r="I270" s="47"/>
      <c r="J270" s="48"/>
      <c r="K270" s="2"/>
    </row>
    <row r="271" spans="2:14" ht="14.45" customHeight="1">
      <c r="B271" s="37"/>
      <c r="C271" s="2"/>
      <c r="D271" s="47"/>
      <c r="E271" s="47"/>
      <c r="F271" s="47"/>
      <c r="G271" s="47"/>
      <c r="H271" s="47"/>
      <c r="I271" s="47"/>
      <c r="J271" s="48"/>
      <c r="K271" s="2"/>
    </row>
    <row r="272" spans="2:14" ht="14.45" customHeight="1">
      <c r="B272" s="37"/>
      <c r="C272" s="2"/>
      <c r="D272" s="47"/>
      <c r="E272" s="47"/>
      <c r="F272" s="47"/>
      <c r="G272" s="47"/>
      <c r="H272" s="47"/>
      <c r="I272" s="47"/>
      <c r="J272" s="48"/>
      <c r="K272" s="2"/>
    </row>
    <row r="273" spans="2:11">
      <c r="B273" s="37"/>
      <c r="C273" s="2"/>
      <c r="D273" s="47"/>
      <c r="E273" s="47"/>
      <c r="F273" s="47"/>
      <c r="G273" s="47"/>
      <c r="H273" s="47"/>
      <c r="I273" s="47"/>
      <c r="J273" s="48"/>
      <c r="K273" s="2"/>
    </row>
    <row r="274" spans="2:11">
      <c r="B274" s="37"/>
      <c r="C274" s="2"/>
      <c r="D274" s="47"/>
      <c r="E274" s="47"/>
      <c r="F274" s="47"/>
      <c r="G274" s="47"/>
      <c r="H274" s="47"/>
      <c r="I274" s="47"/>
      <c r="J274" s="48"/>
      <c r="K274" s="2"/>
    </row>
  </sheetData>
  <mergeCells count="1">
    <mergeCell ref="C3:C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9857-7183-4629-85EF-4C14A32E404B}">
  <dimension ref="A1:X318"/>
  <sheetViews>
    <sheetView tabSelected="1" topLeftCell="A123" zoomScale="115" zoomScaleNormal="115" workbookViewId="0">
      <selection activeCell="E127" sqref="E127"/>
    </sheetView>
  </sheetViews>
  <sheetFormatPr defaultColWidth="8" defaultRowHeight="11.25"/>
  <cols>
    <col min="1" max="1" width="3.5" style="295" customWidth="1"/>
    <col min="2" max="2" width="10" style="295" customWidth="1"/>
    <col min="3" max="3" width="15.75" style="295" customWidth="1"/>
    <col min="4" max="9" width="15.375" style="342" customWidth="1"/>
    <col min="10" max="14" width="15.375" style="342" hidden="1" customWidth="1"/>
    <col min="15" max="15" width="1.5" style="342" customWidth="1"/>
    <col min="16" max="16" width="12.625" style="295" customWidth="1"/>
    <col min="17" max="17" width="14.375" style="295" customWidth="1"/>
    <col min="18" max="18" width="12.5" style="295" bestFit="1" customWidth="1"/>
    <col min="19" max="19" width="11.625" style="295" customWidth="1"/>
    <col min="20" max="16384" width="8" style="295"/>
  </cols>
  <sheetData>
    <row r="1" spans="1:24" s="289" customFormat="1">
      <c r="B1" s="290"/>
      <c r="C1" s="291" t="s">
        <v>497</v>
      </c>
      <c r="D1" s="351" t="s">
        <v>991</v>
      </c>
      <c r="E1" s="292" t="s">
        <v>870</v>
      </c>
      <c r="F1" s="292"/>
      <c r="G1" s="292"/>
      <c r="H1" s="292"/>
      <c r="I1" s="292"/>
      <c r="J1" s="292"/>
      <c r="K1" s="292"/>
      <c r="L1" s="292"/>
      <c r="M1" s="293"/>
      <c r="N1" s="293"/>
      <c r="O1" s="294"/>
    </row>
    <row r="2" spans="1:24" s="289" customFormat="1"/>
    <row r="3" spans="1:24">
      <c r="B3" s="296"/>
      <c r="C3" s="355"/>
      <c r="D3" s="297">
        <f t="shared" ref="D3:J3" si="0">D88-D150</f>
        <v>0</v>
      </c>
      <c r="E3" s="297">
        <f t="shared" si="0"/>
        <v>0</v>
      </c>
      <c r="F3" s="297"/>
      <c r="G3" s="297"/>
      <c r="H3" s="297"/>
      <c r="I3" s="297"/>
      <c r="J3" s="297">
        <f t="shared" si="0"/>
        <v>0</v>
      </c>
      <c r="K3" s="297"/>
      <c r="L3" s="297">
        <f>L88-L150</f>
        <v>0</v>
      </c>
      <c r="M3" s="297">
        <f>M88-M150</f>
        <v>0</v>
      </c>
      <c r="N3" s="297">
        <f>N88-N150</f>
        <v>0</v>
      </c>
      <c r="O3" s="298"/>
    </row>
    <row r="4" spans="1:24">
      <c r="B4" s="296"/>
      <c r="C4" s="356"/>
      <c r="D4" s="297">
        <f>D142-D242</f>
        <v>0</v>
      </c>
      <c r="E4" s="297">
        <f>E142-E242</f>
        <v>0</v>
      </c>
      <c r="F4" s="297"/>
      <c r="G4" s="297"/>
      <c r="H4" s="297"/>
      <c r="I4" s="297"/>
      <c r="J4" s="297">
        <f>J143-J242</f>
        <v>0</v>
      </c>
      <c r="K4" s="297"/>
      <c r="L4" s="297">
        <f>L143-L242</f>
        <v>0</v>
      </c>
      <c r="M4" s="297"/>
      <c r="N4" s="297"/>
      <c r="O4" s="298"/>
    </row>
    <row r="5" spans="1:24">
      <c r="B5" s="299">
        <f>'[195]A. 별도FS 환산'!B5</f>
        <v>44196</v>
      </c>
      <c r="C5" s="300" t="s">
        <v>498</v>
      </c>
      <c r="D5" s="301" t="str">
        <f>'[195]A. 별도FS 환산'!E3</f>
        <v>KRW</v>
      </c>
      <c r="E5" s="301" t="str">
        <f>'[195]A. 별도FS 환산'!F3</f>
        <v>USD</v>
      </c>
      <c r="F5" s="301"/>
      <c r="G5" s="301"/>
      <c r="H5" s="301"/>
      <c r="I5" s="301"/>
      <c r="J5" s="301"/>
      <c r="K5" s="301"/>
      <c r="L5" s="301"/>
      <c r="M5" s="301"/>
      <c r="N5" s="301"/>
      <c r="O5" s="302"/>
      <c r="P5" s="303" t="s">
        <v>499</v>
      </c>
      <c r="Q5" s="303" t="s">
        <v>500</v>
      </c>
      <c r="U5" s="357" t="s">
        <v>961</v>
      </c>
      <c r="V5" s="358" t="s">
        <v>962</v>
      </c>
    </row>
    <row r="6" spans="1:24" s="304" customFormat="1" ht="24.6" customHeight="1">
      <c r="B6" s="300" t="s">
        <v>12</v>
      </c>
      <c r="C6" s="300" t="s">
        <v>13</v>
      </c>
      <c r="D6" s="301" t="s">
        <v>868</v>
      </c>
      <c r="E6" s="305" t="s">
        <v>869</v>
      </c>
      <c r="F6" s="305"/>
      <c r="G6" s="305"/>
      <c r="H6" s="305"/>
      <c r="I6" s="305"/>
      <c r="J6" s="301"/>
      <c r="K6" s="301"/>
      <c r="L6" s="301"/>
      <c r="M6" s="301"/>
      <c r="N6" s="301"/>
      <c r="O6" s="302"/>
      <c r="P6" s="303" t="s">
        <v>502</v>
      </c>
      <c r="Q6" s="303" t="s">
        <v>503</v>
      </c>
      <c r="R6" s="306"/>
      <c r="U6" s="358"/>
      <c r="V6" s="358"/>
    </row>
    <row r="7" spans="1:24" ht="10.9" customHeight="1">
      <c r="A7" s="307"/>
      <c r="B7" s="308"/>
      <c r="C7" s="309" t="s">
        <v>14</v>
      </c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1"/>
      <c r="P7" s="312"/>
      <c r="U7" s="313"/>
      <c r="V7" s="314" t="s">
        <v>14</v>
      </c>
    </row>
    <row r="8" spans="1:24" ht="10.9" customHeight="1">
      <c r="A8" s="307"/>
      <c r="B8" s="315" t="s">
        <v>15</v>
      </c>
      <c r="C8" s="316" t="s">
        <v>16</v>
      </c>
      <c r="D8" s="317">
        <v>572917913876</v>
      </c>
      <c r="E8" s="317">
        <f>SUM(E9,E30)</f>
        <v>1135202.03</v>
      </c>
      <c r="F8" s="317"/>
      <c r="G8" s="317"/>
      <c r="H8" s="317"/>
      <c r="I8" s="317"/>
      <c r="J8" s="317">
        <f t="shared" ref="J8:N8" si="1">SUM(J10:J30)</f>
        <v>0</v>
      </c>
      <c r="K8" s="317">
        <f t="shared" si="1"/>
        <v>0</v>
      </c>
      <c r="L8" s="317">
        <f t="shared" si="1"/>
        <v>0</v>
      </c>
      <c r="M8" s="317">
        <f t="shared" si="1"/>
        <v>0</v>
      </c>
      <c r="N8" s="317">
        <f t="shared" si="1"/>
        <v>0</v>
      </c>
      <c r="O8" s="318"/>
      <c r="P8" s="319"/>
      <c r="R8" s="320"/>
      <c r="U8" s="314" t="s">
        <v>913</v>
      </c>
      <c r="V8" s="314" t="s">
        <v>566</v>
      </c>
      <c r="W8" s="295" t="b">
        <f t="shared" ref="W8:X23" si="2">U8=B8</f>
        <v>0</v>
      </c>
      <c r="X8" s="295" t="b">
        <f t="shared" si="2"/>
        <v>0</v>
      </c>
    </row>
    <row r="9" spans="1:24" ht="13.5">
      <c r="A9" s="307"/>
      <c r="B9" s="308"/>
      <c r="C9" s="309" t="s">
        <v>700</v>
      </c>
      <c r="D9" s="321">
        <v>519871359963</v>
      </c>
      <c r="E9" s="321">
        <f>SUM(E10:E29)</f>
        <v>1091484.03</v>
      </c>
      <c r="F9" s="321"/>
      <c r="G9" s="321"/>
      <c r="H9" s="321"/>
      <c r="I9" s="321"/>
      <c r="J9" s="321"/>
      <c r="K9" s="321"/>
      <c r="L9" s="321"/>
      <c r="M9" s="321"/>
      <c r="N9" s="321"/>
      <c r="O9" s="318"/>
      <c r="P9" s="307"/>
      <c r="Q9" s="307"/>
      <c r="R9" s="320"/>
      <c r="U9" s="322" t="s">
        <v>914</v>
      </c>
      <c r="V9" s="322" t="s">
        <v>567</v>
      </c>
      <c r="W9" s="295" t="b">
        <f t="shared" si="2"/>
        <v>0</v>
      </c>
      <c r="X9" s="295" t="b">
        <f t="shared" si="2"/>
        <v>0</v>
      </c>
    </row>
    <row r="10" spans="1:24" ht="13.5">
      <c r="A10" s="307"/>
      <c r="B10" s="323" t="s">
        <v>17</v>
      </c>
      <c r="C10" s="295" t="s">
        <v>18</v>
      </c>
      <c r="D10" s="318">
        <v>9195143</v>
      </c>
      <c r="E10" s="318">
        <v>600</v>
      </c>
      <c r="F10" s="318"/>
      <c r="G10" s="318"/>
      <c r="H10" s="318"/>
      <c r="I10" s="318"/>
      <c r="J10" s="318"/>
      <c r="K10" s="318"/>
      <c r="L10" s="318"/>
      <c r="M10" s="318"/>
      <c r="N10" s="318"/>
      <c r="O10" s="318"/>
      <c r="P10" s="324" t="s">
        <v>19</v>
      </c>
      <c r="Q10" s="295" t="s">
        <v>20</v>
      </c>
      <c r="R10" s="320"/>
      <c r="U10" s="216" t="s">
        <v>17</v>
      </c>
      <c r="V10" s="216" t="s">
        <v>18</v>
      </c>
      <c r="W10" s="295" t="b">
        <f t="shared" si="2"/>
        <v>1</v>
      </c>
      <c r="X10" s="295" t="b">
        <f t="shared" si="2"/>
        <v>1</v>
      </c>
    </row>
    <row r="11" spans="1:24" ht="13.5">
      <c r="A11" s="307"/>
      <c r="B11" s="323" t="s">
        <v>21</v>
      </c>
      <c r="C11" s="295" t="s">
        <v>22</v>
      </c>
      <c r="D11" s="318">
        <v>122537878506</v>
      </c>
      <c r="E11" s="318">
        <f>501284.39+500000</f>
        <v>1001284.39</v>
      </c>
      <c r="F11" s="318"/>
      <c r="G11" s="318"/>
      <c r="H11" s="318"/>
      <c r="I11" s="318"/>
      <c r="J11" s="318"/>
      <c r="K11" s="318"/>
      <c r="L11" s="318"/>
      <c r="M11" s="318"/>
      <c r="N11" s="318"/>
      <c r="O11" s="318"/>
      <c r="P11" s="324" t="s">
        <v>19</v>
      </c>
      <c r="Q11" s="295" t="s">
        <v>20</v>
      </c>
      <c r="R11" s="320"/>
      <c r="U11" s="216" t="s">
        <v>21</v>
      </c>
      <c r="V11" s="216" t="s">
        <v>22</v>
      </c>
      <c r="W11" s="295" t="b">
        <f t="shared" si="2"/>
        <v>1</v>
      </c>
      <c r="X11" s="295" t="b">
        <f t="shared" si="2"/>
        <v>1</v>
      </c>
    </row>
    <row r="12" spans="1:24" ht="13.5">
      <c r="A12" s="307"/>
      <c r="B12" s="323" t="s">
        <v>23</v>
      </c>
      <c r="C12" s="295" t="s">
        <v>24</v>
      </c>
      <c r="D12" s="318">
        <v>-13293321</v>
      </c>
      <c r="E12" s="318">
        <v>0</v>
      </c>
      <c r="F12" s="318"/>
      <c r="G12" s="318"/>
      <c r="H12" s="318"/>
      <c r="I12" s="318"/>
      <c r="J12" s="318"/>
      <c r="K12" s="318"/>
      <c r="L12" s="318"/>
      <c r="M12" s="318"/>
      <c r="N12" s="318"/>
      <c r="O12" s="318"/>
      <c r="P12" s="324" t="s">
        <v>19</v>
      </c>
      <c r="Q12" s="295" t="s">
        <v>20</v>
      </c>
      <c r="R12" s="324"/>
      <c r="U12" s="216" t="s">
        <v>23</v>
      </c>
      <c r="V12" s="216" t="s">
        <v>24</v>
      </c>
      <c r="W12" s="295" t="b">
        <f t="shared" si="2"/>
        <v>1</v>
      </c>
      <c r="X12" s="295" t="b">
        <f t="shared" si="2"/>
        <v>1</v>
      </c>
    </row>
    <row r="13" spans="1:24" ht="13.5">
      <c r="A13" s="307"/>
      <c r="B13" s="323" t="s">
        <v>25</v>
      </c>
      <c r="C13" s="295" t="s">
        <v>26</v>
      </c>
      <c r="D13" s="318">
        <v>40000000000</v>
      </c>
      <c r="E13" s="318">
        <v>0</v>
      </c>
      <c r="F13" s="318"/>
      <c r="G13" s="318"/>
      <c r="H13" s="318"/>
      <c r="I13" s="318"/>
      <c r="J13" s="318"/>
      <c r="K13" s="318"/>
      <c r="L13" s="318"/>
      <c r="M13" s="318"/>
      <c r="N13" s="318"/>
      <c r="O13" s="318"/>
      <c r="P13" s="324" t="s">
        <v>27</v>
      </c>
      <c r="Q13" s="295" t="s">
        <v>28</v>
      </c>
      <c r="R13" s="324"/>
      <c r="U13" s="216" t="s">
        <v>25</v>
      </c>
      <c r="V13" s="216" t="s">
        <v>26</v>
      </c>
      <c r="W13" s="295" t="b">
        <f t="shared" si="2"/>
        <v>1</v>
      </c>
      <c r="X13" s="295" t="b">
        <f t="shared" si="2"/>
        <v>1</v>
      </c>
    </row>
    <row r="14" spans="1:24" ht="13.5">
      <c r="A14" s="307"/>
      <c r="B14" s="323" t="s">
        <v>29</v>
      </c>
      <c r="C14" s="295" t="s">
        <v>30</v>
      </c>
      <c r="D14" s="318">
        <v>40530571199</v>
      </c>
      <c r="E14" s="318">
        <v>0</v>
      </c>
      <c r="F14" s="318"/>
      <c r="G14" s="318"/>
      <c r="H14" s="318"/>
      <c r="I14" s="318"/>
      <c r="J14" s="318"/>
      <c r="K14" s="318"/>
      <c r="L14" s="318"/>
      <c r="M14" s="318"/>
      <c r="N14" s="318"/>
      <c r="O14" s="318"/>
      <c r="P14" s="324" t="s">
        <v>504</v>
      </c>
      <c r="Q14" s="295" t="s">
        <v>30</v>
      </c>
      <c r="R14" s="324"/>
      <c r="U14" s="216" t="s">
        <v>29</v>
      </c>
      <c r="V14" s="216" t="s">
        <v>30</v>
      </c>
      <c r="W14" s="295" t="b">
        <f t="shared" si="2"/>
        <v>1</v>
      </c>
      <c r="X14" s="295" t="b">
        <f t="shared" si="2"/>
        <v>1</v>
      </c>
    </row>
    <row r="15" spans="1:24" ht="13.5">
      <c r="A15" s="307"/>
      <c r="B15" s="323" t="s">
        <v>31</v>
      </c>
      <c r="C15" s="295" t="s">
        <v>32</v>
      </c>
      <c r="D15" s="318">
        <v>311239364207</v>
      </c>
      <c r="E15" s="318">
        <v>89599.64</v>
      </c>
      <c r="F15" s="318"/>
      <c r="G15" s="318"/>
      <c r="H15" s="318"/>
      <c r="I15" s="318"/>
      <c r="J15" s="318"/>
      <c r="K15" s="318"/>
      <c r="L15" s="318"/>
      <c r="M15" s="318"/>
      <c r="N15" s="318"/>
      <c r="O15" s="318"/>
      <c r="P15" s="324" t="s">
        <v>33</v>
      </c>
      <c r="Q15" s="295" t="s">
        <v>34</v>
      </c>
      <c r="R15" s="324"/>
      <c r="U15" s="216" t="s">
        <v>31</v>
      </c>
      <c r="V15" s="216" t="s">
        <v>32</v>
      </c>
      <c r="W15" s="295" t="b">
        <f t="shared" si="2"/>
        <v>1</v>
      </c>
      <c r="X15" s="295" t="b">
        <f t="shared" si="2"/>
        <v>1</v>
      </c>
    </row>
    <row r="16" spans="1:24" ht="13.5">
      <c r="A16" s="307"/>
      <c r="B16" s="323" t="s">
        <v>35</v>
      </c>
      <c r="C16" s="295" t="s">
        <v>36</v>
      </c>
      <c r="D16" s="318">
        <v>0</v>
      </c>
      <c r="E16" s="318">
        <v>0</v>
      </c>
      <c r="F16" s="318"/>
      <c r="G16" s="318"/>
      <c r="H16" s="318"/>
      <c r="I16" s="318"/>
      <c r="J16" s="318"/>
      <c r="K16" s="318"/>
      <c r="L16" s="318"/>
      <c r="M16" s="318"/>
      <c r="N16" s="318"/>
      <c r="O16" s="318"/>
      <c r="P16" s="324" t="s">
        <v>33</v>
      </c>
      <c r="Q16" s="295" t="s">
        <v>34</v>
      </c>
      <c r="R16" s="324"/>
      <c r="U16" s="325" t="s">
        <v>35</v>
      </c>
      <c r="V16" s="325" t="s">
        <v>36</v>
      </c>
      <c r="W16" s="295" t="b">
        <f t="shared" si="2"/>
        <v>1</v>
      </c>
      <c r="X16" s="295" t="b">
        <f t="shared" si="2"/>
        <v>1</v>
      </c>
    </row>
    <row r="17" spans="1:24" ht="13.5">
      <c r="A17" s="326"/>
      <c r="B17" s="323" t="s">
        <v>37</v>
      </c>
      <c r="C17" s="295" t="s">
        <v>38</v>
      </c>
      <c r="D17" s="318">
        <v>0</v>
      </c>
      <c r="E17" s="318">
        <v>0</v>
      </c>
      <c r="F17" s="318"/>
      <c r="G17" s="318"/>
      <c r="H17" s="318"/>
      <c r="I17" s="318"/>
      <c r="J17" s="318"/>
      <c r="K17" s="318"/>
      <c r="L17" s="318"/>
      <c r="M17" s="318"/>
      <c r="N17" s="318"/>
      <c r="O17" s="318"/>
      <c r="P17" s="324" t="s">
        <v>33</v>
      </c>
      <c r="Q17" s="295" t="s">
        <v>34</v>
      </c>
      <c r="R17" s="324"/>
      <c r="U17" s="216" t="s">
        <v>37</v>
      </c>
      <c r="V17" s="216" t="s">
        <v>38</v>
      </c>
      <c r="W17" s="295" t="b">
        <f t="shared" si="2"/>
        <v>1</v>
      </c>
      <c r="X17" s="295" t="b">
        <f t="shared" si="2"/>
        <v>1</v>
      </c>
    </row>
    <row r="18" spans="1:24" ht="13.5">
      <c r="A18" s="327"/>
      <c r="B18" s="323" t="s">
        <v>39</v>
      </c>
      <c r="C18" s="295" t="s">
        <v>40</v>
      </c>
      <c r="D18" s="318">
        <v>-619075951</v>
      </c>
      <c r="E18" s="318">
        <v>0</v>
      </c>
      <c r="F18" s="318"/>
      <c r="G18" s="318"/>
      <c r="H18" s="318"/>
      <c r="I18" s="318"/>
      <c r="J18" s="318"/>
      <c r="K18" s="318"/>
      <c r="L18" s="318"/>
      <c r="M18" s="318"/>
      <c r="N18" s="318"/>
      <c r="O18" s="318"/>
      <c r="P18" s="324" t="s">
        <v>33</v>
      </c>
      <c r="Q18" s="295" t="s">
        <v>34</v>
      </c>
      <c r="R18" s="324"/>
      <c r="U18" s="216" t="s">
        <v>39</v>
      </c>
      <c r="V18" s="216" t="s">
        <v>40</v>
      </c>
      <c r="W18" s="295" t="b">
        <f t="shared" si="2"/>
        <v>1</v>
      </c>
      <c r="X18" s="295" t="b">
        <f t="shared" si="2"/>
        <v>1</v>
      </c>
    </row>
    <row r="19" spans="1:24" ht="13.5">
      <c r="A19" s="307"/>
      <c r="B19" s="323" t="s">
        <v>41</v>
      </c>
      <c r="C19" s="295" t="s">
        <v>42</v>
      </c>
      <c r="D19" s="318">
        <v>0</v>
      </c>
      <c r="E19" s="318">
        <v>0</v>
      </c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24" t="s">
        <v>33</v>
      </c>
      <c r="Q19" s="295" t="s">
        <v>34</v>
      </c>
      <c r="R19" s="324"/>
      <c r="U19" s="325" t="s">
        <v>41</v>
      </c>
      <c r="V19" s="325" t="s">
        <v>42</v>
      </c>
      <c r="W19" s="295" t="b">
        <f t="shared" si="2"/>
        <v>1</v>
      </c>
      <c r="X19" s="295" t="b">
        <f t="shared" si="2"/>
        <v>1</v>
      </c>
    </row>
    <row r="20" spans="1:24" ht="13.5">
      <c r="A20" s="326"/>
      <c r="B20" s="323" t="s">
        <v>43</v>
      </c>
      <c r="C20" s="295" t="s">
        <v>44</v>
      </c>
      <c r="D20" s="318">
        <v>0</v>
      </c>
      <c r="E20" s="318">
        <v>0</v>
      </c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24" t="s">
        <v>45</v>
      </c>
      <c r="Q20" s="295" t="s">
        <v>46</v>
      </c>
      <c r="R20" s="324"/>
      <c r="U20" s="216" t="s">
        <v>43</v>
      </c>
      <c r="V20" s="216" t="s">
        <v>44</v>
      </c>
      <c r="W20" s="295" t="b">
        <f t="shared" si="2"/>
        <v>1</v>
      </c>
      <c r="X20" s="295" t="b">
        <f t="shared" si="2"/>
        <v>1</v>
      </c>
    </row>
    <row r="21" spans="1:24" ht="13.5">
      <c r="A21" s="326"/>
      <c r="B21" s="323" t="s">
        <v>47</v>
      </c>
      <c r="C21" s="295" t="s">
        <v>48</v>
      </c>
      <c r="D21" s="318">
        <v>0</v>
      </c>
      <c r="E21" s="318">
        <v>0</v>
      </c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24" t="s">
        <v>45</v>
      </c>
      <c r="Q21" s="295" t="s">
        <v>46</v>
      </c>
      <c r="R21" s="324"/>
      <c r="U21" s="216" t="s">
        <v>47</v>
      </c>
      <c r="V21" s="216" t="s">
        <v>48</v>
      </c>
      <c r="W21" s="295" t="b">
        <f t="shared" si="2"/>
        <v>1</v>
      </c>
      <c r="X21" s="295" t="b">
        <f t="shared" si="2"/>
        <v>1</v>
      </c>
    </row>
    <row r="22" spans="1:24" ht="13.5">
      <c r="A22" s="307"/>
      <c r="B22" s="323" t="s">
        <v>49</v>
      </c>
      <c r="C22" s="295" t="s">
        <v>50</v>
      </c>
      <c r="D22" s="318">
        <v>0</v>
      </c>
      <c r="E22" s="318">
        <v>0</v>
      </c>
      <c r="F22" s="318"/>
      <c r="G22" s="318"/>
      <c r="H22" s="318"/>
      <c r="I22" s="318"/>
      <c r="J22" s="318"/>
      <c r="K22" s="318"/>
      <c r="L22" s="318"/>
      <c r="M22" s="318"/>
      <c r="N22" s="318"/>
      <c r="O22" s="318"/>
      <c r="P22" s="324" t="s">
        <v>45</v>
      </c>
      <c r="Q22" s="295" t="s">
        <v>46</v>
      </c>
      <c r="R22" s="324"/>
      <c r="U22" s="216" t="s">
        <v>49</v>
      </c>
      <c r="V22" s="216" t="s">
        <v>50</v>
      </c>
      <c r="W22" s="295" t="b">
        <f t="shared" si="2"/>
        <v>1</v>
      </c>
      <c r="X22" s="295" t="b">
        <f t="shared" si="2"/>
        <v>1</v>
      </c>
    </row>
    <row r="23" spans="1:24" ht="13.5">
      <c r="A23" s="307"/>
      <c r="B23" s="323" t="s">
        <v>51</v>
      </c>
      <c r="C23" s="295" t="s">
        <v>52</v>
      </c>
      <c r="D23" s="318">
        <v>86832198</v>
      </c>
      <c r="E23" s="318">
        <v>0</v>
      </c>
      <c r="F23" s="318"/>
      <c r="G23" s="318"/>
      <c r="H23" s="318"/>
      <c r="I23" s="318"/>
      <c r="J23" s="318"/>
      <c r="K23" s="318"/>
      <c r="L23" s="318"/>
      <c r="M23" s="318"/>
      <c r="N23" s="318"/>
      <c r="O23" s="318"/>
      <c r="P23" s="324" t="s">
        <v>45</v>
      </c>
      <c r="Q23" s="295" t="s">
        <v>46</v>
      </c>
      <c r="R23" s="324"/>
      <c r="U23" s="216" t="s">
        <v>51</v>
      </c>
      <c r="V23" s="216" t="s">
        <v>52</v>
      </c>
      <c r="W23" s="295" t="b">
        <f t="shared" si="2"/>
        <v>1</v>
      </c>
      <c r="X23" s="295" t="b">
        <f t="shared" si="2"/>
        <v>1</v>
      </c>
    </row>
    <row r="24" spans="1:24" ht="13.5">
      <c r="A24" s="307"/>
      <c r="B24" s="323" t="s">
        <v>53</v>
      </c>
      <c r="C24" s="295" t="s">
        <v>54</v>
      </c>
      <c r="D24" s="318">
        <v>6079778624</v>
      </c>
      <c r="E24" s="318">
        <v>0</v>
      </c>
      <c r="F24" s="318"/>
      <c r="G24" s="318"/>
      <c r="H24" s="318"/>
      <c r="I24" s="318"/>
      <c r="J24" s="318"/>
      <c r="K24" s="318"/>
      <c r="L24" s="318"/>
      <c r="M24" s="318"/>
      <c r="N24" s="318"/>
      <c r="O24" s="318"/>
      <c r="P24" s="324" t="s">
        <v>55</v>
      </c>
      <c r="Q24" s="295" t="s">
        <v>56</v>
      </c>
      <c r="R24" s="324"/>
      <c r="U24" s="216" t="s">
        <v>53</v>
      </c>
      <c r="V24" s="216" t="s">
        <v>54</v>
      </c>
      <c r="W24" s="295" t="b">
        <f t="shared" ref="W24:X88" si="3">U24=B24</f>
        <v>1</v>
      </c>
      <c r="X24" s="295" t="b">
        <f t="shared" si="3"/>
        <v>1</v>
      </c>
    </row>
    <row r="25" spans="1:24" ht="13.5">
      <c r="A25" s="307"/>
      <c r="B25" s="323" t="s">
        <v>57</v>
      </c>
      <c r="C25" s="295" t="s">
        <v>58</v>
      </c>
      <c r="D25" s="318">
        <v>20109358</v>
      </c>
      <c r="E25" s="318">
        <v>0</v>
      </c>
      <c r="F25" s="318"/>
      <c r="G25" s="318"/>
      <c r="H25" s="318"/>
      <c r="I25" s="318"/>
      <c r="J25" s="318"/>
      <c r="K25" s="318"/>
      <c r="L25" s="318"/>
      <c r="M25" s="318"/>
      <c r="N25" s="318"/>
      <c r="O25" s="318"/>
      <c r="P25" s="324" t="s">
        <v>55</v>
      </c>
      <c r="Q25" s="295" t="s">
        <v>56</v>
      </c>
      <c r="R25" s="324"/>
      <c r="U25" s="216" t="s">
        <v>57</v>
      </c>
      <c r="V25" s="216" t="s">
        <v>58</v>
      </c>
      <c r="W25" s="295" t="b">
        <f t="shared" si="3"/>
        <v>1</v>
      </c>
      <c r="X25" s="295" t="b">
        <f t="shared" si="3"/>
        <v>1</v>
      </c>
    </row>
    <row r="26" spans="1:24" ht="13.5">
      <c r="A26" s="307"/>
      <c r="B26" s="323" t="s">
        <v>837</v>
      </c>
      <c r="C26" s="295" t="s">
        <v>838</v>
      </c>
      <c r="D26" s="318">
        <v>0</v>
      </c>
      <c r="E26" s="318">
        <v>0</v>
      </c>
      <c r="F26" s="318"/>
      <c r="G26" s="318"/>
      <c r="H26" s="318"/>
      <c r="I26" s="318"/>
      <c r="J26" s="318"/>
      <c r="K26" s="318"/>
      <c r="L26" s="318"/>
      <c r="M26" s="318"/>
      <c r="N26" s="318"/>
      <c r="O26" s="318"/>
      <c r="P26" s="324" t="s">
        <v>55</v>
      </c>
      <c r="Q26" s="295" t="s">
        <v>56</v>
      </c>
      <c r="R26" s="324"/>
      <c r="U26" s="216" t="s">
        <v>837</v>
      </c>
      <c r="V26" s="216" t="s">
        <v>838</v>
      </c>
    </row>
    <row r="27" spans="1:24" ht="13.5">
      <c r="A27" s="307"/>
      <c r="B27" s="323" t="s">
        <v>59</v>
      </c>
      <c r="C27" s="295" t="s">
        <v>60</v>
      </c>
      <c r="D27" s="318">
        <v>0</v>
      </c>
      <c r="E27" s="318">
        <v>0</v>
      </c>
      <c r="F27" s="318"/>
      <c r="G27" s="318"/>
      <c r="H27" s="318"/>
      <c r="I27" s="318"/>
      <c r="J27" s="318"/>
      <c r="K27" s="318"/>
      <c r="L27" s="318"/>
      <c r="M27" s="318"/>
      <c r="N27" s="318"/>
      <c r="O27" s="318"/>
      <c r="P27" s="324" t="s">
        <v>61</v>
      </c>
      <c r="Q27" s="295" t="s">
        <v>60</v>
      </c>
      <c r="R27" s="324"/>
      <c r="U27" s="328" t="s">
        <v>59</v>
      </c>
      <c r="V27" s="328" t="s">
        <v>60</v>
      </c>
      <c r="W27" s="295" t="b">
        <f t="shared" si="3"/>
        <v>1</v>
      </c>
      <c r="X27" s="295" t="b">
        <f t="shared" si="3"/>
        <v>1</v>
      </c>
    </row>
    <row r="28" spans="1:24" ht="13.5">
      <c r="A28" s="307"/>
      <c r="B28" s="323" t="s">
        <v>62</v>
      </c>
      <c r="C28" s="295" t="s">
        <v>63</v>
      </c>
      <c r="D28" s="318">
        <v>0</v>
      </c>
      <c r="E28" s="318">
        <v>0</v>
      </c>
      <c r="F28" s="318"/>
      <c r="G28" s="318"/>
      <c r="H28" s="318"/>
      <c r="I28" s="318"/>
      <c r="J28" s="318"/>
      <c r="K28" s="318"/>
      <c r="L28" s="318"/>
      <c r="M28" s="318"/>
      <c r="N28" s="318"/>
      <c r="O28" s="318"/>
      <c r="P28" s="324" t="s">
        <v>64</v>
      </c>
      <c r="Q28" s="295" t="s">
        <v>65</v>
      </c>
      <c r="R28" s="324"/>
      <c r="U28" s="216" t="s">
        <v>62</v>
      </c>
      <c r="V28" s="216" t="s">
        <v>63</v>
      </c>
      <c r="W28" s="295" t="b">
        <f t="shared" si="3"/>
        <v>1</v>
      </c>
      <c r="X28" s="295" t="b">
        <f t="shared" si="3"/>
        <v>1</v>
      </c>
    </row>
    <row r="29" spans="1:24" ht="13.5">
      <c r="A29" s="307"/>
      <c r="B29" s="329" t="s">
        <v>505</v>
      </c>
      <c r="C29" s="295" t="s">
        <v>506</v>
      </c>
      <c r="D29" s="318">
        <v>0</v>
      </c>
      <c r="E29" s="318">
        <v>0</v>
      </c>
      <c r="F29" s="318"/>
      <c r="G29" s="318"/>
      <c r="H29" s="318"/>
      <c r="I29" s="318"/>
      <c r="J29" s="318"/>
      <c r="K29" s="318"/>
      <c r="L29" s="318"/>
      <c r="M29" s="318"/>
      <c r="N29" s="318"/>
      <c r="O29" s="318"/>
      <c r="P29" s="324" t="s">
        <v>55</v>
      </c>
      <c r="Q29" s="295" t="s">
        <v>56</v>
      </c>
      <c r="R29" s="324"/>
      <c r="U29" s="216" t="s">
        <v>505</v>
      </c>
      <c r="V29" s="216" t="s">
        <v>506</v>
      </c>
      <c r="W29" s="295" t="b">
        <f t="shared" si="3"/>
        <v>1</v>
      </c>
      <c r="X29" s="295" t="b">
        <f t="shared" si="3"/>
        <v>1</v>
      </c>
    </row>
    <row r="30" spans="1:24" ht="13.5">
      <c r="A30" s="307"/>
      <c r="B30" s="308"/>
      <c r="C30" s="309" t="s">
        <v>701</v>
      </c>
      <c r="D30" s="321">
        <v>53046553913</v>
      </c>
      <c r="E30" s="321">
        <v>43718</v>
      </c>
      <c r="F30" s="321"/>
      <c r="G30" s="321"/>
      <c r="H30" s="321"/>
      <c r="I30" s="321"/>
      <c r="J30" s="321"/>
      <c r="K30" s="321"/>
      <c r="L30" s="321"/>
      <c r="M30" s="321"/>
      <c r="N30" s="321"/>
      <c r="O30" s="318"/>
      <c r="P30" s="324" t="s">
        <v>66</v>
      </c>
      <c r="Q30" s="295" t="s">
        <v>66</v>
      </c>
      <c r="R30" s="324"/>
      <c r="U30" s="50" t="s">
        <v>839</v>
      </c>
      <c r="V30" s="216" t="s">
        <v>840</v>
      </c>
      <c r="W30" s="295" t="b">
        <f t="shared" si="3"/>
        <v>0</v>
      </c>
      <c r="X30" s="295" t="b">
        <f t="shared" si="3"/>
        <v>0</v>
      </c>
    </row>
    <row r="31" spans="1:24" ht="13.5">
      <c r="A31" s="307"/>
      <c r="B31" s="307" t="s">
        <v>67</v>
      </c>
      <c r="C31" s="295" t="s">
        <v>68</v>
      </c>
      <c r="D31" s="318">
        <v>1024597346</v>
      </c>
      <c r="E31" s="318">
        <v>43718</v>
      </c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324" t="s">
        <v>69</v>
      </c>
      <c r="Q31" s="295" t="s">
        <v>70</v>
      </c>
      <c r="R31" s="324"/>
      <c r="U31" s="50" t="s">
        <v>806</v>
      </c>
      <c r="V31" s="216" t="s">
        <v>70</v>
      </c>
      <c r="W31" s="295" t="b">
        <f t="shared" si="3"/>
        <v>0</v>
      </c>
      <c r="X31" s="295" t="b">
        <f t="shared" si="3"/>
        <v>0</v>
      </c>
    </row>
    <row r="32" spans="1:24" ht="13.5">
      <c r="A32" s="307"/>
      <c r="B32" s="307" t="s">
        <v>71</v>
      </c>
      <c r="C32" s="295" t="s">
        <v>72</v>
      </c>
      <c r="D32" s="318">
        <v>9749294700</v>
      </c>
      <c r="E32" s="318">
        <v>0</v>
      </c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24" t="s">
        <v>69</v>
      </c>
      <c r="Q32" s="295" t="s">
        <v>70</v>
      </c>
      <c r="R32" s="324"/>
      <c r="U32" s="322" t="s">
        <v>67</v>
      </c>
      <c r="V32" s="322" t="s">
        <v>68</v>
      </c>
      <c r="W32" s="295" t="b">
        <f t="shared" si="3"/>
        <v>0</v>
      </c>
      <c r="X32" s="295" t="b">
        <f t="shared" si="3"/>
        <v>0</v>
      </c>
    </row>
    <row r="33" spans="1:24" ht="13.5">
      <c r="A33" s="307"/>
      <c r="B33" s="307" t="s">
        <v>73</v>
      </c>
      <c r="C33" s="295" t="s">
        <v>74</v>
      </c>
      <c r="D33" s="318">
        <v>-692503942</v>
      </c>
      <c r="E33" s="318">
        <v>0</v>
      </c>
      <c r="F33" s="318"/>
      <c r="G33" s="318"/>
      <c r="H33" s="318"/>
      <c r="I33" s="318"/>
      <c r="J33" s="318"/>
      <c r="K33" s="318"/>
      <c r="L33" s="318"/>
      <c r="M33" s="318"/>
      <c r="N33" s="318"/>
      <c r="O33" s="318"/>
      <c r="P33" s="324" t="s">
        <v>69</v>
      </c>
      <c r="Q33" s="295" t="s">
        <v>70</v>
      </c>
      <c r="R33" s="324"/>
      <c r="U33" s="216" t="s">
        <v>71</v>
      </c>
      <c r="V33" s="216" t="s">
        <v>72</v>
      </c>
      <c r="W33" s="295" t="b">
        <f t="shared" si="3"/>
        <v>0</v>
      </c>
      <c r="X33" s="295" t="b">
        <f t="shared" si="3"/>
        <v>0</v>
      </c>
    </row>
    <row r="34" spans="1:24" ht="13.5">
      <c r="A34" s="307"/>
      <c r="B34" s="307" t="s">
        <v>75</v>
      </c>
      <c r="C34" s="295" t="s">
        <v>76</v>
      </c>
      <c r="D34" s="318">
        <v>17942503420</v>
      </c>
      <c r="E34" s="318">
        <v>0</v>
      </c>
      <c r="F34" s="318"/>
      <c r="G34" s="318"/>
      <c r="H34" s="318"/>
      <c r="I34" s="318"/>
      <c r="J34" s="318"/>
      <c r="K34" s="318"/>
      <c r="L34" s="318"/>
      <c r="M34" s="318"/>
      <c r="N34" s="318"/>
      <c r="O34" s="318"/>
      <c r="P34" s="324" t="s">
        <v>69</v>
      </c>
      <c r="Q34" s="295" t="s">
        <v>70</v>
      </c>
      <c r="R34" s="324"/>
      <c r="U34" s="216" t="s">
        <v>73</v>
      </c>
      <c r="V34" s="216" t="s">
        <v>74</v>
      </c>
      <c r="W34" s="295" t="b">
        <f t="shared" si="3"/>
        <v>0</v>
      </c>
      <c r="X34" s="295" t="b">
        <f t="shared" si="3"/>
        <v>0</v>
      </c>
    </row>
    <row r="35" spans="1:24" ht="13.5">
      <c r="A35" s="307"/>
      <c r="B35" s="307" t="s">
        <v>77</v>
      </c>
      <c r="C35" s="295" t="s">
        <v>78</v>
      </c>
      <c r="D35" s="318">
        <v>-840869466</v>
      </c>
      <c r="E35" s="318">
        <v>0</v>
      </c>
      <c r="F35" s="318"/>
      <c r="G35" s="318"/>
      <c r="H35" s="318"/>
      <c r="I35" s="318"/>
      <c r="J35" s="318"/>
      <c r="K35" s="318"/>
      <c r="L35" s="318"/>
      <c r="M35" s="318"/>
      <c r="N35" s="318"/>
      <c r="O35" s="318"/>
      <c r="P35" s="324" t="s">
        <v>69</v>
      </c>
      <c r="Q35" s="295" t="s">
        <v>70</v>
      </c>
      <c r="R35" s="324"/>
      <c r="U35" s="216" t="s">
        <v>75</v>
      </c>
      <c r="V35" s="216" t="s">
        <v>76</v>
      </c>
      <c r="W35" s="295" t="b">
        <f t="shared" si="3"/>
        <v>0</v>
      </c>
      <c r="X35" s="295" t="b">
        <f t="shared" si="3"/>
        <v>0</v>
      </c>
    </row>
    <row r="36" spans="1:24" ht="13.5">
      <c r="A36" s="307"/>
      <c r="B36" s="307" t="s">
        <v>79</v>
      </c>
      <c r="C36" s="295" t="s">
        <v>80</v>
      </c>
      <c r="D36" s="318">
        <v>8982567553</v>
      </c>
      <c r="E36" s="318">
        <v>0</v>
      </c>
      <c r="F36" s="318"/>
      <c r="G36" s="318"/>
      <c r="H36" s="318"/>
      <c r="I36" s="318"/>
      <c r="J36" s="318"/>
      <c r="K36" s="318"/>
      <c r="L36" s="318"/>
      <c r="M36" s="318"/>
      <c r="N36" s="318"/>
      <c r="O36" s="318"/>
      <c r="P36" s="324" t="s">
        <v>69</v>
      </c>
      <c r="Q36" s="295" t="s">
        <v>70</v>
      </c>
      <c r="R36" s="324"/>
      <c r="U36" s="216" t="s">
        <v>77</v>
      </c>
      <c r="V36" s="216" t="s">
        <v>78</v>
      </c>
      <c r="W36" s="295" t="b">
        <f t="shared" si="3"/>
        <v>0</v>
      </c>
      <c r="X36" s="295" t="b">
        <f t="shared" si="3"/>
        <v>0</v>
      </c>
    </row>
    <row r="37" spans="1:24" ht="13.5">
      <c r="A37" s="307"/>
      <c r="B37" s="307" t="s">
        <v>81</v>
      </c>
      <c r="C37" s="295" t="s">
        <v>82</v>
      </c>
      <c r="D37" s="318">
        <v>17547814739</v>
      </c>
      <c r="E37" s="318">
        <v>0</v>
      </c>
      <c r="F37" s="318"/>
      <c r="G37" s="318"/>
      <c r="H37" s="318"/>
      <c r="I37" s="318"/>
      <c r="J37" s="318"/>
      <c r="K37" s="318"/>
      <c r="L37" s="318"/>
      <c r="M37" s="318"/>
      <c r="N37" s="318"/>
      <c r="O37" s="318"/>
      <c r="P37" s="324" t="s">
        <v>69</v>
      </c>
      <c r="Q37" s="295" t="s">
        <v>70</v>
      </c>
      <c r="R37" s="324"/>
      <c r="U37" s="216" t="s">
        <v>79</v>
      </c>
      <c r="V37" s="216" t="s">
        <v>80</v>
      </c>
      <c r="W37" s="295" t="b">
        <f t="shared" si="3"/>
        <v>0</v>
      </c>
      <c r="X37" s="295" t="b">
        <f t="shared" si="3"/>
        <v>0</v>
      </c>
    </row>
    <row r="38" spans="1:24" ht="13.5">
      <c r="A38" s="307"/>
      <c r="B38" s="323" t="s">
        <v>83</v>
      </c>
      <c r="C38" s="295" t="s">
        <v>84</v>
      </c>
      <c r="D38" s="318">
        <v>-1033566288</v>
      </c>
      <c r="E38" s="318">
        <v>0</v>
      </c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24" t="s">
        <v>69</v>
      </c>
      <c r="Q38" s="295" t="s">
        <v>70</v>
      </c>
      <c r="R38" s="320"/>
      <c r="U38" s="216" t="s">
        <v>81</v>
      </c>
      <c r="V38" s="216" t="s">
        <v>82</v>
      </c>
      <c r="W38" s="295" t="b">
        <f t="shared" si="3"/>
        <v>0</v>
      </c>
      <c r="X38" s="295" t="b">
        <f t="shared" si="3"/>
        <v>0</v>
      </c>
    </row>
    <row r="39" spans="1:24" ht="13.5">
      <c r="A39" s="307"/>
      <c r="B39" s="323" t="s">
        <v>85</v>
      </c>
      <c r="C39" s="295" t="s">
        <v>86</v>
      </c>
      <c r="D39" s="318">
        <v>0</v>
      </c>
      <c r="E39" s="318">
        <v>0</v>
      </c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24" t="s">
        <v>69</v>
      </c>
      <c r="Q39" s="295" t="s">
        <v>70</v>
      </c>
      <c r="R39" s="320"/>
      <c r="U39" s="216" t="s">
        <v>83</v>
      </c>
      <c r="V39" s="216" t="s">
        <v>84</v>
      </c>
      <c r="W39" s="295" t="b">
        <f t="shared" si="3"/>
        <v>0</v>
      </c>
      <c r="X39" s="295" t="b">
        <f t="shared" si="3"/>
        <v>0</v>
      </c>
    </row>
    <row r="40" spans="1:24" ht="13.5">
      <c r="A40" s="307"/>
      <c r="B40" s="323" t="s">
        <v>87</v>
      </c>
      <c r="C40" s="295" t="s">
        <v>88</v>
      </c>
      <c r="D40" s="318">
        <v>0</v>
      </c>
      <c r="E40" s="318">
        <v>0</v>
      </c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24" t="s">
        <v>69</v>
      </c>
      <c r="Q40" s="295" t="s">
        <v>70</v>
      </c>
      <c r="R40" s="320"/>
      <c r="U40" s="216" t="s">
        <v>85</v>
      </c>
      <c r="V40" s="216" t="s">
        <v>86</v>
      </c>
      <c r="W40" s="295" t="b">
        <f t="shared" si="3"/>
        <v>0</v>
      </c>
      <c r="X40" s="295" t="b">
        <f t="shared" si="3"/>
        <v>0</v>
      </c>
    </row>
    <row r="41" spans="1:24" ht="13.5">
      <c r="A41" s="307"/>
      <c r="B41" s="323" t="s">
        <v>89</v>
      </c>
      <c r="C41" s="295" t="s">
        <v>90</v>
      </c>
      <c r="D41" s="318">
        <v>366715851</v>
      </c>
      <c r="E41" s="318">
        <v>0</v>
      </c>
      <c r="F41" s="318"/>
      <c r="G41" s="318"/>
      <c r="H41" s="318"/>
      <c r="I41" s="318"/>
      <c r="J41" s="318"/>
      <c r="K41" s="318"/>
      <c r="L41" s="318"/>
      <c r="M41" s="318"/>
      <c r="N41" s="318"/>
      <c r="O41" s="318"/>
      <c r="P41" s="324" t="s">
        <v>69</v>
      </c>
      <c r="Q41" s="295" t="s">
        <v>70</v>
      </c>
      <c r="R41" s="320"/>
      <c r="U41" s="216" t="s">
        <v>87</v>
      </c>
      <c r="V41" s="216" t="s">
        <v>88</v>
      </c>
      <c r="W41" s="295" t="b">
        <f t="shared" si="3"/>
        <v>0</v>
      </c>
      <c r="X41" s="295" t="b">
        <f t="shared" si="3"/>
        <v>0</v>
      </c>
    </row>
    <row r="42" spans="1:24" ht="13.5">
      <c r="A42" s="307"/>
      <c r="B42" s="315" t="s">
        <v>15</v>
      </c>
      <c r="C42" s="316" t="s">
        <v>91</v>
      </c>
      <c r="D42" s="317">
        <v>139935385653.02499</v>
      </c>
      <c r="E42" s="317">
        <v>11047.35</v>
      </c>
      <c r="F42" s="317"/>
      <c r="G42" s="317"/>
      <c r="H42" s="317"/>
      <c r="I42" s="317"/>
      <c r="J42" s="317">
        <f>SUM(J43:J57,J78,J87)</f>
        <v>0</v>
      </c>
      <c r="K42" s="317"/>
      <c r="L42" s="317">
        <f>SUM(L43:L57,L78,L87)</f>
        <v>0</v>
      </c>
      <c r="M42" s="317">
        <f>SUM(M43:M57,M78,M87)</f>
        <v>0</v>
      </c>
      <c r="N42" s="317">
        <f>SUM(N43:N57,N78,N87)</f>
        <v>0</v>
      </c>
      <c r="O42" s="318"/>
      <c r="P42" s="324" t="s">
        <v>66</v>
      </c>
      <c r="Q42" s="295" t="s">
        <v>66</v>
      </c>
      <c r="R42" s="320"/>
      <c r="U42" s="216" t="s">
        <v>89</v>
      </c>
      <c r="V42" s="216" t="s">
        <v>90</v>
      </c>
      <c r="W42" s="295" t="b">
        <f t="shared" si="3"/>
        <v>0</v>
      </c>
      <c r="X42" s="295" t="b">
        <f t="shared" si="3"/>
        <v>0</v>
      </c>
    </row>
    <row r="43" spans="1:24" ht="13.5">
      <c r="A43" s="307"/>
      <c r="B43" s="323" t="s">
        <v>92</v>
      </c>
      <c r="C43" s="295" t="s">
        <v>93</v>
      </c>
      <c r="D43" s="318">
        <v>0</v>
      </c>
      <c r="E43" s="318">
        <v>0</v>
      </c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24" t="s">
        <v>94</v>
      </c>
      <c r="Q43" s="295" t="s">
        <v>95</v>
      </c>
      <c r="R43" s="320"/>
      <c r="U43" s="216"/>
      <c r="V43" s="216"/>
      <c r="W43" s="295" t="b">
        <f t="shared" si="3"/>
        <v>0</v>
      </c>
      <c r="X43" s="295" t="b">
        <f t="shared" si="3"/>
        <v>0</v>
      </c>
    </row>
    <row r="44" spans="1:24" ht="13.5">
      <c r="A44" s="307"/>
      <c r="B44" s="323" t="s">
        <v>96</v>
      </c>
      <c r="C44" s="295" t="s">
        <v>97</v>
      </c>
      <c r="D44" s="318">
        <v>0</v>
      </c>
      <c r="E44" s="318">
        <v>0</v>
      </c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24" t="s">
        <v>94</v>
      </c>
      <c r="Q44" s="295" t="s">
        <v>95</v>
      </c>
      <c r="R44" s="320"/>
      <c r="U44" s="216" t="s">
        <v>915</v>
      </c>
      <c r="V44" s="216" t="s">
        <v>575</v>
      </c>
      <c r="W44" s="295" t="b">
        <f t="shared" si="3"/>
        <v>0</v>
      </c>
      <c r="X44" s="295" t="b">
        <f t="shared" si="3"/>
        <v>0</v>
      </c>
    </row>
    <row r="45" spans="1:24" ht="13.5">
      <c r="A45" s="307"/>
      <c r="B45" s="323" t="s">
        <v>98</v>
      </c>
      <c r="C45" s="295" t="s">
        <v>99</v>
      </c>
      <c r="D45" s="318">
        <v>5047622400.0250015</v>
      </c>
      <c r="E45" s="318">
        <v>0</v>
      </c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24" t="s">
        <v>507</v>
      </c>
      <c r="Q45" s="295" t="s">
        <v>99</v>
      </c>
      <c r="R45" s="320"/>
      <c r="U45" s="314" t="s">
        <v>916</v>
      </c>
      <c r="V45" s="314" t="s">
        <v>576</v>
      </c>
      <c r="W45" s="295" t="b">
        <f t="shared" si="3"/>
        <v>0</v>
      </c>
      <c r="X45" s="295" t="b">
        <f t="shared" si="3"/>
        <v>0</v>
      </c>
    </row>
    <row r="46" spans="1:24" ht="13.5">
      <c r="A46" s="307"/>
      <c r="B46" s="323" t="s">
        <v>100</v>
      </c>
      <c r="C46" s="295" t="s">
        <v>101</v>
      </c>
      <c r="D46" s="318">
        <v>0</v>
      </c>
      <c r="E46" s="318">
        <v>0</v>
      </c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24" t="s">
        <v>102</v>
      </c>
      <c r="Q46" s="295" t="s">
        <v>103</v>
      </c>
      <c r="R46" s="320"/>
      <c r="U46" s="322" t="s">
        <v>92</v>
      </c>
      <c r="V46" s="322" t="s">
        <v>93</v>
      </c>
      <c r="W46" s="295" t="b">
        <f t="shared" si="3"/>
        <v>0</v>
      </c>
      <c r="X46" s="295" t="b">
        <f t="shared" si="3"/>
        <v>0</v>
      </c>
    </row>
    <row r="47" spans="1:24" ht="13.5">
      <c r="A47" s="307"/>
      <c r="B47" s="323" t="s">
        <v>104</v>
      </c>
      <c r="C47" s="295" t="s">
        <v>105</v>
      </c>
      <c r="D47" s="318">
        <v>1725826013</v>
      </c>
      <c r="E47" s="318">
        <v>0</v>
      </c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24" t="s">
        <v>106</v>
      </c>
      <c r="Q47" s="295" t="s">
        <v>107</v>
      </c>
      <c r="R47" s="320"/>
      <c r="U47" s="216" t="s">
        <v>96</v>
      </c>
      <c r="V47" s="216" t="s">
        <v>97</v>
      </c>
      <c r="W47" s="295" t="b">
        <f t="shared" si="3"/>
        <v>0</v>
      </c>
      <c r="X47" s="295" t="b">
        <f t="shared" si="3"/>
        <v>0</v>
      </c>
    </row>
    <row r="48" spans="1:24" ht="13.5">
      <c r="A48" s="326"/>
      <c r="B48" s="323" t="s">
        <v>108</v>
      </c>
      <c r="C48" s="295" t="s">
        <v>109</v>
      </c>
      <c r="D48" s="318">
        <v>82863041989</v>
      </c>
      <c r="E48" s="318">
        <v>0</v>
      </c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24" t="s">
        <v>106</v>
      </c>
      <c r="Q48" s="295" t="s">
        <v>107</v>
      </c>
      <c r="R48" s="320"/>
      <c r="U48" s="216" t="s">
        <v>98</v>
      </c>
      <c r="V48" s="216" t="s">
        <v>99</v>
      </c>
      <c r="W48" s="295" t="b">
        <f t="shared" si="3"/>
        <v>0</v>
      </c>
      <c r="X48" s="295" t="b">
        <f t="shared" si="3"/>
        <v>0</v>
      </c>
    </row>
    <row r="49" spans="1:24" ht="13.5">
      <c r="A49" s="307"/>
      <c r="B49" s="323" t="s">
        <v>110</v>
      </c>
      <c r="C49" s="295" t="s">
        <v>111</v>
      </c>
      <c r="D49" s="318">
        <v>359044000</v>
      </c>
      <c r="E49" s="318">
        <v>0</v>
      </c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24" t="s">
        <v>94</v>
      </c>
      <c r="Q49" s="295" t="s">
        <v>95</v>
      </c>
      <c r="R49" s="320"/>
      <c r="U49" s="216" t="s">
        <v>100</v>
      </c>
      <c r="V49" s="216" t="s">
        <v>101</v>
      </c>
      <c r="W49" s="295" t="b">
        <f t="shared" si="3"/>
        <v>0</v>
      </c>
      <c r="X49" s="295" t="b">
        <f t="shared" si="3"/>
        <v>0</v>
      </c>
    </row>
    <row r="50" spans="1:24" ht="13.5">
      <c r="A50" s="326"/>
      <c r="B50" s="323" t="s">
        <v>112</v>
      </c>
      <c r="C50" s="295" t="s">
        <v>113</v>
      </c>
      <c r="D50" s="318">
        <v>0</v>
      </c>
      <c r="E50" s="318">
        <v>0</v>
      </c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24" t="s">
        <v>94</v>
      </c>
      <c r="Q50" s="295" t="s">
        <v>95</v>
      </c>
      <c r="R50" s="320"/>
      <c r="U50" s="216" t="s">
        <v>104</v>
      </c>
      <c r="V50" s="216" t="s">
        <v>105</v>
      </c>
      <c r="W50" s="295" t="b">
        <f t="shared" si="3"/>
        <v>0</v>
      </c>
      <c r="X50" s="295" t="b">
        <f t="shared" si="3"/>
        <v>0</v>
      </c>
    </row>
    <row r="51" spans="1:24" ht="13.5">
      <c r="A51" s="326"/>
      <c r="B51" s="323" t="s">
        <v>952</v>
      </c>
      <c r="C51" s="295" t="s">
        <v>953</v>
      </c>
      <c r="D51" s="318">
        <v>42450000</v>
      </c>
      <c r="E51" s="318">
        <v>0</v>
      </c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24" t="s">
        <v>94</v>
      </c>
      <c r="Q51" s="295" t="s">
        <v>95</v>
      </c>
      <c r="R51" s="320"/>
      <c r="U51" s="216" t="s">
        <v>108</v>
      </c>
      <c r="V51" s="216" t="s">
        <v>109</v>
      </c>
    </row>
    <row r="52" spans="1:24" ht="13.5">
      <c r="A52" s="307"/>
      <c r="B52" s="323" t="s">
        <v>114</v>
      </c>
      <c r="C52" s="295" t="s">
        <v>115</v>
      </c>
      <c r="D52" s="318">
        <v>0</v>
      </c>
      <c r="E52" s="318">
        <v>0</v>
      </c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24" t="s">
        <v>94</v>
      </c>
      <c r="Q52" s="295" t="s">
        <v>95</v>
      </c>
      <c r="R52" s="320"/>
      <c r="U52" s="216" t="s">
        <v>917</v>
      </c>
      <c r="V52" s="216" t="s">
        <v>129</v>
      </c>
      <c r="W52" s="295" t="b">
        <f t="shared" si="3"/>
        <v>0</v>
      </c>
      <c r="X52" s="295" t="b">
        <f t="shared" si="3"/>
        <v>0</v>
      </c>
    </row>
    <row r="53" spans="1:24" ht="13.5">
      <c r="A53" s="307"/>
      <c r="B53" s="323" t="s">
        <v>116</v>
      </c>
      <c r="C53" s="295" t="s">
        <v>117</v>
      </c>
      <c r="D53" s="318">
        <v>0</v>
      </c>
      <c r="E53" s="318">
        <v>0</v>
      </c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24" t="s">
        <v>118</v>
      </c>
      <c r="Q53" s="295" t="s">
        <v>117</v>
      </c>
      <c r="R53" s="320"/>
      <c r="U53" s="216" t="s">
        <v>126</v>
      </c>
      <c r="V53" s="216" t="s">
        <v>127</v>
      </c>
      <c r="W53" s="295" t="b">
        <f t="shared" si="3"/>
        <v>0</v>
      </c>
      <c r="X53" s="295" t="b">
        <f t="shared" si="3"/>
        <v>0</v>
      </c>
    </row>
    <row r="54" spans="1:24" ht="13.5">
      <c r="A54" s="307"/>
      <c r="B54" s="323" t="s">
        <v>119</v>
      </c>
      <c r="C54" s="295" t="s">
        <v>120</v>
      </c>
      <c r="D54" s="318">
        <v>0</v>
      </c>
      <c r="E54" s="318">
        <v>0</v>
      </c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24" t="s">
        <v>118</v>
      </c>
      <c r="Q54" s="295" t="s">
        <v>117</v>
      </c>
      <c r="R54" s="320"/>
      <c r="U54" s="322" t="s">
        <v>130</v>
      </c>
      <c r="V54" s="322" t="s">
        <v>131</v>
      </c>
      <c r="W54" s="295" t="b">
        <f t="shared" si="3"/>
        <v>0</v>
      </c>
      <c r="X54" s="295" t="b">
        <f t="shared" si="3"/>
        <v>0</v>
      </c>
    </row>
    <row r="55" spans="1:24" ht="13.5">
      <c r="A55" s="326"/>
      <c r="B55" s="323" t="s">
        <v>121</v>
      </c>
      <c r="C55" s="295" t="s">
        <v>122</v>
      </c>
      <c r="D55" s="318">
        <v>0</v>
      </c>
      <c r="E55" s="318">
        <v>0</v>
      </c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24" t="s">
        <v>118</v>
      </c>
      <c r="Q55" s="295" t="s">
        <v>117</v>
      </c>
      <c r="R55" s="320"/>
      <c r="U55" s="216" t="s">
        <v>132</v>
      </c>
      <c r="V55" s="216" t="s">
        <v>133</v>
      </c>
      <c r="W55" s="295" t="b">
        <f t="shared" si="3"/>
        <v>0</v>
      </c>
      <c r="X55" s="295" t="b">
        <f t="shared" si="3"/>
        <v>0</v>
      </c>
    </row>
    <row r="56" spans="1:24" ht="13.5">
      <c r="A56" s="326"/>
      <c r="B56" s="323" t="s">
        <v>123</v>
      </c>
      <c r="C56" s="295" t="s">
        <v>124</v>
      </c>
      <c r="D56" s="318">
        <v>0</v>
      </c>
      <c r="E56" s="318">
        <v>0</v>
      </c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24" t="s">
        <v>118</v>
      </c>
      <c r="Q56" s="295" t="s">
        <v>117</v>
      </c>
      <c r="R56" s="320"/>
      <c r="U56" s="216" t="s">
        <v>134</v>
      </c>
      <c r="V56" s="216" t="s">
        <v>135</v>
      </c>
      <c r="W56" s="295" t="b">
        <f t="shared" si="3"/>
        <v>0</v>
      </c>
      <c r="X56" s="295" t="b">
        <f t="shared" si="3"/>
        <v>0</v>
      </c>
    </row>
    <row r="57" spans="1:24" ht="13.5">
      <c r="A57" s="307"/>
      <c r="B57" s="308" t="s">
        <v>15</v>
      </c>
      <c r="C57" s="309" t="s">
        <v>125</v>
      </c>
      <c r="D57" s="321">
        <v>49647312159</v>
      </c>
      <c r="E57" s="321">
        <v>11047.35</v>
      </c>
      <c r="F57" s="321"/>
      <c r="G57" s="321"/>
      <c r="H57" s="321"/>
      <c r="I57" s="321"/>
      <c r="J57" s="321">
        <f>SUM(J58:J76)</f>
        <v>0</v>
      </c>
      <c r="K57" s="321"/>
      <c r="L57" s="321">
        <f>SUM(L58:L72)</f>
        <v>0</v>
      </c>
      <c r="M57" s="321">
        <f>SUM(M58:M72)</f>
        <v>0</v>
      </c>
      <c r="N57" s="321">
        <f>SUM(N58:N72)</f>
        <v>0</v>
      </c>
      <c r="O57" s="318"/>
      <c r="P57" s="324" t="s">
        <v>66</v>
      </c>
      <c r="Q57" s="295" t="s">
        <v>66</v>
      </c>
      <c r="R57" s="320"/>
      <c r="U57" s="216" t="s">
        <v>136</v>
      </c>
      <c r="V57" s="216" t="s">
        <v>137</v>
      </c>
      <c r="W57" s="295" t="b">
        <f t="shared" si="3"/>
        <v>0</v>
      </c>
      <c r="X57" s="295" t="b">
        <f t="shared" si="3"/>
        <v>0</v>
      </c>
    </row>
    <row r="58" spans="1:24" ht="13.5">
      <c r="A58" s="307"/>
      <c r="B58" s="323" t="s">
        <v>126</v>
      </c>
      <c r="C58" s="295" t="s">
        <v>127</v>
      </c>
      <c r="D58" s="318">
        <v>14540910314</v>
      </c>
      <c r="E58" s="318">
        <v>0</v>
      </c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24" t="s">
        <v>128</v>
      </c>
      <c r="Q58" s="295" t="s">
        <v>129</v>
      </c>
      <c r="R58" s="320"/>
      <c r="U58" s="216" t="s">
        <v>138</v>
      </c>
      <c r="V58" s="216" t="s">
        <v>139</v>
      </c>
      <c r="W58" s="295" t="b">
        <f t="shared" si="3"/>
        <v>0</v>
      </c>
      <c r="X58" s="295" t="b">
        <f t="shared" si="3"/>
        <v>0</v>
      </c>
    </row>
    <row r="59" spans="1:24" ht="13.5">
      <c r="A59" s="307"/>
      <c r="B59" s="323" t="s">
        <v>130</v>
      </c>
      <c r="C59" s="295" t="s">
        <v>131</v>
      </c>
      <c r="D59" s="318">
        <v>19217775430</v>
      </c>
      <c r="E59" s="318">
        <v>0</v>
      </c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24" t="s">
        <v>128</v>
      </c>
      <c r="Q59" s="295" t="s">
        <v>129</v>
      </c>
      <c r="R59" s="320"/>
      <c r="U59" s="216" t="s">
        <v>140</v>
      </c>
      <c r="V59" s="216" t="s">
        <v>141</v>
      </c>
      <c r="W59" s="295" t="b">
        <f t="shared" si="3"/>
        <v>0</v>
      </c>
      <c r="X59" s="295" t="b">
        <f t="shared" si="3"/>
        <v>0</v>
      </c>
    </row>
    <row r="60" spans="1:24" ht="13.5">
      <c r="A60" s="307"/>
      <c r="B60" s="323" t="s">
        <v>132</v>
      </c>
      <c r="C60" s="295" t="s">
        <v>133</v>
      </c>
      <c r="D60" s="318">
        <v>-1727592015</v>
      </c>
      <c r="E60" s="318">
        <v>0</v>
      </c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24" t="s">
        <v>128</v>
      </c>
      <c r="Q60" s="295" t="s">
        <v>129</v>
      </c>
      <c r="R60" s="320"/>
      <c r="U60" s="216" t="s">
        <v>142</v>
      </c>
      <c r="V60" s="216" t="s">
        <v>143</v>
      </c>
      <c r="W60" s="295" t="b">
        <f t="shared" si="3"/>
        <v>0</v>
      </c>
      <c r="X60" s="295" t="b">
        <f t="shared" si="3"/>
        <v>0</v>
      </c>
    </row>
    <row r="61" spans="1:24" ht="13.5">
      <c r="A61" s="307"/>
      <c r="B61" s="323" t="s">
        <v>134</v>
      </c>
      <c r="C61" s="295" t="s">
        <v>135</v>
      </c>
      <c r="D61" s="318">
        <v>257700000</v>
      </c>
      <c r="E61" s="318">
        <v>0</v>
      </c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24" t="s">
        <v>128</v>
      </c>
      <c r="Q61" s="295" t="s">
        <v>129</v>
      </c>
      <c r="R61" s="320"/>
      <c r="U61" s="216" t="s">
        <v>144</v>
      </c>
      <c r="V61" s="216" t="s">
        <v>145</v>
      </c>
      <c r="W61" s="295" t="b">
        <f t="shared" si="3"/>
        <v>0</v>
      </c>
      <c r="X61" s="295" t="b">
        <f t="shared" si="3"/>
        <v>0</v>
      </c>
    </row>
    <row r="62" spans="1:24" ht="13.5">
      <c r="A62" s="307"/>
      <c r="B62" s="323" t="s">
        <v>136</v>
      </c>
      <c r="C62" s="295" t="s">
        <v>137</v>
      </c>
      <c r="D62" s="318">
        <v>-4353959</v>
      </c>
      <c r="E62" s="318">
        <v>0</v>
      </c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24" t="s">
        <v>128</v>
      </c>
      <c r="Q62" s="295" t="s">
        <v>129</v>
      </c>
      <c r="R62" s="320"/>
      <c r="U62" s="216" t="s">
        <v>146</v>
      </c>
      <c r="V62" s="216" t="s">
        <v>147</v>
      </c>
      <c r="W62" s="295" t="b">
        <f t="shared" si="3"/>
        <v>0</v>
      </c>
      <c r="X62" s="295" t="b">
        <f t="shared" si="3"/>
        <v>0</v>
      </c>
    </row>
    <row r="63" spans="1:24" ht="13.5">
      <c r="A63" s="307"/>
      <c r="B63" s="323" t="s">
        <v>138</v>
      </c>
      <c r="C63" s="295" t="s">
        <v>139</v>
      </c>
      <c r="D63" s="318">
        <v>15320979207</v>
      </c>
      <c r="E63" s="318">
        <v>0</v>
      </c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24" t="s">
        <v>128</v>
      </c>
      <c r="Q63" s="295" t="s">
        <v>129</v>
      </c>
      <c r="R63" s="320"/>
      <c r="U63" s="216" t="s">
        <v>148</v>
      </c>
      <c r="V63" s="216" t="s">
        <v>149</v>
      </c>
      <c r="W63" s="295" t="b">
        <f t="shared" si="3"/>
        <v>0</v>
      </c>
      <c r="X63" s="295" t="b">
        <f t="shared" si="3"/>
        <v>0</v>
      </c>
    </row>
    <row r="64" spans="1:24" ht="13.5">
      <c r="A64" s="307"/>
      <c r="B64" s="323" t="s">
        <v>140</v>
      </c>
      <c r="C64" s="295" t="s">
        <v>141</v>
      </c>
      <c r="D64" s="318">
        <v>-3981680038</v>
      </c>
      <c r="E64" s="318">
        <v>0</v>
      </c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24" t="s">
        <v>128</v>
      </c>
      <c r="Q64" s="295" t="s">
        <v>129</v>
      </c>
      <c r="R64" s="320"/>
      <c r="U64" s="216" t="s">
        <v>150</v>
      </c>
      <c r="V64" s="216" t="s">
        <v>151</v>
      </c>
      <c r="W64" s="295" t="b">
        <f t="shared" si="3"/>
        <v>0</v>
      </c>
      <c r="X64" s="295" t="b">
        <f t="shared" si="3"/>
        <v>0</v>
      </c>
    </row>
    <row r="65" spans="1:24" ht="13.5">
      <c r="A65" s="307"/>
      <c r="B65" s="323" t="s">
        <v>142</v>
      </c>
      <c r="C65" s="295" t="s">
        <v>143</v>
      </c>
      <c r="D65" s="318">
        <v>0</v>
      </c>
      <c r="E65" s="318">
        <v>0</v>
      </c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24" t="s">
        <v>128</v>
      </c>
      <c r="Q65" s="295" t="s">
        <v>129</v>
      </c>
      <c r="R65" s="320"/>
      <c r="U65" s="216" t="s">
        <v>152</v>
      </c>
      <c r="V65" s="216" t="s">
        <v>153</v>
      </c>
      <c r="W65" s="295" t="b">
        <f t="shared" si="3"/>
        <v>0</v>
      </c>
      <c r="X65" s="295" t="b">
        <f t="shared" si="3"/>
        <v>0</v>
      </c>
    </row>
    <row r="66" spans="1:24" ht="13.5">
      <c r="A66" s="307"/>
      <c r="B66" s="323" t="s">
        <v>144</v>
      </c>
      <c r="C66" s="295" t="s">
        <v>145</v>
      </c>
      <c r="D66" s="318">
        <v>125824402</v>
      </c>
      <c r="E66" s="318">
        <v>0</v>
      </c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24" t="s">
        <v>128</v>
      </c>
      <c r="Q66" s="295" t="s">
        <v>129</v>
      </c>
      <c r="R66" s="320"/>
      <c r="U66" s="216" t="s">
        <v>154</v>
      </c>
      <c r="V66" s="216" t="s">
        <v>155</v>
      </c>
      <c r="W66" s="295" t="b">
        <f t="shared" si="3"/>
        <v>0</v>
      </c>
      <c r="X66" s="295" t="b">
        <f t="shared" si="3"/>
        <v>0</v>
      </c>
    </row>
    <row r="67" spans="1:24" ht="13.5">
      <c r="A67" s="307"/>
      <c r="B67" s="330" t="s">
        <v>146</v>
      </c>
      <c r="C67" s="295" t="s">
        <v>147</v>
      </c>
      <c r="D67" s="318">
        <v>-24557355</v>
      </c>
      <c r="E67" s="318">
        <v>0</v>
      </c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24" t="s">
        <v>128</v>
      </c>
      <c r="Q67" s="295" t="s">
        <v>129</v>
      </c>
      <c r="R67" s="320"/>
      <c r="U67" s="216" t="s">
        <v>156</v>
      </c>
      <c r="V67" s="216" t="s">
        <v>157</v>
      </c>
      <c r="W67" s="295" t="b">
        <f t="shared" si="3"/>
        <v>0</v>
      </c>
      <c r="X67" s="295" t="b">
        <f t="shared" si="3"/>
        <v>0</v>
      </c>
    </row>
    <row r="68" spans="1:24" ht="13.5">
      <c r="A68" s="307"/>
      <c r="B68" s="323" t="s">
        <v>148</v>
      </c>
      <c r="C68" s="295" t="s">
        <v>149</v>
      </c>
      <c r="D68" s="318">
        <v>211935000</v>
      </c>
      <c r="E68" s="318">
        <v>0</v>
      </c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24" t="s">
        <v>128</v>
      </c>
      <c r="Q68" s="295" t="s">
        <v>129</v>
      </c>
      <c r="R68" s="320"/>
      <c r="U68" s="216" t="s">
        <v>158</v>
      </c>
      <c r="V68" s="216" t="s">
        <v>159</v>
      </c>
      <c r="W68" s="295" t="b">
        <f t="shared" si="3"/>
        <v>0</v>
      </c>
      <c r="X68" s="295" t="b">
        <f t="shared" si="3"/>
        <v>0</v>
      </c>
    </row>
    <row r="69" spans="1:24" ht="13.5">
      <c r="A69" s="307"/>
      <c r="B69" s="323" t="s">
        <v>150</v>
      </c>
      <c r="C69" s="295" t="s">
        <v>151</v>
      </c>
      <c r="D69" s="318">
        <v>-171495917</v>
      </c>
      <c r="E69" s="318">
        <v>0</v>
      </c>
      <c r="F69" s="318"/>
      <c r="G69" s="318"/>
      <c r="H69" s="318"/>
      <c r="I69" s="318"/>
      <c r="J69" s="318"/>
      <c r="K69" s="318"/>
      <c r="L69" s="318"/>
      <c r="M69" s="318"/>
      <c r="N69" s="318"/>
      <c r="O69" s="318"/>
      <c r="P69" s="324" t="s">
        <v>128</v>
      </c>
      <c r="Q69" s="295" t="s">
        <v>129</v>
      </c>
      <c r="R69" s="320"/>
      <c r="U69" s="216" t="s">
        <v>160</v>
      </c>
      <c r="V69" s="216" t="s">
        <v>161</v>
      </c>
      <c r="W69" s="295" t="b">
        <f t="shared" si="3"/>
        <v>0</v>
      </c>
      <c r="X69" s="295" t="b">
        <f t="shared" si="3"/>
        <v>0</v>
      </c>
    </row>
    <row r="70" spans="1:24" ht="13.5">
      <c r="A70" s="307"/>
      <c r="B70" s="323" t="s">
        <v>152</v>
      </c>
      <c r="C70" s="295" t="s">
        <v>153</v>
      </c>
      <c r="D70" s="318">
        <v>0</v>
      </c>
      <c r="E70" s="318">
        <v>0</v>
      </c>
      <c r="F70" s="318"/>
      <c r="G70" s="318"/>
      <c r="H70" s="318"/>
      <c r="I70" s="318"/>
      <c r="J70" s="318"/>
      <c r="K70" s="318"/>
      <c r="L70" s="318"/>
      <c r="M70" s="318"/>
      <c r="N70" s="318"/>
      <c r="O70" s="318"/>
      <c r="P70" s="324" t="s">
        <v>128</v>
      </c>
      <c r="Q70" s="295" t="s">
        <v>129</v>
      </c>
      <c r="R70" s="320"/>
      <c r="U70" s="216" t="s">
        <v>162</v>
      </c>
      <c r="V70" s="216" t="s">
        <v>163</v>
      </c>
      <c r="W70" s="295" t="b">
        <f t="shared" si="3"/>
        <v>0</v>
      </c>
      <c r="X70" s="295" t="b">
        <f t="shared" si="3"/>
        <v>0</v>
      </c>
    </row>
    <row r="71" spans="1:24" ht="13.5">
      <c r="A71" s="307"/>
      <c r="B71" s="323" t="s">
        <v>154</v>
      </c>
      <c r="C71" s="295" t="s">
        <v>155</v>
      </c>
      <c r="D71" s="318">
        <v>1766093306</v>
      </c>
      <c r="E71" s="318">
        <v>15261.35</v>
      </c>
      <c r="F71" s="318"/>
      <c r="G71" s="318"/>
      <c r="H71" s="318"/>
      <c r="I71" s="318"/>
      <c r="J71" s="318"/>
      <c r="K71" s="318"/>
      <c r="L71" s="318"/>
      <c r="M71" s="318"/>
      <c r="N71" s="318"/>
      <c r="O71" s="318"/>
      <c r="P71" s="324" t="s">
        <v>128</v>
      </c>
      <c r="Q71" s="295" t="s">
        <v>129</v>
      </c>
      <c r="R71" s="320"/>
      <c r="U71" s="216" t="s">
        <v>164</v>
      </c>
      <c r="V71" s="216" t="s">
        <v>165</v>
      </c>
      <c r="W71" s="295" t="b">
        <f t="shared" si="3"/>
        <v>0</v>
      </c>
      <c r="X71" s="295" t="b">
        <f t="shared" si="3"/>
        <v>0</v>
      </c>
    </row>
    <row r="72" spans="1:24" ht="13.5">
      <c r="A72" s="307"/>
      <c r="B72" s="323" t="s">
        <v>156</v>
      </c>
      <c r="C72" s="295" t="s">
        <v>157</v>
      </c>
      <c r="D72" s="318">
        <v>-1064337579</v>
      </c>
      <c r="E72" s="318">
        <v>-4214</v>
      </c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24" t="s">
        <v>128</v>
      </c>
      <c r="Q72" s="295" t="s">
        <v>129</v>
      </c>
      <c r="R72" s="320"/>
      <c r="U72" s="216" t="s">
        <v>166</v>
      </c>
      <c r="V72" s="216" t="s">
        <v>167</v>
      </c>
      <c r="W72" s="295" t="b">
        <f t="shared" si="3"/>
        <v>0</v>
      </c>
      <c r="X72" s="295" t="b">
        <f t="shared" si="3"/>
        <v>0</v>
      </c>
    </row>
    <row r="73" spans="1:24" ht="13.5">
      <c r="A73" s="307"/>
      <c r="B73" s="323" t="s">
        <v>158</v>
      </c>
      <c r="C73" s="295" t="s">
        <v>159</v>
      </c>
      <c r="D73" s="318">
        <v>4219307334</v>
      </c>
      <c r="E73" s="318">
        <v>0</v>
      </c>
      <c r="F73" s="318"/>
      <c r="G73" s="318"/>
      <c r="H73" s="318"/>
      <c r="I73" s="318"/>
      <c r="J73" s="318"/>
      <c r="K73" s="318"/>
      <c r="L73" s="318"/>
      <c r="M73" s="318"/>
      <c r="N73" s="318"/>
      <c r="O73" s="318"/>
      <c r="P73" s="324" t="s">
        <v>128</v>
      </c>
      <c r="Q73" s="295" t="s">
        <v>129</v>
      </c>
      <c r="R73" s="320"/>
      <c r="U73" s="216"/>
      <c r="V73" s="216"/>
      <c r="W73" s="295" t="b">
        <f t="shared" si="3"/>
        <v>0</v>
      </c>
      <c r="X73" s="295" t="b">
        <f t="shared" si="3"/>
        <v>0</v>
      </c>
    </row>
    <row r="74" spans="1:24" ht="13.5">
      <c r="A74" s="307"/>
      <c r="B74" s="323" t="s">
        <v>160</v>
      </c>
      <c r="C74" s="295" t="s">
        <v>161</v>
      </c>
      <c r="D74" s="318">
        <v>2038676723</v>
      </c>
      <c r="E74" s="318">
        <v>0</v>
      </c>
      <c r="F74" s="318"/>
      <c r="G74" s="318"/>
      <c r="H74" s="318"/>
      <c r="I74" s="318"/>
      <c r="J74" s="318"/>
      <c r="K74" s="318"/>
      <c r="L74" s="318"/>
      <c r="M74" s="318"/>
      <c r="N74" s="318"/>
      <c r="O74" s="318"/>
      <c r="P74" s="324" t="s">
        <v>128</v>
      </c>
      <c r="Q74" s="295" t="s">
        <v>129</v>
      </c>
      <c r="R74" s="320"/>
      <c r="U74" s="216" t="s">
        <v>918</v>
      </c>
      <c r="V74" s="216" t="s">
        <v>172</v>
      </c>
      <c r="W74" s="295" t="b">
        <f t="shared" si="3"/>
        <v>0</v>
      </c>
      <c r="X74" s="295" t="b">
        <f t="shared" si="3"/>
        <v>0</v>
      </c>
    </row>
    <row r="75" spans="1:24" ht="13.5">
      <c r="A75" s="307"/>
      <c r="B75" s="323" t="s">
        <v>162</v>
      </c>
      <c r="C75" s="295" t="s">
        <v>163</v>
      </c>
      <c r="D75" s="318">
        <v>-1418011609</v>
      </c>
      <c r="E75" s="318">
        <v>0</v>
      </c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24" t="s">
        <v>128</v>
      </c>
      <c r="Q75" s="295" t="s">
        <v>129</v>
      </c>
      <c r="R75" s="320"/>
      <c r="U75" s="216" t="s">
        <v>169</v>
      </c>
      <c r="V75" s="216" t="s">
        <v>170</v>
      </c>
      <c r="W75" s="295" t="b">
        <f t="shared" si="3"/>
        <v>0</v>
      </c>
      <c r="X75" s="295" t="b">
        <f t="shared" si="3"/>
        <v>0</v>
      </c>
    </row>
    <row r="76" spans="1:24" ht="13.5">
      <c r="A76" s="307"/>
      <c r="B76" s="323" t="s">
        <v>164</v>
      </c>
      <c r="C76" s="295" t="s">
        <v>165</v>
      </c>
      <c r="D76" s="318">
        <v>458164559</v>
      </c>
      <c r="E76" s="318">
        <v>0</v>
      </c>
      <c r="F76" s="318"/>
      <c r="G76" s="318"/>
      <c r="H76" s="318"/>
      <c r="I76" s="318"/>
      <c r="J76" s="318"/>
      <c r="K76" s="318"/>
      <c r="L76" s="318"/>
      <c r="M76" s="318"/>
      <c r="N76" s="318"/>
      <c r="O76" s="318"/>
      <c r="P76" s="324" t="s">
        <v>128</v>
      </c>
      <c r="Q76" s="295" t="s">
        <v>129</v>
      </c>
      <c r="R76" s="320"/>
      <c r="U76" s="322" t="s">
        <v>173</v>
      </c>
      <c r="V76" s="322" t="s">
        <v>174</v>
      </c>
      <c r="W76" s="295" t="b">
        <f t="shared" si="3"/>
        <v>0</v>
      </c>
      <c r="X76" s="295" t="b">
        <f t="shared" si="3"/>
        <v>0</v>
      </c>
    </row>
    <row r="77" spans="1:24" ht="13.5">
      <c r="A77" s="307"/>
      <c r="B77" s="323" t="s">
        <v>166</v>
      </c>
      <c r="C77" s="295" t="s">
        <v>167</v>
      </c>
      <c r="D77" s="318">
        <v>-118025644</v>
      </c>
      <c r="E77" s="318">
        <v>0</v>
      </c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24" t="s">
        <v>128</v>
      </c>
      <c r="Q77" s="295" t="s">
        <v>129</v>
      </c>
      <c r="R77" s="320"/>
      <c r="U77" s="216" t="s">
        <v>847</v>
      </c>
      <c r="V77" s="216" t="s">
        <v>848</v>
      </c>
      <c r="W77" s="295" t="b">
        <f t="shared" si="3"/>
        <v>0</v>
      </c>
      <c r="X77" s="295" t="b">
        <f t="shared" si="3"/>
        <v>0</v>
      </c>
    </row>
    <row r="78" spans="1:24" ht="13.5">
      <c r="A78" s="307"/>
      <c r="B78" s="308" t="s">
        <v>15</v>
      </c>
      <c r="C78" s="309" t="s">
        <v>168</v>
      </c>
      <c r="D78" s="321">
        <v>250089092</v>
      </c>
      <c r="E78" s="321">
        <v>0</v>
      </c>
      <c r="F78" s="321"/>
      <c r="G78" s="321"/>
      <c r="H78" s="321"/>
      <c r="I78" s="321"/>
      <c r="J78" s="321">
        <f>SUM(J79:J82)</f>
        <v>0</v>
      </c>
      <c r="K78" s="321"/>
      <c r="L78" s="321">
        <f>SUM(L79:L82)</f>
        <v>0</v>
      </c>
      <c r="M78" s="321">
        <f>SUM(M79:M82)</f>
        <v>0</v>
      </c>
      <c r="N78" s="321">
        <f>SUM(N79:N82)</f>
        <v>0</v>
      </c>
      <c r="O78" s="318"/>
      <c r="P78" s="324" t="s">
        <v>66</v>
      </c>
      <c r="Q78" s="295" t="s">
        <v>66</v>
      </c>
      <c r="R78" s="320"/>
      <c r="U78" s="216" t="s">
        <v>175</v>
      </c>
      <c r="V78" s="216" t="s">
        <v>176</v>
      </c>
      <c r="W78" s="295" t="b">
        <f t="shared" si="3"/>
        <v>0</v>
      </c>
      <c r="X78" s="295" t="b">
        <f t="shared" si="3"/>
        <v>0</v>
      </c>
    </row>
    <row r="79" spans="1:24" ht="13.5">
      <c r="A79" s="307"/>
      <c r="B79" s="323" t="s">
        <v>169</v>
      </c>
      <c r="C79" s="295" t="s">
        <v>170</v>
      </c>
      <c r="D79" s="318">
        <v>0</v>
      </c>
      <c r="E79" s="318">
        <v>0</v>
      </c>
      <c r="F79" s="318"/>
      <c r="G79" s="318"/>
      <c r="H79" s="318"/>
      <c r="I79" s="318"/>
      <c r="J79" s="318"/>
      <c r="K79" s="318"/>
      <c r="L79" s="318"/>
      <c r="M79" s="318"/>
      <c r="N79" s="318"/>
      <c r="O79" s="318"/>
      <c r="P79" s="324" t="s">
        <v>171</v>
      </c>
      <c r="Q79" s="295" t="s">
        <v>172</v>
      </c>
      <c r="R79" s="320"/>
      <c r="U79" s="216" t="s">
        <v>849</v>
      </c>
      <c r="V79" s="216" t="s">
        <v>850</v>
      </c>
      <c r="W79" s="295" t="b">
        <f t="shared" si="3"/>
        <v>0</v>
      </c>
      <c r="X79" s="295" t="b">
        <f t="shared" si="3"/>
        <v>0</v>
      </c>
    </row>
    <row r="80" spans="1:24" ht="13.5">
      <c r="A80" s="307"/>
      <c r="B80" s="323" t="s">
        <v>173</v>
      </c>
      <c r="C80" s="295" t="s">
        <v>174</v>
      </c>
      <c r="D80" s="318">
        <v>144014402</v>
      </c>
      <c r="E80" s="318">
        <v>0</v>
      </c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24" t="s">
        <v>171</v>
      </c>
      <c r="Q80" s="295" t="s">
        <v>172</v>
      </c>
      <c r="R80" s="320"/>
      <c r="U80" s="216" t="s">
        <v>177</v>
      </c>
      <c r="V80" s="216" t="s">
        <v>583</v>
      </c>
      <c r="W80" s="295" t="b">
        <f t="shared" si="3"/>
        <v>0</v>
      </c>
      <c r="X80" s="295" t="b">
        <f t="shared" si="3"/>
        <v>0</v>
      </c>
    </row>
    <row r="81" spans="1:24" ht="13.5">
      <c r="A81" s="307"/>
      <c r="B81" s="323" t="s">
        <v>847</v>
      </c>
      <c r="C81" s="295" t="s">
        <v>848</v>
      </c>
      <c r="D81" s="318">
        <v>-111469829</v>
      </c>
      <c r="E81" s="318">
        <v>0</v>
      </c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24" t="s">
        <v>171</v>
      </c>
      <c r="Q81" s="295" t="s">
        <v>172</v>
      </c>
      <c r="R81" s="320"/>
      <c r="U81" s="216" t="s">
        <v>179</v>
      </c>
      <c r="V81" s="216" t="s">
        <v>180</v>
      </c>
    </row>
    <row r="82" spans="1:24" ht="13.5">
      <c r="A82" s="307"/>
      <c r="B82" s="323" t="s">
        <v>175</v>
      </c>
      <c r="C82" s="295" t="s">
        <v>176</v>
      </c>
      <c r="D82" s="318">
        <v>455258699</v>
      </c>
      <c r="E82" s="318">
        <v>0</v>
      </c>
      <c r="F82" s="318"/>
      <c r="G82" s="318"/>
      <c r="H82" s="318"/>
      <c r="I82" s="318"/>
      <c r="J82" s="318"/>
      <c r="K82" s="318"/>
      <c r="L82" s="318"/>
      <c r="M82" s="318"/>
      <c r="N82" s="318"/>
      <c r="O82" s="318"/>
      <c r="P82" s="324" t="s">
        <v>171</v>
      </c>
      <c r="Q82" s="295" t="s">
        <v>172</v>
      </c>
      <c r="R82" s="320"/>
      <c r="U82" s="216" t="s">
        <v>919</v>
      </c>
      <c r="V82" s="216" t="s">
        <v>584</v>
      </c>
      <c r="W82" s="295" t="b">
        <f t="shared" si="3"/>
        <v>0</v>
      </c>
      <c r="X82" s="295" t="b">
        <f t="shared" si="3"/>
        <v>0</v>
      </c>
    </row>
    <row r="83" spans="1:24" ht="13.5">
      <c r="A83" s="307"/>
      <c r="B83" s="323" t="s">
        <v>849</v>
      </c>
      <c r="C83" s="295" t="s">
        <v>850</v>
      </c>
      <c r="D83" s="318">
        <v>-410184180</v>
      </c>
      <c r="E83" s="318">
        <v>0</v>
      </c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24" t="s">
        <v>171</v>
      </c>
      <c r="Q83" s="295" t="s">
        <v>172</v>
      </c>
      <c r="R83" s="320"/>
      <c r="U83" s="216" t="s">
        <v>183</v>
      </c>
      <c r="V83" s="216" t="s">
        <v>65</v>
      </c>
    </row>
    <row r="84" spans="1:24" ht="13.5">
      <c r="A84" s="307"/>
      <c r="B84" s="323" t="s">
        <v>177</v>
      </c>
      <c r="C84" s="295" t="s">
        <v>178</v>
      </c>
      <c r="D84" s="318">
        <v>172470000</v>
      </c>
      <c r="E84" s="318">
        <v>0</v>
      </c>
      <c r="F84" s="318"/>
      <c r="G84" s="318"/>
      <c r="H84" s="318"/>
      <c r="I84" s="318"/>
      <c r="J84" s="318"/>
      <c r="K84" s="318"/>
      <c r="L84" s="318"/>
      <c r="M84" s="318"/>
      <c r="N84" s="318"/>
      <c r="O84" s="318"/>
      <c r="P84" s="324" t="s">
        <v>171</v>
      </c>
      <c r="Q84" s="295" t="s">
        <v>172</v>
      </c>
      <c r="R84" s="320"/>
      <c r="U84" s="216" t="s">
        <v>116</v>
      </c>
      <c r="V84" s="216" t="s">
        <v>117</v>
      </c>
      <c r="W84" s="295" t="b">
        <f t="shared" si="3"/>
        <v>0</v>
      </c>
      <c r="X84" s="295" t="b">
        <f t="shared" si="3"/>
        <v>0</v>
      </c>
    </row>
    <row r="85" spans="1:24" ht="13.5">
      <c r="A85" s="307"/>
      <c r="B85" s="323" t="s">
        <v>179</v>
      </c>
      <c r="C85" s="295" t="s">
        <v>180</v>
      </c>
      <c r="D85" s="318">
        <v>0</v>
      </c>
      <c r="E85" s="318">
        <v>0</v>
      </c>
      <c r="F85" s="318"/>
      <c r="G85" s="318"/>
      <c r="H85" s="318"/>
      <c r="I85" s="318"/>
      <c r="J85" s="318"/>
      <c r="K85" s="318"/>
      <c r="L85" s="318"/>
      <c r="M85" s="318"/>
      <c r="N85" s="318"/>
      <c r="O85" s="318"/>
      <c r="P85" s="324" t="s">
        <v>171</v>
      </c>
      <c r="Q85" s="295" t="s">
        <v>172</v>
      </c>
      <c r="R85" s="320"/>
      <c r="U85" s="322" t="s">
        <v>119</v>
      </c>
      <c r="V85" s="322" t="s">
        <v>120</v>
      </c>
      <c r="W85" s="295" t="b">
        <f t="shared" si="3"/>
        <v>0</v>
      </c>
      <c r="X85" s="295" t="b">
        <f t="shared" si="3"/>
        <v>0</v>
      </c>
    </row>
    <row r="86" spans="1:24" ht="13.5">
      <c r="A86" s="307"/>
      <c r="B86" s="323" t="s">
        <v>181</v>
      </c>
      <c r="C86" s="295" t="s">
        <v>182</v>
      </c>
      <c r="D86" s="318">
        <v>0</v>
      </c>
      <c r="E86" s="318">
        <v>0</v>
      </c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24" t="s">
        <v>171</v>
      </c>
      <c r="Q86" s="295" t="s">
        <v>172</v>
      </c>
      <c r="R86" s="320"/>
      <c r="U86" s="216" t="s">
        <v>121</v>
      </c>
      <c r="V86" s="216" t="s">
        <v>122</v>
      </c>
      <c r="W86" s="295" t="b">
        <f t="shared" si="3"/>
        <v>0</v>
      </c>
      <c r="X86" s="295" t="b">
        <f t="shared" si="3"/>
        <v>0</v>
      </c>
    </row>
    <row r="87" spans="1:24" ht="13.5">
      <c r="A87" s="307"/>
      <c r="B87" s="308" t="s">
        <v>183</v>
      </c>
      <c r="C87" s="309" t="s">
        <v>65</v>
      </c>
      <c r="D87" s="318">
        <v>0</v>
      </c>
      <c r="E87" s="318">
        <v>0</v>
      </c>
      <c r="F87" s="318"/>
      <c r="G87" s="318"/>
      <c r="H87" s="318"/>
      <c r="I87" s="318"/>
      <c r="J87" s="318"/>
      <c r="K87" s="318"/>
      <c r="L87" s="318"/>
      <c r="M87" s="318"/>
      <c r="N87" s="318"/>
      <c r="O87" s="318"/>
      <c r="P87" s="324" t="s">
        <v>184</v>
      </c>
      <c r="Q87" s="295" t="s">
        <v>65</v>
      </c>
      <c r="R87" s="320"/>
      <c r="U87" s="216" t="s">
        <v>123</v>
      </c>
      <c r="V87" s="216" t="s">
        <v>124</v>
      </c>
      <c r="W87" s="295" t="b">
        <f t="shared" si="3"/>
        <v>0</v>
      </c>
      <c r="X87" s="295" t="b">
        <f t="shared" si="3"/>
        <v>0</v>
      </c>
    </row>
    <row r="88" spans="1:24" ht="13.5">
      <c r="A88" s="307"/>
      <c r="B88" s="315" t="s">
        <v>15</v>
      </c>
      <c r="C88" s="316" t="s">
        <v>185</v>
      </c>
      <c r="D88" s="317">
        <v>712853299529.02502</v>
      </c>
      <c r="E88" s="317">
        <f>E42+E8</f>
        <v>1146249.3800000001</v>
      </c>
      <c r="F88" s="317"/>
      <c r="G88" s="317"/>
      <c r="H88" s="317"/>
      <c r="I88" s="317"/>
      <c r="J88" s="317">
        <f>J42+J8</f>
        <v>0</v>
      </c>
      <c r="K88" s="317"/>
      <c r="L88" s="317">
        <f>L42+L8</f>
        <v>0</v>
      </c>
      <c r="M88" s="317">
        <f>M42+M8</f>
        <v>0</v>
      </c>
      <c r="N88" s="317">
        <f>N42+N8</f>
        <v>0</v>
      </c>
      <c r="O88" s="318"/>
      <c r="P88" s="324" t="s">
        <v>66</v>
      </c>
      <c r="Q88" s="295" t="s">
        <v>66</v>
      </c>
      <c r="U88" s="216" t="s">
        <v>110</v>
      </c>
      <c r="V88" s="216" t="s">
        <v>111</v>
      </c>
      <c r="W88" s="295" t="b">
        <f t="shared" si="3"/>
        <v>0</v>
      </c>
      <c r="X88" s="295" t="b">
        <f t="shared" si="3"/>
        <v>0</v>
      </c>
    </row>
    <row r="89" spans="1:24" ht="13.5">
      <c r="A89" s="307"/>
      <c r="B89" s="323" t="s">
        <v>15</v>
      </c>
      <c r="C89" s="295" t="s">
        <v>186</v>
      </c>
      <c r="D89" s="318"/>
      <c r="E89" s="318"/>
      <c r="F89" s="318"/>
      <c r="G89" s="318"/>
      <c r="H89" s="318"/>
      <c r="I89" s="318"/>
      <c r="J89" s="318"/>
      <c r="K89" s="318"/>
      <c r="L89" s="318"/>
      <c r="M89" s="318"/>
      <c r="N89" s="318"/>
      <c r="O89" s="318"/>
      <c r="P89" s="324" t="s">
        <v>66</v>
      </c>
      <c r="Q89" s="295" t="s">
        <v>66</v>
      </c>
      <c r="U89" s="216" t="s">
        <v>112</v>
      </c>
      <c r="V89" s="216" t="s">
        <v>113</v>
      </c>
      <c r="W89" s="295" t="b">
        <f t="shared" ref="W89:X159" si="4">U89=B89</f>
        <v>0</v>
      </c>
      <c r="X89" s="295" t="b">
        <f t="shared" si="4"/>
        <v>0</v>
      </c>
    </row>
    <row r="90" spans="1:24" ht="13.5">
      <c r="A90" s="307"/>
      <c r="B90" s="315" t="s">
        <v>15</v>
      </c>
      <c r="C90" s="316" t="s">
        <v>187</v>
      </c>
      <c r="D90" s="317">
        <v>184007865675</v>
      </c>
      <c r="E90" s="317">
        <v>41299.43</v>
      </c>
      <c r="F90" s="317"/>
      <c r="G90" s="317"/>
      <c r="H90" s="317"/>
      <c r="I90" s="317"/>
      <c r="J90" s="317">
        <f t="shared" ref="J90" si="5">SUM(J91:J109)</f>
        <v>0</v>
      </c>
      <c r="K90" s="317"/>
      <c r="L90" s="317">
        <f>SUM(L91:L109)</f>
        <v>0</v>
      </c>
      <c r="M90" s="317">
        <f>SUM(M91:M109)</f>
        <v>0</v>
      </c>
      <c r="N90" s="317">
        <f>SUM(N91:N109)</f>
        <v>0</v>
      </c>
      <c r="O90" s="318"/>
      <c r="P90" s="324" t="s">
        <v>66</v>
      </c>
      <c r="Q90" s="295" t="s">
        <v>66</v>
      </c>
      <c r="U90" s="216" t="s">
        <v>952</v>
      </c>
      <c r="V90" s="216" t="s">
        <v>953</v>
      </c>
      <c r="W90" s="295" t="b">
        <f t="shared" si="4"/>
        <v>0</v>
      </c>
      <c r="X90" s="295" t="b">
        <f t="shared" si="4"/>
        <v>0</v>
      </c>
    </row>
    <row r="91" spans="1:24" ht="13.5">
      <c r="A91" s="307"/>
      <c r="B91" s="323" t="s">
        <v>188</v>
      </c>
      <c r="C91" s="295" t="s">
        <v>189</v>
      </c>
      <c r="D91" s="318">
        <v>29810884706</v>
      </c>
      <c r="E91" s="318">
        <v>0</v>
      </c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24" t="s">
        <v>190</v>
      </c>
      <c r="Q91" s="295" t="s">
        <v>191</v>
      </c>
      <c r="U91" s="216" t="s">
        <v>114</v>
      </c>
      <c r="V91" s="216" t="s">
        <v>115</v>
      </c>
      <c r="W91" s="295" t="b">
        <f t="shared" si="4"/>
        <v>0</v>
      </c>
      <c r="X91" s="295" t="b">
        <f t="shared" si="4"/>
        <v>0</v>
      </c>
    </row>
    <row r="92" spans="1:24" ht="13.5">
      <c r="A92" s="307"/>
      <c r="B92" s="323" t="s">
        <v>192</v>
      </c>
      <c r="C92" s="295" t="s">
        <v>193</v>
      </c>
      <c r="D92" s="318">
        <v>0</v>
      </c>
      <c r="E92" s="318">
        <v>0</v>
      </c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24" t="s">
        <v>190</v>
      </c>
      <c r="Q92" s="295" t="s">
        <v>191</v>
      </c>
      <c r="U92" s="216"/>
      <c r="V92" s="216"/>
      <c r="W92" s="295" t="b">
        <f t="shared" si="4"/>
        <v>0</v>
      </c>
      <c r="X92" s="295" t="b">
        <f t="shared" si="4"/>
        <v>0</v>
      </c>
    </row>
    <row r="93" spans="1:24" ht="13.5">
      <c r="A93" s="307"/>
      <c r="B93" s="323" t="s">
        <v>194</v>
      </c>
      <c r="C93" s="295" t="s">
        <v>195</v>
      </c>
      <c r="D93" s="318">
        <v>3022436678</v>
      </c>
      <c r="E93" s="318">
        <v>41299.43</v>
      </c>
      <c r="F93" s="318"/>
      <c r="G93" s="318"/>
      <c r="H93" s="318"/>
      <c r="I93" s="318"/>
      <c r="J93" s="318"/>
      <c r="K93" s="318"/>
      <c r="L93" s="318"/>
      <c r="M93" s="318"/>
      <c r="N93" s="318"/>
      <c r="O93" s="318"/>
      <c r="P93" s="324" t="s">
        <v>196</v>
      </c>
      <c r="Q93" s="295" t="s">
        <v>197</v>
      </c>
      <c r="U93" s="216"/>
      <c r="V93" s="216" t="s">
        <v>185</v>
      </c>
      <c r="W93" s="295" t="b">
        <f t="shared" si="4"/>
        <v>0</v>
      </c>
      <c r="X93" s="295" t="b">
        <f t="shared" si="4"/>
        <v>0</v>
      </c>
    </row>
    <row r="94" spans="1:24" ht="13.5">
      <c r="A94" s="307"/>
      <c r="B94" s="323" t="s">
        <v>198</v>
      </c>
      <c r="C94" s="295" t="s">
        <v>199</v>
      </c>
      <c r="D94" s="318">
        <v>0</v>
      </c>
      <c r="E94" s="318">
        <v>0</v>
      </c>
      <c r="F94" s="318"/>
      <c r="G94" s="318"/>
      <c r="H94" s="318"/>
      <c r="I94" s="318"/>
      <c r="J94" s="318"/>
      <c r="K94" s="318"/>
      <c r="L94" s="318"/>
      <c r="M94" s="318"/>
      <c r="N94" s="318"/>
      <c r="O94" s="318"/>
      <c r="P94" s="324" t="s">
        <v>196</v>
      </c>
      <c r="Q94" s="295" t="s">
        <v>197</v>
      </c>
      <c r="U94" s="216" t="s">
        <v>920</v>
      </c>
      <c r="V94" s="216" t="s">
        <v>586</v>
      </c>
      <c r="W94" s="295" t="b">
        <f t="shared" si="4"/>
        <v>0</v>
      </c>
      <c r="X94" s="295" t="b">
        <f t="shared" si="4"/>
        <v>0</v>
      </c>
    </row>
    <row r="95" spans="1:24" ht="13.5">
      <c r="A95" s="307"/>
      <c r="B95" s="323" t="s">
        <v>200</v>
      </c>
      <c r="C95" s="295" t="s">
        <v>201</v>
      </c>
      <c r="D95" s="318">
        <v>0</v>
      </c>
      <c r="E95" s="318">
        <v>0</v>
      </c>
      <c r="F95" s="318"/>
      <c r="G95" s="318"/>
      <c r="H95" s="318"/>
      <c r="I95" s="318"/>
      <c r="J95" s="318"/>
      <c r="K95" s="318"/>
      <c r="L95" s="318"/>
      <c r="M95" s="318"/>
      <c r="N95" s="318"/>
      <c r="O95" s="318"/>
      <c r="P95" s="324" t="s">
        <v>202</v>
      </c>
      <c r="Q95" s="295" t="s">
        <v>203</v>
      </c>
      <c r="U95" s="216" t="s">
        <v>188</v>
      </c>
      <c r="V95" s="216" t="s">
        <v>189</v>
      </c>
      <c r="W95" s="295" t="b">
        <f t="shared" si="4"/>
        <v>0</v>
      </c>
      <c r="X95" s="295" t="b">
        <f t="shared" si="4"/>
        <v>0</v>
      </c>
    </row>
    <row r="96" spans="1:24" ht="13.5">
      <c r="A96" s="307"/>
      <c r="B96" s="323" t="s">
        <v>954</v>
      </c>
      <c r="C96" s="295" t="s">
        <v>955</v>
      </c>
      <c r="D96" s="318">
        <v>8095212856</v>
      </c>
      <c r="E96" s="318">
        <v>0</v>
      </c>
      <c r="F96" s="318"/>
      <c r="G96" s="318"/>
      <c r="H96" s="318"/>
      <c r="I96" s="318"/>
      <c r="J96" s="318"/>
      <c r="K96" s="318"/>
      <c r="L96" s="318"/>
      <c r="M96" s="318"/>
      <c r="N96" s="318"/>
      <c r="O96" s="318"/>
      <c r="P96" s="324" t="s">
        <v>202</v>
      </c>
      <c r="Q96" s="295" t="s">
        <v>203</v>
      </c>
      <c r="U96" s="216" t="s">
        <v>192</v>
      </c>
      <c r="V96" s="216" t="s">
        <v>193</v>
      </c>
    </row>
    <row r="97" spans="1:24" ht="13.5">
      <c r="A97" s="307"/>
      <c r="B97" s="323" t="s">
        <v>851</v>
      </c>
      <c r="C97" s="295" t="s">
        <v>852</v>
      </c>
      <c r="D97" s="318">
        <v>2159272</v>
      </c>
      <c r="E97" s="318">
        <v>0</v>
      </c>
      <c r="F97" s="318"/>
      <c r="G97" s="318"/>
      <c r="H97" s="318"/>
      <c r="I97" s="318"/>
      <c r="J97" s="318"/>
      <c r="K97" s="318"/>
      <c r="L97" s="318"/>
      <c r="M97" s="318"/>
      <c r="N97" s="318"/>
      <c r="O97" s="318"/>
      <c r="P97" s="324" t="s">
        <v>196</v>
      </c>
      <c r="Q97" s="295" t="s">
        <v>197</v>
      </c>
      <c r="U97" s="216" t="s">
        <v>194</v>
      </c>
      <c r="V97" s="216" t="s">
        <v>195</v>
      </c>
    </row>
    <row r="98" spans="1:24" ht="13.5">
      <c r="A98" s="307"/>
      <c r="B98" s="323" t="s">
        <v>956</v>
      </c>
      <c r="C98" s="295" t="s">
        <v>957</v>
      </c>
      <c r="D98" s="318">
        <v>420000000</v>
      </c>
      <c r="E98" s="318">
        <v>0</v>
      </c>
      <c r="F98" s="318"/>
      <c r="G98" s="318"/>
      <c r="H98" s="318"/>
      <c r="I98" s="318"/>
      <c r="J98" s="318"/>
      <c r="K98" s="318"/>
      <c r="L98" s="318"/>
      <c r="M98" s="318"/>
      <c r="N98" s="318"/>
      <c r="O98" s="318"/>
      <c r="P98" s="324" t="s">
        <v>196</v>
      </c>
      <c r="Q98" s="295" t="s">
        <v>197</v>
      </c>
      <c r="U98" s="216" t="s">
        <v>198</v>
      </c>
      <c r="V98" s="216" t="s">
        <v>199</v>
      </c>
    </row>
    <row r="99" spans="1:24" ht="13.5">
      <c r="A99" s="307"/>
      <c r="B99" s="323" t="s">
        <v>204</v>
      </c>
      <c r="C99" s="295" t="s">
        <v>205</v>
      </c>
      <c r="D99" s="318">
        <v>0</v>
      </c>
      <c r="E99" s="318">
        <v>0</v>
      </c>
      <c r="F99" s="318"/>
      <c r="G99" s="318"/>
      <c r="H99" s="318"/>
      <c r="I99" s="318"/>
      <c r="J99" s="318"/>
      <c r="K99" s="318"/>
      <c r="L99" s="318"/>
      <c r="M99" s="318"/>
      <c r="N99" s="318"/>
      <c r="O99" s="318"/>
      <c r="P99" s="324" t="s">
        <v>202</v>
      </c>
      <c r="Q99" s="295" t="s">
        <v>203</v>
      </c>
      <c r="U99" s="314" t="s">
        <v>200</v>
      </c>
      <c r="V99" s="314" t="s">
        <v>201</v>
      </c>
      <c r="W99" s="295" t="b">
        <f t="shared" si="4"/>
        <v>0</v>
      </c>
      <c r="X99" s="295" t="b">
        <f t="shared" si="4"/>
        <v>0</v>
      </c>
    </row>
    <row r="100" spans="1:24" ht="13.5">
      <c r="A100" s="307"/>
      <c r="B100" s="323" t="s">
        <v>853</v>
      </c>
      <c r="C100" s="295" t="s">
        <v>854</v>
      </c>
      <c r="D100" s="318">
        <v>0</v>
      </c>
      <c r="E100" s="318">
        <v>0</v>
      </c>
      <c r="F100" s="318"/>
      <c r="G100" s="318"/>
      <c r="H100" s="318"/>
      <c r="I100" s="318"/>
      <c r="J100" s="318"/>
      <c r="K100" s="318"/>
      <c r="L100" s="318"/>
      <c r="M100" s="318"/>
      <c r="N100" s="318"/>
      <c r="O100" s="318"/>
      <c r="P100" s="324" t="s">
        <v>202</v>
      </c>
      <c r="Q100" s="295" t="s">
        <v>203</v>
      </c>
      <c r="U100" s="314" t="s">
        <v>954</v>
      </c>
      <c r="V100" s="314" t="s">
        <v>955</v>
      </c>
    </row>
    <row r="101" spans="1:24" ht="13.5">
      <c r="A101" s="307"/>
      <c r="B101" s="323" t="s">
        <v>206</v>
      </c>
      <c r="C101" s="295" t="s">
        <v>207</v>
      </c>
      <c r="D101" s="318">
        <v>575376334</v>
      </c>
      <c r="E101" s="318">
        <v>0</v>
      </c>
      <c r="F101" s="318"/>
      <c r="G101" s="318"/>
      <c r="H101" s="318"/>
      <c r="I101" s="318"/>
      <c r="J101" s="318"/>
      <c r="K101" s="318"/>
      <c r="L101" s="318"/>
      <c r="M101" s="318"/>
      <c r="N101" s="318"/>
      <c r="O101" s="318"/>
      <c r="P101" s="324" t="s">
        <v>208</v>
      </c>
      <c r="Q101" s="295" t="s">
        <v>207</v>
      </c>
      <c r="U101" s="322" t="s">
        <v>851</v>
      </c>
      <c r="V101" s="322" t="s">
        <v>852</v>
      </c>
      <c r="W101" s="295" t="b">
        <f t="shared" si="4"/>
        <v>0</v>
      </c>
      <c r="X101" s="295" t="b">
        <f t="shared" si="4"/>
        <v>0</v>
      </c>
    </row>
    <row r="102" spans="1:24" ht="13.5">
      <c r="A102" s="307"/>
      <c r="B102" s="323" t="s">
        <v>209</v>
      </c>
      <c r="C102" s="295" t="s">
        <v>210</v>
      </c>
      <c r="D102" s="318">
        <v>0</v>
      </c>
      <c r="E102" s="318">
        <v>0</v>
      </c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24" t="s">
        <v>211</v>
      </c>
      <c r="Q102" s="295" t="s">
        <v>212</v>
      </c>
      <c r="U102" s="216" t="s">
        <v>956</v>
      </c>
      <c r="V102" s="216" t="s">
        <v>957</v>
      </c>
      <c r="W102" s="295" t="b">
        <f t="shared" si="4"/>
        <v>0</v>
      </c>
      <c r="X102" s="295" t="b">
        <f t="shared" si="4"/>
        <v>0</v>
      </c>
    </row>
    <row r="103" spans="1:24" ht="13.5">
      <c r="A103" s="307"/>
      <c r="B103" s="323" t="s">
        <v>213</v>
      </c>
      <c r="C103" s="295" t="s">
        <v>214</v>
      </c>
      <c r="D103" s="318">
        <v>139102800790</v>
      </c>
      <c r="E103" s="318">
        <v>0</v>
      </c>
      <c r="F103" s="318"/>
      <c r="G103" s="318"/>
      <c r="H103" s="318"/>
      <c r="I103" s="318"/>
      <c r="J103" s="318"/>
      <c r="K103" s="318"/>
      <c r="L103" s="318"/>
      <c r="M103" s="318"/>
      <c r="N103" s="318"/>
      <c r="O103" s="318"/>
      <c r="P103" s="324" t="s">
        <v>215</v>
      </c>
      <c r="Q103" s="295" t="s">
        <v>216</v>
      </c>
      <c r="U103" s="325" t="s">
        <v>204</v>
      </c>
      <c r="V103" s="331" t="s">
        <v>205</v>
      </c>
      <c r="W103" s="295" t="b">
        <f t="shared" si="4"/>
        <v>0</v>
      </c>
      <c r="X103" s="295" t="b">
        <f t="shared" si="4"/>
        <v>0</v>
      </c>
    </row>
    <row r="104" spans="1:24" ht="13.5">
      <c r="A104" s="307"/>
      <c r="B104" s="323" t="s">
        <v>217</v>
      </c>
      <c r="C104" s="295" t="s">
        <v>218</v>
      </c>
      <c r="D104" s="318">
        <v>2589237419</v>
      </c>
      <c r="E104" s="318">
        <v>0</v>
      </c>
      <c r="F104" s="318"/>
      <c r="G104" s="318"/>
      <c r="H104" s="318"/>
      <c r="I104" s="318"/>
      <c r="J104" s="318"/>
      <c r="K104" s="318"/>
      <c r="L104" s="318"/>
      <c r="M104" s="318"/>
      <c r="N104" s="318"/>
      <c r="O104" s="318"/>
      <c r="P104" s="324" t="s">
        <v>196</v>
      </c>
      <c r="Q104" s="295" t="s">
        <v>197</v>
      </c>
      <c r="U104" s="216" t="s">
        <v>853</v>
      </c>
      <c r="V104" s="216" t="s">
        <v>854</v>
      </c>
      <c r="W104" s="295" t="b">
        <f t="shared" si="4"/>
        <v>0</v>
      </c>
      <c r="X104" s="295" t="b">
        <f t="shared" si="4"/>
        <v>0</v>
      </c>
    </row>
    <row r="105" spans="1:24" ht="13.5">
      <c r="A105" s="307"/>
      <c r="B105" s="323" t="s">
        <v>219</v>
      </c>
      <c r="C105" s="295" t="s">
        <v>220</v>
      </c>
      <c r="D105" s="318">
        <v>0</v>
      </c>
      <c r="E105" s="318">
        <v>0</v>
      </c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24" t="s">
        <v>211</v>
      </c>
      <c r="Q105" s="295" t="s">
        <v>212</v>
      </c>
      <c r="U105" s="325" t="s">
        <v>206</v>
      </c>
      <c r="V105" s="331" t="s">
        <v>207</v>
      </c>
      <c r="W105" s="295" t="b">
        <f t="shared" si="4"/>
        <v>0</v>
      </c>
      <c r="X105" s="295" t="b">
        <f t="shared" si="4"/>
        <v>0</v>
      </c>
    </row>
    <row r="106" spans="1:24" ht="13.5">
      <c r="A106" s="307"/>
      <c r="B106" s="323" t="s">
        <v>221</v>
      </c>
      <c r="C106" s="295" t="s">
        <v>222</v>
      </c>
      <c r="D106" s="318">
        <v>251936857</v>
      </c>
      <c r="E106" s="318">
        <v>0</v>
      </c>
      <c r="F106" s="318"/>
      <c r="G106" s="318"/>
      <c r="H106" s="318"/>
      <c r="I106" s="318"/>
      <c r="J106" s="318"/>
      <c r="K106" s="318"/>
      <c r="L106" s="318"/>
      <c r="M106" s="318"/>
      <c r="N106" s="318"/>
      <c r="O106" s="318"/>
      <c r="P106" s="324" t="s">
        <v>202</v>
      </c>
      <c r="Q106" s="295" t="s">
        <v>203</v>
      </c>
      <c r="U106" s="216" t="s">
        <v>209</v>
      </c>
      <c r="V106" s="216" t="s">
        <v>210</v>
      </c>
      <c r="W106" s="295" t="b">
        <f t="shared" si="4"/>
        <v>0</v>
      </c>
      <c r="X106" s="295" t="b">
        <f t="shared" si="4"/>
        <v>0</v>
      </c>
    </row>
    <row r="107" spans="1:24" ht="13.5">
      <c r="A107" s="307"/>
      <c r="B107" s="323" t="s">
        <v>223</v>
      </c>
      <c r="C107" s="295" t="s">
        <v>224</v>
      </c>
      <c r="D107" s="318">
        <v>152695680</v>
      </c>
      <c r="E107" s="318">
        <v>0</v>
      </c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24" t="s">
        <v>225</v>
      </c>
      <c r="Q107" s="295" t="s">
        <v>224</v>
      </c>
      <c r="U107" s="216" t="s">
        <v>213</v>
      </c>
      <c r="V107" s="216" t="s">
        <v>214</v>
      </c>
      <c r="W107" s="295" t="b">
        <f t="shared" si="4"/>
        <v>0</v>
      </c>
      <c r="X107" s="295" t="b">
        <f t="shared" si="4"/>
        <v>0</v>
      </c>
    </row>
    <row r="108" spans="1:24" ht="13.5">
      <c r="A108" s="307"/>
      <c r="B108" s="323" t="s">
        <v>226</v>
      </c>
      <c r="C108" s="295" t="s">
        <v>227</v>
      </c>
      <c r="D108" s="318">
        <v>-14874917</v>
      </c>
      <c r="E108" s="318">
        <v>0</v>
      </c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24" t="s">
        <v>225</v>
      </c>
      <c r="Q108" s="295" t="s">
        <v>224</v>
      </c>
      <c r="U108" s="216" t="s">
        <v>217</v>
      </c>
      <c r="V108" s="216" t="s">
        <v>218</v>
      </c>
      <c r="W108" s="295" t="b">
        <f t="shared" si="4"/>
        <v>0</v>
      </c>
      <c r="X108" s="295" t="b">
        <f t="shared" si="4"/>
        <v>0</v>
      </c>
    </row>
    <row r="109" spans="1:24" ht="13.5">
      <c r="A109" s="307"/>
      <c r="B109" s="329" t="s">
        <v>508</v>
      </c>
      <c r="C109" s="295" t="s">
        <v>509</v>
      </c>
      <c r="D109" s="318">
        <v>0</v>
      </c>
      <c r="E109" s="318">
        <v>0</v>
      </c>
      <c r="F109" s="318"/>
      <c r="G109" s="318"/>
      <c r="H109" s="318"/>
      <c r="I109" s="318"/>
      <c r="J109" s="318"/>
      <c r="K109" s="318"/>
      <c r="L109" s="318"/>
      <c r="M109" s="318"/>
      <c r="N109" s="318"/>
      <c r="O109" s="318"/>
      <c r="P109" s="324" t="s">
        <v>196</v>
      </c>
      <c r="Q109" s="295" t="s">
        <v>197</v>
      </c>
      <c r="U109" s="216" t="s">
        <v>219</v>
      </c>
      <c r="V109" s="216" t="s">
        <v>220</v>
      </c>
      <c r="W109" s="295" t="b">
        <f t="shared" si="4"/>
        <v>0</v>
      </c>
      <c r="X109" s="295" t="b">
        <f t="shared" si="4"/>
        <v>0</v>
      </c>
    </row>
    <row r="110" spans="1:24" ht="13.5">
      <c r="A110" s="307"/>
      <c r="B110" s="315" t="s">
        <v>15</v>
      </c>
      <c r="C110" s="316" t="s">
        <v>228</v>
      </c>
      <c r="D110" s="317">
        <v>3520748500</v>
      </c>
      <c r="E110" s="317">
        <v>0</v>
      </c>
      <c r="F110" s="317"/>
      <c r="G110" s="317"/>
      <c r="H110" s="317"/>
      <c r="I110" s="317"/>
      <c r="J110" s="317">
        <f t="shared" ref="J110:N110" si="6">SUM(J111:J120)</f>
        <v>0</v>
      </c>
      <c r="K110" s="317">
        <f t="shared" si="6"/>
        <v>0</v>
      </c>
      <c r="L110" s="317">
        <f t="shared" si="6"/>
        <v>0</v>
      </c>
      <c r="M110" s="317">
        <f t="shared" si="6"/>
        <v>0</v>
      </c>
      <c r="N110" s="317">
        <f t="shared" si="6"/>
        <v>0</v>
      </c>
      <c r="O110" s="318"/>
      <c r="P110" s="324" t="s">
        <v>66</v>
      </c>
      <c r="Q110" s="295" t="s">
        <v>66</v>
      </c>
      <c r="U110" s="216" t="s">
        <v>221</v>
      </c>
      <c r="V110" s="216" t="s">
        <v>222</v>
      </c>
      <c r="W110" s="295" t="b">
        <f t="shared" si="4"/>
        <v>0</v>
      </c>
      <c r="X110" s="295" t="b">
        <f t="shared" si="4"/>
        <v>0</v>
      </c>
    </row>
    <row r="111" spans="1:24" ht="13.5">
      <c r="A111" s="307"/>
      <c r="B111" s="323" t="s">
        <v>229</v>
      </c>
      <c r="C111" s="295" t="s">
        <v>230</v>
      </c>
      <c r="D111" s="318">
        <v>0</v>
      </c>
      <c r="E111" s="318">
        <v>0</v>
      </c>
      <c r="F111" s="318"/>
      <c r="G111" s="318"/>
      <c r="H111" s="318"/>
      <c r="I111" s="318"/>
      <c r="J111" s="318"/>
      <c r="K111" s="318"/>
      <c r="L111" s="318"/>
      <c r="M111" s="318"/>
      <c r="N111" s="318"/>
      <c r="O111" s="318"/>
      <c r="P111" s="324" t="s">
        <v>231</v>
      </c>
      <c r="Q111" s="295" t="s">
        <v>232</v>
      </c>
      <c r="U111" s="216" t="s">
        <v>223</v>
      </c>
      <c r="V111" s="216" t="s">
        <v>224</v>
      </c>
      <c r="W111" s="295" t="b">
        <f t="shared" si="4"/>
        <v>0</v>
      </c>
      <c r="X111" s="295" t="b">
        <f t="shared" si="4"/>
        <v>0</v>
      </c>
    </row>
    <row r="112" spans="1:24" ht="13.5">
      <c r="A112" s="307"/>
      <c r="B112" s="323" t="s">
        <v>233</v>
      </c>
      <c r="C112" s="295" t="s">
        <v>234</v>
      </c>
      <c r="D112" s="318">
        <v>0</v>
      </c>
      <c r="E112" s="318">
        <v>0</v>
      </c>
      <c r="F112" s="318"/>
      <c r="G112" s="318"/>
      <c r="H112" s="318"/>
      <c r="I112" s="318"/>
      <c r="J112" s="318"/>
      <c r="K112" s="318"/>
      <c r="L112" s="318"/>
      <c r="M112" s="318"/>
      <c r="N112" s="318"/>
      <c r="O112" s="318"/>
      <c r="P112" s="324" t="s">
        <v>235</v>
      </c>
      <c r="Q112" s="295" t="s">
        <v>236</v>
      </c>
      <c r="U112" s="216" t="s">
        <v>226</v>
      </c>
      <c r="V112" s="216" t="s">
        <v>227</v>
      </c>
      <c r="W112" s="295" t="b">
        <f t="shared" si="4"/>
        <v>0</v>
      </c>
      <c r="X112" s="295" t="b">
        <f t="shared" si="4"/>
        <v>0</v>
      </c>
    </row>
    <row r="113" spans="1:24" ht="13.5">
      <c r="A113" s="307"/>
      <c r="B113" s="323" t="s">
        <v>237</v>
      </c>
      <c r="C113" s="295" t="s">
        <v>238</v>
      </c>
      <c r="D113" s="318">
        <v>0</v>
      </c>
      <c r="E113" s="318">
        <v>0</v>
      </c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24" t="s">
        <v>239</v>
      </c>
      <c r="Q113" s="295" t="s">
        <v>240</v>
      </c>
      <c r="U113" s="216" t="s">
        <v>508</v>
      </c>
      <c r="V113" s="216" t="s">
        <v>509</v>
      </c>
      <c r="W113" s="295" t="b">
        <f t="shared" si="4"/>
        <v>0</v>
      </c>
      <c r="X113" s="295" t="b">
        <f t="shared" si="4"/>
        <v>0</v>
      </c>
    </row>
    <row r="114" spans="1:24" ht="13.5">
      <c r="A114" s="332"/>
      <c r="B114" s="323" t="s">
        <v>510</v>
      </c>
      <c r="C114" s="295" t="s">
        <v>511</v>
      </c>
      <c r="D114" s="318">
        <v>0</v>
      </c>
      <c r="E114" s="318">
        <v>0</v>
      </c>
      <c r="F114" s="318"/>
      <c r="G114" s="318"/>
      <c r="H114" s="318"/>
      <c r="I114" s="318"/>
      <c r="J114" s="318"/>
      <c r="K114" s="318"/>
      <c r="L114" s="318"/>
      <c r="M114" s="318"/>
      <c r="N114" s="318"/>
      <c r="O114" s="318"/>
      <c r="P114" s="324" t="s">
        <v>512</v>
      </c>
      <c r="Q114" s="295" t="s">
        <v>513</v>
      </c>
      <c r="U114" s="216" t="s">
        <v>921</v>
      </c>
      <c r="V114" s="216" t="s">
        <v>592</v>
      </c>
      <c r="W114" s="295" t="b">
        <f t="shared" si="4"/>
        <v>0</v>
      </c>
      <c r="X114" s="295" t="b">
        <f t="shared" si="4"/>
        <v>0</v>
      </c>
    </row>
    <row r="115" spans="1:24" ht="13.5">
      <c r="A115" s="307"/>
      <c r="B115" s="323" t="s">
        <v>241</v>
      </c>
      <c r="C115" s="295" t="s">
        <v>242</v>
      </c>
      <c r="D115" s="318">
        <v>0</v>
      </c>
      <c r="E115" s="318">
        <v>0</v>
      </c>
      <c r="F115" s="318"/>
      <c r="G115" s="318"/>
      <c r="H115" s="318"/>
      <c r="I115" s="318"/>
      <c r="J115" s="318"/>
      <c r="K115" s="318"/>
      <c r="L115" s="318"/>
      <c r="M115" s="318"/>
      <c r="N115" s="318"/>
      <c r="O115" s="318"/>
      <c r="P115" s="324" t="s">
        <v>239</v>
      </c>
      <c r="Q115" s="295" t="s">
        <v>240</v>
      </c>
      <c r="R115" s="320"/>
      <c r="U115" s="216" t="s">
        <v>229</v>
      </c>
      <c r="V115" s="216" t="s">
        <v>230</v>
      </c>
      <c r="W115" s="295" t="b">
        <f t="shared" si="4"/>
        <v>0</v>
      </c>
      <c r="X115" s="295" t="b">
        <f t="shared" si="4"/>
        <v>0</v>
      </c>
    </row>
    <row r="116" spans="1:24" ht="13.5">
      <c r="A116" s="307"/>
      <c r="B116" s="323" t="s">
        <v>243</v>
      </c>
      <c r="C116" s="295" t="s">
        <v>244</v>
      </c>
      <c r="D116" s="318">
        <v>31747682</v>
      </c>
      <c r="E116" s="318">
        <v>0</v>
      </c>
      <c r="F116" s="318"/>
      <c r="G116" s="318"/>
      <c r="H116" s="318"/>
      <c r="I116" s="318"/>
      <c r="J116" s="318"/>
      <c r="K116" s="318"/>
      <c r="L116" s="318"/>
      <c r="M116" s="318"/>
      <c r="N116" s="318"/>
      <c r="O116" s="318"/>
      <c r="P116" s="324" t="s">
        <v>245</v>
      </c>
      <c r="Q116" s="295" t="s">
        <v>246</v>
      </c>
      <c r="R116" s="320"/>
      <c r="U116" s="216" t="s">
        <v>233</v>
      </c>
      <c r="V116" s="216" t="s">
        <v>234</v>
      </c>
      <c r="W116" s="295" t="b">
        <f t="shared" si="4"/>
        <v>0</v>
      </c>
      <c r="X116" s="295" t="b">
        <f t="shared" si="4"/>
        <v>0</v>
      </c>
    </row>
    <row r="117" spans="1:24" ht="13.5">
      <c r="A117" s="307"/>
      <c r="B117" s="323" t="s">
        <v>247</v>
      </c>
      <c r="C117" s="295" t="s">
        <v>248</v>
      </c>
      <c r="D117" s="318">
        <v>213917520</v>
      </c>
      <c r="E117" s="318">
        <v>0</v>
      </c>
      <c r="F117" s="318"/>
      <c r="G117" s="318"/>
      <c r="H117" s="318"/>
      <c r="I117" s="318"/>
      <c r="J117" s="318"/>
      <c r="K117" s="318"/>
      <c r="L117" s="318"/>
      <c r="M117" s="318"/>
      <c r="N117" s="318"/>
      <c r="O117" s="318"/>
      <c r="P117" s="324" t="s">
        <v>249</v>
      </c>
      <c r="Q117" s="295" t="s">
        <v>248</v>
      </c>
      <c r="R117" s="320"/>
      <c r="U117" s="216" t="s">
        <v>237</v>
      </c>
      <c r="V117" s="216" t="s">
        <v>238</v>
      </c>
      <c r="W117" s="295" t="b">
        <f t="shared" si="4"/>
        <v>0</v>
      </c>
      <c r="X117" s="295" t="b">
        <f t="shared" si="4"/>
        <v>0</v>
      </c>
    </row>
    <row r="118" spans="1:24" ht="13.5">
      <c r="A118" s="307"/>
      <c r="B118" s="323" t="s">
        <v>250</v>
      </c>
      <c r="C118" s="295" t="s">
        <v>251</v>
      </c>
      <c r="D118" s="318">
        <v>-7302942</v>
      </c>
      <c r="E118" s="318">
        <v>0</v>
      </c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24" t="s">
        <v>249</v>
      </c>
      <c r="Q118" s="295" t="s">
        <v>248</v>
      </c>
      <c r="R118" s="320"/>
      <c r="U118" s="216" t="s">
        <v>510</v>
      </c>
      <c r="V118" s="216" t="s">
        <v>511</v>
      </c>
      <c r="W118" s="295" t="b">
        <f t="shared" si="4"/>
        <v>0</v>
      </c>
      <c r="X118" s="295" t="b">
        <f t="shared" si="4"/>
        <v>0</v>
      </c>
    </row>
    <row r="119" spans="1:24" ht="13.5">
      <c r="A119" s="307"/>
      <c r="B119" s="323" t="s">
        <v>906</v>
      </c>
      <c r="C119" s="295" t="s">
        <v>908</v>
      </c>
      <c r="D119" s="318">
        <v>3282386240</v>
      </c>
      <c r="E119" s="318">
        <v>0</v>
      </c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24" t="s">
        <v>905</v>
      </c>
      <c r="Q119" s="295" t="s">
        <v>908</v>
      </c>
      <c r="R119" s="320"/>
      <c r="U119" s="322" t="s">
        <v>241</v>
      </c>
      <c r="V119" s="322" t="s">
        <v>242</v>
      </c>
      <c r="W119" s="295" t="b">
        <f t="shared" si="4"/>
        <v>0</v>
      </c>
      <c r="X119" s="295" t="b">
        <f t="shared" si="4"/>
        <v>0</v>
      </c>
    </row>
    <row r="120" spans="1:24" ht="13.5">
      <c r="A120" s="307"/>
      <c r="B120" s="323"/>
      <c r="D120" s="318">
        <v>0</v>
      </c>
      <c r="E120" s="318">
        <v>0</v>
      </c>
      <c r="F120" s="318"/>
      <c r="G120" s="318"/>
      <c r="H120" s="318"/>
      <c r="I120" s="318"/>
      <c r="J120" s="318"/>
      <c r="K120" s="318"/>
      <c r="L120" s="318"/>
      <c r="M120" s="318"/>
      <c r="N120" s="318"/>
      <c r="O120" s="318"/>
      <c r="P120" s="324" t="s">
        <v>66</v>
      </c>
      <c r="Q120" s="295" t="s">
        <v>66</v>
      </c>
      <c r="R120" s="320"/>
      <c r="U120" s="216" t="s">
        <v>243</v>
      </c>
      <c r="V120" s="216" t="s">
        <v>244</v>
      </c>
      <c r="W120" s="295" t="b">
        <f t="shared" si="4"/>
        <v>0</v>
      </c>
      <c r="X120" s="295" t="b">
        <f t="shared" si="4"/>
        <v>0</v>
      </c>
    </row>
    <row r="121" spans="1:24" ht="13.5">
      <c r="A121" s="307"/>
      <c r="B121" s="315" t="s">
        <v>15</v>
      </c>
      <c r="C121" s="316" t="s">
        <v>252</v>
      </c>
      <c r="D121" s="317">
        <v>187528614175</v>
      </c>
      <c r="E121" s="317">
        <v>41299.43</v>
      </c>
      <c r="F121" s="317"/>
      <c r="G121" s="317"/>
      <c r="H121" s="317"/>
      <c r="I121" s="317"/>
      <c r="J121" s="317">
        <f t="shared" ref="J121" si="7">J110+J90</f>
        <v>0</v>
      </c>
      <c r="K121" s="317"/>
      <c r="L121" s="317">
        <f>L110+L90</f>
        <v>0</v>
      </c>
      <c r="M121" s="317">
        <f>M110+M90</f>
        <v>0</v>
      </c>
      <c r="N121" s="317">
        <f>N110+N90</f>
        <v>0</v>
      </c>
      <c r="O121" s="318"/>
      <c r="P121" s="324" t="s">
        <v>66</v>
      </c>
      <c r="Q121" s="295" t="s">
        <v>66</v>
      </c>
      <c r="R121" s="320"/>
      <c r="U121" s="216" t="s">
        <v>247</v>
      </c>
      <c r="V121" s="216" t="s">
        <v>248</v>
      </c>
      <c r="W121" s="295" t="b">
        <f t="shared" si="4"/>
        <v>0</v>
      </c>
      <c r="X121" s="295" t="b">
        <f t="shared" si="4"/>
        <v>0</v>
      </c>
    </row>
    <row r="122" spans="1:24" ht="13.5">
      <c r="A122" s="307"/>
      <c r="B122" s="308" t="s">
        <v>15</v>
      </c>
      <c r="C122" s="309" t="s">
        <v>253</v>
      </c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18"/>
      <c r="P122" s="324" t="s">
        <v>66</v>
      </c>
      <c r="Q122" s="295" t="s">
        <v>66</v>
      </c>
      <c r="R122" s="320"/>
      <c r="U122" s="216" t="s">
        <v>250</v>
      </c>
      <c r="V122" s="216" t="s">
        <v>251</v>
      </c>
      <c r="W122" s="295" t="b">
        <f t="shared" si="4"/>
        <v>0</v>
      </c>
      <c r="X122" s="295" t="b">
        <f t="shared" si="4"/>
        <v>0</v>
      </c>
    </row>
    <row r="123" spans="1:24" ht="13.5">
      <c r="A123" s="307"/>
      <c r="B123" s="333" t="s">
        <v>15</v>
      </c>
      <c r="C123" s="309" t="s">
        <v>254</v>
      </c>
      <c r="D123" s="321">
        <v>525324685354.02502</v>
      </c>
      <c r="E123" s="321">
        <v>604949.94999999995</v>
      </c>
      <c r="F123" s="321"/>
      <c r="G123" s="321"/>
      <c r="H123" s="321"/>
      <c r="I123" s="321"/>
      <c r="J123" s="321">
        <f t="shared" ref="J123:N123" si="8">SUM(J124,J126,J130,J133,J138)</f>
        <v>0</v>
      </c>
      <c r="K123" s="321"/>
      <c r="L123" s="321">
        <f t="shared" si="8"/>
        <v>0</v>
      </c>
      <c r="M123" s="321">
        <f t="shared" si="8"/>
        <v>0</v>
      </c>
      <c r="N123" s="321">
        <f t="shared" si="8"/>
        <v>0</v>
      </c>
      <c r="O123" s="318"/>
      <c r="P123" s="324" t="s">
        <v>66</v>
      </c>
      <c r="Q123" s="295" t="s">
        <v>66</v>
      </c>
      <c r="R123" s="320"/>
      <c r="U123" s="216" t="s">
        <v>906</v>
      </c>
      <c r="V123" s="216" t="s">
        <v>908</v>
      </c>
      <c r="W123" s="295" t="b">
        <f t="shared" si="4"/>
        <v>0</v>
      </c>
      <c r="X123" s="295" t="b">
        <f t="shared" si="4"/>
        <v>0</v>
      </c>
    </row>
    <row r="124" spans="1:24" ht="13.5">
      <c r="A124" s="307"/>
      <c r="B124" s="315" t="s">
        <v>15</v>
      </c>
      <c r="C124" s="316" t="s">
        <v>255</v>
      </c>
      <c r="D124" s="317">
        <v>2923626500</v>
      </c>
      <c r="E124" s="317">
        <v>5000</v>
      </c>
      <c r="F124" s="317"/>
      <c r="G124" s="317"/>
      <c r="H124" s="317"/>
      <c r="I124" s="317"/>
      <c r="J124" s="317">
        <f t="shared" ref="J124:N124" si="9">SUM(J125)</f>
        <v>0</v>
      </c>
      <c r="K124" s="317"/>
      <c r="L124" s="317">
        <f t="shared" si="9"/>
        <v>0</v>
      </c>
      <c r="M124" s="317">
        <f t="shared" si="9"/>
        <v>0</v>
      </c>
      <c r="N124" s="317">
        <f t="shared" si="9"/>
        <v>0</v>
      </c>
      <c r="O124" s="318"/>
      <c r="P124" s="324" t="s">
        <v>66</v>
      </c>
      <c r="Q124" s="295" t="s">
        <v>66</v>
      </c>
      <c r="R124" s="320"/>
      <c r="U124" s="216"/>
      <c r="V124" s="216" t="s">
        <v>252</v>
      </c>
      <c r="W124" s="295" t="b">
        <f t="shared" si="4"/>
        <v>0</v>
      </c>
      <c r="X124" s="295" t="b">
        <f t="shared" si="4"/>
        <v>0</v>
      </c>
    </row>
    <row r="125" spans="1:24" ht="13.5">
      <c r="A125" s="307"/>
      <c r="B125" s="323" t="s">
        <v>256</v>
      </c>
      <c r="C125" s="295" t="s">
        <v>257</v>
      </c>
      <c r="D125" s="318">
        <v>2923626500</v>
      </c>
      <c r="E125" s="318">
        <v>5000</v>
      </c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24" t="s">
        <v>258</v>
      </c>
      <c r="Q125" s="295" t="s">
        <v>259</v>
      </c>
      <c r="R125" s="320"/>
      <c r="U125" s="216"/>
      <c r="V125" s="216" t="s">
        <v>253</v>
      </c>
      <c r="W125" s="295" t="b">
        <f t="shared" si="4"/>
        <v>0</v>
      </c>
      <c r="X125" s="295" t="b">
        <f t="shared" si="4"/>
        <v>0</v>
      </c>
    </row>
    <row r="126" spans="1:24" ht="13.5">
      <c r="A126" s="307"/>
      <c r="B126" s="315" t="s">
        <v>15</v>
      </c>
      <c r="C126" s="316" t="s">
        <v>260</v>
      </c>
      <c r="D126" s="317">
        <v>55731835040</v>
      </c>
      <c r="E126" s="317">
        <f>E127</f>
        <v>1995000</v>
      </c>
      <c r="F126" s="317"/>
      <c r="G126" s="317"/>
      <c r="H126" s="317"/>
      <c r="I126" s="317"/>
      <c r="J126" s="317">
        <f t="shared" ref="J126:N126" si="10">SUM(J127:J129)</f>
        <v>0</v>
      </c>
      <c r="K126" s="317"/>
      <c r="L126" s="317">
        <f t="shared" si="10"/>
        <v>0</v>
      </c>
      <c r="M126" s="317">
        <f t="shared" si="10"/>
        <v>0</v>
      </c>
      <c r="N126" s="317">
        <f t="shared" si="10"/>
        <v>0</v>
      </c>
      <c r="O126" s="318"/>
      <c r="P126" s="324" t="s">
        <v>66</v>
      </c>
      <c r="Q126" s="295" t="s">
        <v>66</v>
      </c>
      <c r="R126" s="320"/>
      <c r="U126" s="216" t="s">
        <v>258</v>
      </c>
      <c r="V126" s="216" t="s">
        <v>259</v>
      </c>
      <c r="W126" s="295" t="b">
        <f t="shared" si="4"/>
        <v>0</v>
      </c>
      <c r="X126" s="295" t="b">
        <f t="shared" si="4"/>
        <v>0</v>
      </c>
    </row>
    <row r="127" spans="1:24" ht="13.5">
      <c r="A127" s="307"/>
      <c r="B127" s="323" t="s">
        <v>261</v>
      </c>
      <c r="C127" s="295" t="s">
        <v>262</v>
      </c>
      <c r="D127" s="318">
        <v>55731835040</v>
      </c>
      <c r="E127" s="318">
        <f>1495000+500000</f>
        <v>1995000</v>
      </c>
      <c r="F127" s="318"/>
      <c r="G127" s="318"/>
      <c r="H127" s="318"/>
      <c r="I127" s="318"/>
      <c r="J127" s="318"/>
      <c r="K127" s="318"/>
      <c r="L127" s="318"/>
      <c r="M127" s="318"/>
      <c r="N127" s="318"/>
      <c r="O127" s="318"/>
      <c r="P127" s="324" t="s">
        <v>263</v>
      </c>
      <c r="Q127" s="295" t="s">
        <v>264</v>
      </c>
      <c r="R127" s="320"/>
      <c r="U127" s="216" t="s">
        <v>256</v>
      </c>
      <c r="V127" s="216" t="s">
        <v>257</v>
      </c>
      <c r="W127" s="295" t="b">
        <f t="shared" si="4"/>
        <v>0</v>
      </c>
      <c r="X127" s="295" t="b">
        <f t="shared" si="4"/>
        <v>0</v>
      </c>
    </row>
    <row r="128" spans="1:24" ht="13.5">
      <c r="A128" s="307"/>
      <c r="B128" s="323" t="s">
        <v>265</v>
      </c>
      <c r="C128" s="295" t="s">
        <v>266</v>
      </c>
      <c r="D128" s="318">
        <v>0</v>
      </c>
      <c r="E128" s="318">
        <v>0</v>
      </c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24" t="s">
        <v>263</v>
      </c>
      <c r="Q128" s="295" t="s">
        <v>264</v>
      </c>
      <c r="R128" s="320"/>
      <c r="U128" s="314" t="s">
        <v>909</v>
      </c>
      <c r="V128" s="314" t="s">
        <v>594</v>
      </c>
      <c r="W128" s="295" t="b">
        <f t="shared" si="4"/>
        <v>0</v>
      </c>
      <c r="X128" s="295" t="b">
        <f t="shared" si="4"/>
        <v>0</v>
      </c>
    </row>
    <row r="129" spans="1:24" ht="13.5">
      <c r="A129" s="307"/>
      <c r="B129" s="323" t="s">
        <v>267</v>
      </c>
      <c r="C129" s="295" t="s">
        <v>268</v>
      </c>
      <c r="D129" s="318">
        <v>0</v>
      </c>
      <c r="E129" s="318">
        <v>0</v>
      </c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24" t="s">
        <v>263</v>
      </c>
      <c r="Q129" s="295" t="s">
        <v>264</v>
      </c>
      <c r="R129" s="320"/>
      <c r="U129" s="314" t="s">
        <v>263</v>
      </c>
      <c r="V129" s="314" t="s">
        <v>264</v>
      </c>
      <c r="W129" s="295" t="b">
        <f t="shared" si="4"/>
        <v>0</v>
      </c>
      <c r="X129" s="295" t="b">
        <f t="shared" si="4"/>
        <v>0</v>
      </c>
    </row>
    <row r="130" spans="1:24" ht="13.5">
      <c r="A130" s="307"/>
      <c r="B130" s="315" t="s">
        <v>15</v>
      </c>
      <c r="C130" s="316" t="s">
        <v>269</v>
      </c>
      <c r="D130" s="317">
        <v>348063905</v>
      </c>
      <c r="E130" s="317">
        <v>0</v>
      </c>
      <c r="F130" s="317"/>
      <c r="G130" s="317"/>
      <c r="H130" s="317"/>
      <c r="I130" s="317"/>
      <c r="J130" s="317">
        <f t="shared" ref="J130:N130" si="11">SUM(J131:J132)</f>
        <v>0</v>
      </c>
      <c r="K130" s="317"/>
      <c r="L130" s="317">
        <f t="shared" si="11"/>
        <v>0</v>
      </c>
      <c r="M130" s="317">
        <f t="shared" si="11"/>
        <v>0</v>
      </c>
      <c r="N130" s="317">
        <f t="shared" si="11"/>
        <v>0</v>
      </c>
      <c r="O130" s="318"/>
      <c r="P130" s="324" t="s">
        <v>66</v>
      </c>
      <c r="Q130" s="295" t="s">
        <v>66</v>
      </c>
      <c r="R130" s="320"/>
      <c r="U130" s="322" t="s">
        <v>261</v>
      </c>
      <c r="V130" s="322" t="s">
        <v>262</v>
      </c>
      <c r="W130" s="295" t="b">
        <f t="shared" si="4"/>
        <v>0</v>
      </c>
      <c r="X130" s="295" t="b">
        <f t="shared" si="4"/>
        <v>0</v>
      </c>
    </row>
    <row r="131" spans="1:24" ht="13.5">
      <c r="A131" s="323"/>
      <c r="B131" s="323" t="s">
        <v>270</v>
      </c>
      <c r="C131" s="295" t="s">
        <v>271</v>
      </c>
      <c r="D131" s="318">
        <v>348063905</v>
      </c>
      <c r="E131" s="318">
        <v>0</v>
      </c>
      <c r="F131" s="318"/>
      <c r="G131" s="318"/>
      <c r="H131" s="318"/>
      <c r="I131" s="318"/>
      <c r="J131" s="318"/>
      <c r="K131" s="318"/>
      <c r="L131" s="318"/>
      <c r="M131" s="318"/>
      <c r="N131" s="318"/>
      <c r="O131" s="318"/>
      <c r="P131" s="324" t="s">
        <v>272</v>
      </c>
      <c r="Q131" s="295" t="s">
        <v>273</v>
      </c>
      <c r="R131" s="320"/>
      <c r="U131" s="216" t="s">
        <v>265</v>
      </c>
      <c r="V131" s="216" t="s">
        <v>266</v>
      </c>
      <c r="W131" s="295" t="b">
        <f t="shared" si="4"/>
        <v>0</v>
      </c>
      <c r="X131" s="295" t="b">
        <f t="shared" si="4"/>
        <v>0</v>
      </c>
    </row>
    <row r="132" spans="1:24" ht="13.5">
      <c r="A132" s="323"/>
      <c r="B132" s="323"/>
      <c r="D132" s="318">
        <v>0</v>
      </c>
      <c r="E132" s="318">
        <v>0</v>
      </c>
      <c r="F132" s="318"/>
      <c r="G132" s="318"/>
      <c r="H132" s="318"/>
      <c r="I132" s="318"/>
      <c r="J132" s="318"/>
      <c r="K132" s="318"/>
      <c r="L132" s="318"/>
      <c r="M132" s="318"/>
      <c r="N132" s="318"/>
      <c r="O132" s="318"/>
      <c r="P132" s="324" t="s">
        <v>66</v>
      </c>
      <c r="Q132" s="295" t="s">
        <v>66</v>
      </c>
      <c r="R132" s="320"/>
      <c r="U132" s="216" t="s">
        <v>267</v>
      </c>
      <c r="V132" s="216" t="s">
        <v>268</v>
      </c>
      <c r="W132" s="295" t="b">
        <f t="shared" si="4"/>
        <v>0</v>
      </c>
      <c r="X132" s="295" t="b">
        <f t="shared" si="4"/>
        <v>0</v>
      </c>
    </row>
    <row r="133" spans="1:24" ht="13.5">
      <c r="A133" s="323"/>
      <c r="B133" s="315" t="s">
        <v>15</v>
      </c>
      <c r="C133" s="316" t="s">
        <v>274</v>
      </c>
      <c r="D133" s="317">
        <v>0</v>
      </c>
      <c r="E133" s="317">
        <v>0</v>
      </c>
      <c r="F133" s="317"/>
      <c r="G133" s="317"/>
      <c r="H133" s="317"/>
      <c r="I133" s="317"/>
      <c r="J133" s="317">
        <f>SUM(J134:J136)</f>
        <v>0</v>
      </c>
      <c r="K133" s="317"/>
      <c r="L133" s="317">
        <f>SUM(L134:L136)</f>
        <v>0</v>
      </c>
      <c r="M133" s="317">
        <f>SUM(M134:M136)</f>
        <v>0</v>
      </c>
      <c r="N133" s="317">
        <f>SUM(N134:N136)</f>
        <v>0</v>
      </c>
      <c r="O133" s="318"/>
      <c r="P133" s="324" t="s">
        <v>66</v>
      </c>
      <c r="Q133" s="295" t="s">
        <v>66</v>
      </c>
      <c r="R133" s="320"/>
      <c r="U133" s="322"/>
      <c r="V133" s="322"/>
      <c r="W133" s="295" t="b">
        <f t="shared" si="4"/>
        <v>0</v>
      </c>
      <c r="X133" s="295" t="b">
        <f t="shared" si="4"/>
        <v>0</v>
      </c>
    </row>
    <row r="134" spans="1:24" ht="13.5">
      <c r="A134" s="307"/>
      <c r="B134" s="323" t="s">
        <v>275</v>
      </c>
      <c r="C134" s="295" t="s">
        <v>276</v>
      </c>
      <c r="D134" s="318">
        <v>0</v>
      </c>
      <c r="E134" s="318">
        <v>0</v>
      </c>
      <c r="F134" s="318"/>
      <c r="G134" s="318"/>
      <c r="H134" s="318"/>
      <c r="I134" s="318"/>
      <c r="J134" s="318"/>
      <c r="K134" s="318"/>
      <c r="L134" s="318"/>
      <c r="M134" s="318"/>
      <c r="N134" s="318"/>
      <c r="O134" s="318"/>
      <c r="P134" s="324" t="s">
        <v>277</v>
      </c>
      <c r="Q134" s="295" t="s">
        <v>278</v>
      </c>
      <c r="R134" s="320"/>
      <c r="U134" s="216" t="s">
        <v>272</v>
      </c>
      <c r="V134" s="216" t="s">
        <v>273</v>
      </c>
      <c r="W134" s="295" t="b">
        <f t="shared" si="4"/>
        <v>0</v>
      </c>
      <c r="X134" s="295" t="b">
        <f t="shared" si="4"/>
        <v>0</v>
      </c>
    </row>
    <row r="135" spans="1:24" ht="13.5">
      <c r="A135" s="307"/>
      <c r="B135" s="323" t="s">
        <v>279</v>
      </c>
      <c r="C135" s="295" t="s">
        <v>280</v>
      </c>
      <c r="D135" s="318">
        <v>0</v>
      </c>
      <c r="E135" s="318">
        <v>0</v>
      </c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24" t="s">
        <v>277</v>
      </c>
      <c r="Q135" s="295" t="s">
        <v>278</v>
      </c>
      <c r="R135" s="320"/>
      <c r="U135" s="216" t="s">
        <v>270</v>
      </c>
      <c r="V135" s="216" t="s">
        <v>271</v>
      </c>
      <c r="W135" s="295" t="b">
        <f t="shared" si="4"/>
        <v>0</v>
      </c>
      <c r="X135" s="295" t="b">
        <f t="shared" si="4"/>
        <v>0</v>
      </c>
    </row>
    <row r="136" spans="1:24" ht="13.5">
      <c r="A136" s="307"/>
      <c r="B136" s="323" t="s">
        <v>281</v>
      </c>
      <c r="C136" s="295" t="s">
        <v>282</v>
      </c>
      <c r="D136" s="318">
        <v>0</v>
      </c>
      <c r="E136" s="318">
        <v>0</v>
      </c>
      <c r="F136" s="318"/>
      <c r="G136" s="318"/>
      <c r="H136" s="318"/>
      <c r="I136" s="318"/>
      <c r="J136" s="318"/>
      <c r="K136" s="318"/>
      <c r="L136" s="318"/>
      <c r="M136" s="318"/>
      <c r="N136" s="318"/>
      <c r="O136" s="318"/>
      <c r="P136" s="324" t="s">
        <v>277</v>
      </c>
      <c r="Q136" s="295" t="s">
        <v>278</v>
      </c>
      <c r="R136" s="320"/>
      <c r="U136" s="216" t="s">
        <v>277</v>
      </c>
      <c r="V136" s="216" t="s">
        <v>278</v>
      </c>
      <c r="W136" s="295" t="b">
        <f t="shared" si="4"/>
        <v>0</v>
      </c>
      <c r="X136" s="295" t="b">
        <f t="shared" si="4"/>
        <v>0</v>
      </c>
    </row>
    <row r="137" spans="1:24" ht="13.5">
      <c r="A137" s="307"/>
      <c r="B137" s="323" t="s">
        <v>855</v>
      </c>
      <c r="C137" s="295" t="s">
        <v>856</v>
      </c>
      <c r="D137" s="318">
        <v>0</v>
      </c>
      <c r="E137" s="318">
        <v>0</v>
      </c>
      <c r="F137" s="318"/>
      <c r="G137" s="318"/>
      <c r="H137" s="318"/>
      <c r="I137" s="318"/>
      <c r="J137" s="318"/>
      <c r="K137" s="318"/>
      <c r="L137" s="318"/>
      <c r="M137" s="318"/>
      <c r="N137" s="318"/>
      <c r="O137" s="318"/>
      <c r="P137" s="324" t="s">
        <v>277</v>
      </c>
      <c r="Q137" s="295" t="s">
        <v>278</v>
      </c>
      <c r="R137" s="320"/>
      <c r="U137" s="216" t="s">
        <v>275</v>
      </c>
      <c r="V137" s="216" t="s">
        <v>276</v>
      </c>
    </row>
    <row r="138" spans="1:24" ht="13.5">
      <c r="A138" s="307"/>
      <c r="B138" s="315" t="s">
        <v>15</v>
      </c>
      <c r="C138" s="316" t="s">
        <v>283</v>
      </c>
      <c r="D138" s="317">
        <v>466321159909.02502</v>
      </c>
      <c r="E138" s="317">
        <v>-895050.05</v>
      </c>
      <c r="F138" s="317"/>
      <c r="G138" s="317"/>
      <c r="H138" s="317"/>
      <c r="I138" s="317"/>
      <c r="J138" s="317">
        <f t="shared" ref="J138:N138" si="12">SUM(J139:J143)</f>
        <v>0</v>
      </c>
      <c r="K138" s="317"/>
      <c r="L138" s="317">
        <f t="shared" si="12"/>
        <v>0</v>
      </c>
      <c r="M138" s="317">
        <f t="shared" si="12"/>
        <v>0</v>
      </c>
      <c r="N138" s="317">
        <f t="shared" si="12"/>
        <v>0</v>
      </c>
      <c r="O138" s="318"/>
      <c r="P138" s="324" t="s">
        <v>66</v>
      </c>
      <c r="Q138" s="295" t="s">
        <v>66</v>
      </c>
      <c r="R138" s="320"/>
      <c r="U138" s="216" t="s">
        <v>279</v>
      </c>
      <c r="V138" s="216" t="s">
        <v>280</v>
      </c>
      <c r="W138" s="295" t="b">
        <f t="shared" si="4"/>
        <v>0</v>
      </c>
      <c r="X138" s="295" t="b">
        <f t="shared" si="4"/>
        <v>0</v>
      </c>
    </row>
    <row r="139" spans="1:24" ht="13.5">
      <c r="A139" s="307"/>
      <c r="B139" s="334" t="s">
        <v>284</v>
      </c>
      <c r="C139" s="295" t="s">
        <v>285</v>
      </c>
      <c r="D139" s="318">
        <v>265000000</v>
      </c>
      <c r="E139" s="318">
        <v>0</v>
      </c>
      <c r="F139" s="318"/>
      <c r="G139" s="318"/>
      <c r="H139" s="318"/>
      <c r="I139" s="318"/>
      <c r="J139" s="318"/>
      <c r="K139" s="318"/>
      <c r="L139" s="318"/>
      <c r="M139" s="318"/>
      <c r="N139" s="318"/>
      <c r="O139" s="318"/>
      <c r="P139" s="324" t="s">
        <v>286</v>
      </c>
      <c r="Q139" s="295" t="s">
        <v>287</v>
      </c>
      <c r="R139" s="320"/>
      <c r="U139" s="322" t="s">
        <v>281</v>
      </c>
      <c r="V139" s="322" t="s">
        <v>282</v>
      </c>
      <c r="W139" s="295" t="b">
        <f t="shared" si="4"/>
        <v>0</v>
      </c>
      <c r="X139" s="295" t="b">
        <f t="shared" si="4"/>
        <v>0</v>
      </c>
    </row>
    <row r="140" spans="1:24" ht="13.5">
      <c r="A140" s="326"/>
      <c r="B140" s="334" t="s">
        <v>514</v>
      </c>
      <c r="C140" s="295" t="s">
        <v>515</v>
      </c>
      <c r="D140" s="318">
        <v>0</v>
      </c>
      <c r="E140" s="318">
        <v>0</v>
      </c>
      <c r="F140" s="318"/>
      <c r="G140" s="318"/>
      <c r="H140" s="318"/>
      <c r="I140" s="318"/>
      <c r="J140" s="318"/>
      <c r="K140" s="318"/>
      <c r="L140" s="318"/>
      <c r="M140" s="318"/>
      <c r="N140" s="318"/>
      <c r="O140" s="318"/>
      <c r="P140" s="324" t="s">
        <v>286</v>
      </c>
      <c r="Q140" s="295" t="s">
        <v>287</v>
      </c>
      <c r="R140" s="320"/>
      <c r="U140" s="216" t="s">
        <v>855</v>
      </c>
      <c r="V140" s="216" t="s">
        <v>856</v>
      </c>
      <c r="W140" s="295" t="b">
        <f t="shared" si="4"/>
        <v>0</v>
      </c>
      <c r="X140" s="295" t="b">
        <f t="shared" si="4"/>
        <v>0</v>
      </c>
    </row>
    <row r="141" spans="1:24" ht="13.5">
      <c r="A141" s="307"/>
      <c r="B141" s="334" t="s">
        <v>288</v>
      </c>
      <c r="C141" s="295" t="s">
        <v>289</v>
      </c>
      <c r="D141" s="318">
        <v>0</v>
      </c>
      <c r="E141" s="318">
        <v>0</v>
      </c>
      <c r="F141" s="318"/>
      <c r="G141" s="318"/>
      <c r="H141" s="318"/>
      <c r="I141" s="318"/>
      <c r="J141" s="318"/>
      <c r="K141" s="318"/>
      <c r="L141" s="318"/>
      <c r="M141" s="318"/>
      <c r="N141" s="318"/>
      <c r="O141" s="318"/>
      <c r="P141" s="324" t="s">
        <v>286</v>
      </c>
      <c r="Q141" s="295" t="s">
        <v>287</v>
      </c>
      <c r="R141" s="320"/>
      <c r="U141" s="322" t="s">
        <v>286</v>
      </c>
      <c r="V141" s="322" t="s">
        <v>287</v>
      </c>
      <c r="W141" s="295" t="b">
        <f t="shared" si="4"/>
        <v>0</v>
      </c>
      <c r="X141" s="295" t="b">
        <f t="shared" si="4"/>
        <v>0</v>
      </c>
    </row>
    <row r="142" spans="1:24" ht="13.5">
      <c r="A142" s="307"/>
      <c r="B142" s="323" t="s">
        <v>290</v>
      </c>
      <c r="C142" s="295" t="s">
        <v>291</v>
      </c>
      <c r="D142" s="318">
        <v>414064625747.02502</v>
      </c>
      <c r="E142" s="318">
        <v>-803604.14</v>
      </c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24" t="s">
        <v>286</v>
      </c>
      <c r="Q142" s="295" t="s">
        <v>287</v>
      </c>
      <c r="R142" s="320"/>
      <c r="U142" s="216" t="s">
        <v>284</v>
      </c>
      <c r="V142" s="216" t="s">
        <v>285</v>
      </c>
      <c r="W142" s="295" t="b">
        <f t="shared" si="4"/>
        <v>0</v>
      </c>
      <c r="X142" s="295" t="b">
        <f t="shared" si="4"/>
        <v>0</v>
      </c>
    </row>
    <row r="143" spans="1:24" ht="13.5">
      <c r="A143" s="307"/>
      <c r="B143" s="334" t="s">
        <v>292</v>
      </c>
      <c r="C143" s="295" t="s">
        <v>293</v>
      </c>
      <c r="D143" s="318">
        <v>51991534162</v>
      </c>
      <c r="E143" s="318">
        <v>-91445.91</v>
      </c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24" t="s">
        <v>286</v>
      </c>
      <c r="Q143" s="295" t="s">
        <v>287</v>
      </c>
      <c r="R143" s="320"/>
      <c r="U143" s="216" t="s">
        <v>288</v>
      </c>
      <c r="V143" s="216" t="s">
        <v>289</v>
      </c>
      <c r="W143" s="295" t="b">
        <f t="shared" si="4"/>
        <v>0</v>
      </c>
      <c r="X143" s="295" t="b">
        <f t="shared" si="4"/>
        <v>0</v>
      </c>
    </row>
    <row r="144" spans="1:24" ht="13.5">
      <c r="A144" s="307"/>
      <c r="B144" s="333" t="s">
        <v>15</v>
      </c>
      <c r="C144" s="309" t="s">
        <v>294</v>
      </c>
      <c r="D144" s="321">
        <v>0</v>
      </c>
      <c r="E144" s="321">
        <v>0</v>
      </c>
      <c r="F144" s="321"/>
      <c r="G144" s="321"/>
      <c r="H144" s="321"/>
      <c r="I144" s="321"/>
      <c r="J144" s="321">
        <f>SUM(J146:J148)</f>
        <v>0</v>
      </c>
      <c r="K144" s="321"/>
      <c r="L144" s="321">
        <f>SUM(L146:L148)</f>
        <v>0</v>
      </c>
      <c r="M144" s="321">
        <f>SUM(M146:M148)</f>
        <v>0</v>
      </c>
      <c r="N144" s="321">
        <f>SUM(N146:N148)</f>
        <v>0</v>
      </c>
      <c r="O144" s="318"/>
      <c r="P144" s="324" t="s">
        <v>66</v>
      </c>
      <c r="Q144" s="295" t="s">
        <v>66</v>
      </c>
      <c r="R144" s="320"/>
      <c r="U144" s="216" t="s">
        <v>514</v>
      </c>
      <c r="V144" s="216" t="s">
        <v>515</v>
      </c>
      <c r="W144" s="295" t="b">
        <f t="shared" si="4"/>
        <v>0</v>
      </c>
      <c r="X144" s="295" t="b">
        <f t="shared" si="4"/>
        <v>0</v>
      </c>
    </row>
    <row r="145" spans="1:24" ht="13.5">
      <c r="A145" s="326"/>
      <c r="B145" s="323" t="s">
        <v>295</v>
      </c>
      <c r="C145" s="295" t="s">
        <v>296</v>
      </c>
      <c r="D145" s="318">
        <v>0</v>
      </c>
      <c r="E145" s="318">
        <v>0</v>
      </c>
      <c r="F145" s="318"/>
      <c r="G145" s="318"/>
      <c r="H145" s="318"/>
      <c r="I145" s="318"/>
      <c r="J145" s="318"/>
      <c r="K145" s="318"/>
      <c r="L145" s="318"/>
      <c r="M145" s="295"/>
      <c r="N145" s="295"/>
      <c r="O145" s="295"/>
      <c r="P145" s="324" t="s">
        <v>297</v>
      </c>
      <c r="Q145" s="295" t="s">
        <v>294</v>
      </c>
      <c r="R145" s="320"/>
      <c r="U145" s="216" t="s">
        <v>290</v>
      </c>
      <c r="V145" s="216" t="s">
        <v>291</v>
      </c>
      <c r="W145" s="295" t="b">
        <f t="shared" si="4"/>
        <v>0</v>
      </c>
      <c r="X145" s="295" t="b">
        <f t="shared" si="4"/>
        <v>0</v>
      </c>
    </row>
    <row r="146" spans="1:24" ht="13.5">
      <c r="A146" s="326"/>
      <c r="B146" s="323" t="s">
        <v>298</v>
      </c>
      <c r="C146" s="295" t="s">
        <v>299</v>
      </c>
      <c r="D146" s="318">
        <v>0</v>
      </c>
      <c r="E146" s="318">
        <v>0</v>
      </c>
      <c r="F146" s="318"/>
      <c r="G146" s="318"/>
      <c r="H146" s="318"/>
      <c r="I146" s="318"/>
      <c r="J146" s="318"/>
      <c r="K146" s="318"/>
      <c r="L146" s="318"/>
      <c r="M146" s="295"/>
      <c r="N146" s="295"/>
      <c r="O146" s="295"/>
      <c r="P146" s="324" t="s">
        <v>297</v>
      </c>
      <c r="Q146" s="295" t="s">
        <v>294</v>
      </c>
      <c r="R146" s="320"/>
      <c r="U146" s="322" t="s">
        <v>292</v>
      </c>
      <c r="V146" s="322" t="s">
        <v>293</v>
      </c>
      <c r="W146" s="295" t="b">
        <f t="shared" si="4"/>
        <v>0</v>
      </c>
      <c r="X146" s="295" t="b">
        <f t="shared" si="4"/>
        <v>0</v>
      </c>
    </row>
    <row r="147" spans="1:24" ht="13.5">
      <c r="A147" s="326"/>
      <c r="B147" s="323" t="s">
        <v>300</v>
      </c>
      <c r="C147" s="295" t="s">
        <v>301</v>
      </c>
      <c r="D147" s="318">
        <v>0</v>
      </c>
      <c r="E147" s="318">
        <v>0</v>
      </c>
      <c r="F147" s="318"/>
      <c r="G147" s="318"/>
      <c r="H147" s="318"/>
      <c r="I147" s="318"/>
      <c r="J147" s="318"/>
      <c r="K147" s="318"/>
      <c r="L147" s="318"/>
      <c r="M147" s="295"/>
      <c r="N147" s="295"/>
      <c r="O147" s="295"/>
      <c r="P147" s="324" t="s">
        <v>297</v>
      </c>
      <c r="Q147" s="295" t="s">
        <v>294</v>
      </c>
      <c r="R147" s="320"/>
      <c r="U147" s="216"/>
      <c r="V147" s="216" t="s">
        <v>304</v>
      </c>
      <c r="W147" s="295" t="b">
        <f t="shared" si="4"/>
        <v>0</v>
      </c>
      <c r="X147" s="295" t="b">
        <f t="shared" si="4"/>
        <v>0</v>
      </c>
    </row>
    <row r="148" spans="1:24" ht="13.5">
      <c r="A148" s="326"/>
      <c r="B148" s="323" t="s">
        <v>302</v>
      </c>
      <c r="C148" s="295" t="s">
        <v>303</v>
      </c>
      <c r="D148" s="318">
        <v>0</v>
      </c>
      <c r="E148" s="318">
        <v>0</v>
      </c>
      <c r="F148" s="318"/>
      <c r="G148" s="318"/>
      <c r="H148" s="318"/>
      <c r="I148" s="318"/>
      <c r="J148" s="318"/>
      <c r="K148" s="318"/>
      <c r="L148" s="318"/>
      <c r="M148" s="295"/>
      <c r="N148" s="295"/>
      <c r="O148" s="295"/>
      <c r="P148" s="324" t="s">
        <v>297</v>
      </c>
      <c r="Q148" s="295" t="s">
        <v>294</v>
      </c>
      <c r="R148" s="320"/>
      <c r="U148" s="216"/>
      <c r="V148" s="216" t="s">
        <v>305</v>
      </c>
      <c r="W148" s="295" t="b">
        <f t="shared" si="4"/>
        <v>0</v>
      </c>
      <c r="X148" s="295" t="b">
        <f t="shared" si="4"/>
        <v>0</v>
      </c>
    </row>
    <row r="149" spans="1:24" ht="13.5">
      <c r="A149" s="307"/>
      <c r="B149" s="315" t="s">
        <v>15</v>
      </c>
      <c r="C149" s="316" t="s">
        <v>304</v>
      </c>
      <c r="D149" s="317">
        <v>525324685354.02502</v>
      </c>
      <c r="E149" s="317">
        <f>SUM(E124,E126,E138)</f>
        <v>1104949.95</v>
      </c>
      <c r="F149" s="317"/>
      <c r="G149" s="317"/>
      <c r="H149" s="317"/>
      <c r="I149" s="317"/>
      <c r="J149" s="317">
        <f t="shared" ref="J149:N149" si="13">J144+J123</f>
        <v>0</v>
      </c>
      <c r="K149" s="317"/>
      <c r="L149" s="317">
        <f t="shared" si="13"/>
        <v>0</v>
      </c>
      <c r="M149" s="317">
        <f t="shared" si="13"/>
        <v>0</v>
      </c>
      <c r="N149" s="317">
        <f t="shared" si="13"/>
        <v>0</v>
      </c>
      <c r="O149" s="318"/>
      <c r="P149" s="324" t="s">
        <v>66</v>
      </c>
      <c r="Q149" s="295" t="s">
        <v>66</v>
      </c>
      <c r="R149" s="320"/>
      <c r="U149" s="216"/>
      <c r="V149" s="216"/>
      <c r="W149" s="295" t="b">
        <f t="shared" si="4"/>
        <v>0</v>
      </c>
      <c r="X149" s="295" t="b">
        <f t="shared" si="4"/>
        <v>0</v>
      </c>
    </row>
    <row r="150" spans="1:24" ht="13.5">
      <c r="A150" s="307"/>
      <c r="B150" s="315" t="s">
        <v>15</v>
      </c>
      <c r="C150" s="316" t="s">
        <v>305</v>
      </c>
      <c r="D150" s="317">
        <v>712853299529.02502</v>
      </c>
      <c r="E150" s="317">
        <f>E149+E121</f>
        <v>1146249.3799999999</v>
      </c>
      <c r="F150" s="317"/>
      <c r="G150" s="317"/>
      <c r="H150" s="317"/>
      <c r="I150" s="317"/>
      <c r="J150" s="317">
        <f t="shared" ref="J150:N150" si="14">J149+J121</f>
        <v>0</v>
      </c>
      <c r="K150" s="317"/>
      <c r="L150" s="317">
        <f t="shared" si="14"/>
        <v>0</v>
      </c>
      <c r="M150" s="317">
        <f t="shared" si="14"/>
        <v>0</v>
      </c>
      <c r="N150" s="317">
        <f t="shared" si="14"/>
        <v>0</v>
      </c>
      <c r="O150" s="318"/>
      <c r="P150" s="324" t="s">
        <v>66</v>
      </c>
      <c r="Q150" s="295" t="s">
        <v>66</v>
      </c>
      <c r="U150" s="325" t="s">
        <v>922</v>
      </c>
      <c r="V150" s="325" t="s">
        <v>923</v>
      </c>
      <c r="W150" s="295" t="b">
        <f t="shared" si="4"/>
        <v>0</v>
      </c>
      <c r="X150" s="295" t="b">
        <f t="shared" si="4"/>
        <v>0</v>
      </c>
    </row>
    <row r="151" spans="1:24" ht="13.5">
      <c r="A151" s="307"/>
      <c r="B151" s="323"/>
      <c r="D151" s="318">
        <v>0</v>
      </c>
      <c r="E151" s="318">
        <v>0</v>
      </c>
      <c r="F151" s="318"/>
      <c r="G151" s="318"/>
      <c r="H151" s="318"/>
      <c r="I151" s="318"/>
      <c r="J151" s="318"/>
      <c r="K151" s="318"/>
      <c r="L151" s="318"/>
      <c r="M151" s="318"/>
      <c r="N151" s="318"/>
      <c r="O151" s="318"/>
      <c r="P151" s="324" t="s">
        <v>66</v>
      </c>
      <c r="Q151" s="295" t="s">
        <v>66</v>
      </c>
      <c r="U151" s="325" t="s">
        <v>308</v>
      </c>
      <c r="V151" s="325" t="s">
        <v>309</v>
      </c>
      <c r="W151" s="295" t="b">
        <f t="shared" si="4"/>
        <v>0</v>
      </c>
      <c r="X151" s="295" t="b">
        <f t="shared" si="4"/>
        <v>0</v>
      </c>
    </row>
    <row r="152" spans="1:24" ht="13.5">
      <c r="A152" s="307"/>
      <c r="B152" s="323"/>
      <c r="D152" s="318"/>
      <c r="E152" s="318"/>
      <c r="F152" s="318"/>
      <c r="G152" s="335"/>
      <c r="H152" s="335"/>
      <c r="I152" s="335"/>
      <c r="J152" s="318"/>
      <c r="K152" s="318"/>
      <c r="L152" s="318"/>
      <c r="M152" s="318"/>
      <c r="N152" s="318"/>
      <c r="O152" s="318"/>
      <c r="P152" s="324" t="s">
        <v>66</v>
      </c>
      <c r="Q152" s="295" t="s">
        <v>66</v>
      </c>
      <c r="U152" s="313" t="s">
        <v>312</v>
      </c>
      <c r="V152" s="314" t="s">
        <v>313</v>
      </c>
      <c r="W152" s="295" t="b">
        <f t="shared" si="4"/>
        <v>0</v>
      </c>
      <c r="X152" s="295" t="b">
        <f t="shared" si="4"/>
        <v>0</v>
      </c>
    </row>
    <row r="153" spans="1:24" ht="13.5">
      <c r="A153" s="307"/>
      <c r="B153" s="315" t="s">
        <v>306</v>
      </c>
      <c r="C153" s="316" t="s">
        <v>307</v>
      </c>
      <c r="D153" s="317">
        <v>631310435126</v>
      </c>
      <c r="E153" s="317">
        <v>440865.62</v>
      </c>
      <c r="F153" s="317"/>
      <c r="G153" s="317"/>
      <c r="H153" s="317"/>
      <c r="I153" s="317"/>
      <c r="J153" s="317">
        <f>SUM(J154:J158)</f>
        <v>0</v>
      </c>
      <c r="K153" s="317"/>
      <c r="L153" s="317">
        <f>SUM(L154)</f>
        <v>0</v>
      </c>
      <c r="M153" s="317">
        <f>SUM(M154)</f>
        <v>0</v>
      </c>
      <c r="N153" s="317">
        <f>SUM(N154)</f>
        <v>0</v>
      </c>
      <c r="O153" s="318"/>
      <c r="P153" s="324" t="s">
        <v>66</v>
      </c>
      <c r="Q153" s="295" t="s">
        <v>66</v>
      </c>
      <c r="U153" s="313" t="s">
        <v>314</v>
      </c>
      <c r="V153" s="314" t="s">
        <v>315</v>
      </c>
      <c r="W153" s="295" t="b">
        <f t="shared" si="4"/>
        <v>0</v>
      </c>
      <c r="X153" s="295" t="b">
        <f t="shared" si="4"/>
        <v>0</v>
      </c>
    </row>
    <row r="154" spans="1:24" ht="13.5">
      <c r="A154" s="307"/>
      <c r="B154" s="323" t="s">
        <v>308</v>
      </c>
      <c r="C154" s="295" t="s">
        <v>309</v>
      </c>
      <c r="D154" s="318">
        <v>4806524337</v>
      </c>
      <c r="E154" s="318">
        <v>440865.62</v>
      </c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24" t="s">
        <v>310</v>
      </c>
      <c r="Q154" s="295" t="s">
        <v>311</v>
      </c>
      <c r="U154" s="313" t="s">
        <v>316</v>
      </c>
      <c r="V154" s="314" t="s">
        <v>317</v>
      </c>
      <c r="W154" s="295" t="b">
        <f t="shared" si="4"/>
        <v>0</v>
      </c>
      <c r="X154" s="295" t="b">
        <f t="shared" si="4"/>
        <v>0</v>
      </c>
    </row>
    <row r="155" spans="1:24" ht="13.5">
      <c r="A155" s="307"/>
      <c r="B155" s="323" t="s">
        <v>312</v>
      </c>
      <c r="C155" s="295" t="s">
        <v>313</v>
      </c>
      <c r="D155" s="318">
        <v>0</v>
      </c>
      <c r="E155" s="318">
        <v>0</v>
      </c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24" t="s">
        <v>310</v>
      </c>
      <c r="Q155" s="295" t="s">
        <v>311</v>
      </c>
      <c r="U155" s="314" t="s">
        <v>318</v>
      </c>
      <c r="V155" s="314" t="s">
        <v>924</v>
      </c>
      <c r="W155" s="295" t="b">
        <f t="shared" si="4"/>
        <v>0</v>
      </c>
      <c r="X155" s="295" t="b">
        <f t="shared" si="4"/>
        <v>0</v>
      </c>
    </row>
    <row r="156" spans="1:24" ht="13.5">
      <c r="A156" s="307"/>
      <c r="B156" s="323" t="s">
        <v>314</v>
      </c>
      <c r="C156" s="295" t="s">
        <v>315</v>
      </c>
      <c r="D156" s="318">
        <v>476679888950</v>
      </c>
      <c r="E156" s="318">
        <v>0</v>
      </c>
      <c r="F156" s="318"/>
      <c r="G156" s="318"/>
      <c r="H156" s="318"/>
      <c r="I156" s="318"/>
      <c r="J156" s="318"/>
      <c r="K156" s="318"/>
      <c r="L156" s="318"/>
      <c r="M156" s="318"/>
      <c r="N156" s="318"/>
      <c r="O156" s="318"/>
      <c r="P156" s="324" t="s">
        <v>310</v>
      </c>
      <c r="Q156" s="295" t="s">
        <v>311</v>
      </c>
      <c r="U156" s="216" t="s">
        <v>320</v>
      </c>
      <c r="V156" s="216" t="s">
        <v>925</v>
      </c>
      <c r="W156" s="295" t="b">
        <f t="shared" si="4"/>
        <v>0</v>
      </c>
      <c r="X156" s="295" t="b">
        <f t="shared" si="4"/>
        <v>0</v>
      </c>
    </row>
    <row r="157" spans="1:24" ht="13.5">
      <c r="A157" s="307"/>
      <c r="B157" s="323" t="s">
        <v>316</v>
      </c>
      <c r="C157" s="295" t="s">
        <v>317</v>
      </c>
      <c r="D157" s="318">
        <v>0</v>
      </c>
      <c r="E157" s="318">
        <v>0</v>
      </c>
      <c r="F157" s="318"/>
      <c r="G157" s="318"/>
      <c r="H157" s="318"/>
      <c r="I157" s="318"/>
      <c r="J157" s="318"/>
      <c r="K157" s="318"/>
      <c r="L157" s="318"/>
      <c r="M157" s="318"/>
      <c r="N157" s="318"/>
      <c r="O157" s="318"/>
      <c r="P157" s="324" t="s">
        <v>310</v>
      </c>
      <c r="Q157" s="295" t="s">
        <v>311</v>
      </c>
      <c r="U157" s="325" t="s">
        <v>516</v>
      </c>
      <c r="V157" s="325" t="s">
        <v>858</v>
      </c>
      <c r="W157" s="295" t="b">
        <f t="shared" si="4"/>
        <v>0</v>
      </c>
      <c r="X157" s="295" t="b">
        <f t="shared" si="4"/>
        <v>0</v>
      </c>
    </row>
    <row r="158" spans="1:24" ht="13.5">
      <c r="A158" s="307"/>
      <c r="B158" s="323" t="s">
        <v>318</v>
      </c>
      <c r="C158" s="295" t="s">
        <v>319</v>
      </c>
      <c r="D158" s="318">
        <v>144661967012</v>
      </c>
      <c r="E158" s="318">
        <v>0</v>
      </c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24" t="s">
        <v>310</v>
      </c>
      <c r="Q158" s="295" t="s">
        <v>311</v>
      </c>
      <c r="U158" s="216" t="s">
        <v>857</v>
      </c>
      <c r="V158" s="216" t="s">
        <v>860</v>
      </c>
      <c r="W158" s="295" t="b">
        <f t="shared" si="4"/>
        <v>0</v>
      </c>
      <c r="X158" s="295" t="b">
        <f t="shared" si="4"/>
        <v>0</v>
      </c>
    </row>
    <row r="159" spans="1:24" ht="13.5">
      <c r="A159" s="307"/>
      <c r="B159" s="323" t="s">
        <v>320</v>
      </c>
      <c r="C159" s="295" t="s">
        <v>321</v>
      </c>
      <c r="D159" s="318">
        <v>0</v>
      </c>
      <c r="E159" s="318">
        <v>0</v>
      </c>
      <c r="F159" s="318"/>
      <c r="G159" s="318"/>
      <c r="H159" s="318"/>
      <c r="I159" s="318"/>
      <c r="J159" s="318"/>
      <c r="K159" s="318"/>
      <c r="L159" s="318"/>
      <c r="M159" s="318"/>
      <c r="N159" s="318"/>
      <c r="O159" s="318"/>
      <c r="P159" s="324" t="s">
        <v>310</v>
      </c>
      <c r="Q159" s="295" t="s">
        <v>311</v>
      </c>
      <c r="U159" s="325" t="s">
        <v>859</v>
      </c>
      <c r="V159" s="325" t="s">
        <v>517</v>
      </c>
      <c r="W159" s="295" t="b">
        <f t="shared" si="4"/>
        <v>0</v>
      </c>
      <c r="X159" s="295" t="b">
        <f t="shared" si="4"/>
        <v>0</v>
      </c>
    </row>
    <row r="160" spans="1:24" s="336" customFormat="1" ht="13.5">
      <c r="A160" s="326"/>
      <c r="B160" s="329" t="s">
        <v>857</v>
      </c>
      <c r="C160" s="336" t="s">
        <v>858</v>
      </c>
      <c r="D160" s="337">
        <v>450394577</v>
      </c>
      <c r="E160" s="318">
        <v>0</v>
      </c>
      <c r="F160" s="337"/>
      <c r="G160" s="337"/>
      <c r="H160" s="337"/>
      <c r="I160" s="337"/>
      <c r="J160" s="337"/>
      <c r="K160" s="337"/>
      <c r="L160" s="337"/>
      <c r="M160" s="337"/>
      <c r="N160" s="337"/>
      <c r="O160" s="337"/>
      <c r="P160" s="338" t="s">
        <v>310</v>
      </c>
      <c r="Q160" s="336" t="s">
        <v>311</v>
      </c>
      <c r="U160" s="328" t="s">
        <v>902</v>
      </c>
      <c r="V160" s="328" t="s">
        <v>903</v>
      </c>
    </row>
    <row r="161" spans="1:24" s="336" customFormat="1" ht="13.5">
      <c r="A161" s="326"/>
      <c r="B161" s="329" t="s">
        <v>859</v>
      </c>
      <c r="C161" s="336" t="s">
        <v>860</v>
      </c>
      <c r="D161" s="337">
        <v>2754054096</v>
      </c>
      <c r="E161" s="318">
        <v>0</v>
      </c>
      <c r="F161" s="337"/>
      <c r="G161" s="337"/>
      <c r="H161" s="337"/>
      <c r="I161" s="337"/>
      <c r="J161" s="337"/>
      <c r="K161" s="337"/>
      <c r="L161" s="337"/>
      <c r="M161" s="337"/>
      <c r="N161" s="337"/>
      <c r="O161" s="337"/>
      <c r="P161" s="338" t="s">
        <v>310</v>
      </c>
      <c r="Q161" s="336" t="s">
        <v>311</v>
      </c>
      <c r="U161" s="328" t="s">
        <v>926</v>
      </c>
      <c r="V161" s="328" t="s">
        <v>326</v>
      </c>
    </row>
    <row r="162" spans="1:24" ht="13.5">
      <c r="A162" s="307"/>
      <c r="B162" s="323" t="s">
        <v>516</v>
      </c>
      <c r="C162" s="295" t="s">
        <v>517</v>
      </c>
      <c r="D162" s="318">
        <v>1949056154</v>
      </c>
      <c r="E162" s="318">
        <v>0</v>
      </c>
      <c r="F162" s="318"/>
      <c r="G162" s="318"/>
      <c r="H162" s="318"/>
      <c r="I162" s="318"/>
      <c r="J162" s="318"/>
      <c r="K162" s="318"/>
      <c r="L162" s="318"/>
      <c r="M162" s="318"/>
      <c r="N162" s="318"/>
      <c r="O162" s="318"/>
      <c r="P162" s="324" t="s">
        <v>310</v>
      </c>
      <c r="Q162" s="295" t="s">
        <v>311</v>
      </c>
      <c r="U162" s="216" t="s">
        <v>323</v>
      </c>
      <c r="V162" s="216" t="s">
        <v>324</v>
      </c>
      <c r="W162" s="295" t="b">
        <f t="shared" ref="W162:X230" si="15">U162=B162</f>
        <v>0</v>
      </c>
      <c r="X162" s="295" t="b">
        <f t="shared" si="15"/>
        <v>0</v>
      </c>
    </row>
    <row r="163" spans="1:24" ht="13.5">
      <c r="A163" s="307"/>
      <c r="B163" s="323" t="s">
        <v>902</v>
      </c>
      <c r="C163" s="295" t="s">
        <v>903</v>
      </c>
      <c r="D163" s="318">
        <v>8550000</v>
      </c>
      <c r="E163" s="318">
        <v>0</v>
      </c>
      <c r="F163" s="318"/>
      <c r="G163" s="318"/>
      <c r="H163" s="318"/>
      <c r="I163" s="318"/>
      <c r="J163" s="318"/>
      <c r="K163" s="318"/>
      <c r="L163" s="318"/>
      <c r="M163" s="318"/>
      <c r="N163" s="318"/>
      <c r="O163" s="318"/>
      <c r="P163" s="324"/>
      <c r="U163" s="216" t="s">
        <v>327</v>
      </c>
      <c r="V163" s="216" t="s">
        <v>328</v>
      </c>
    </row>
    <row r="164" spans="1:24" ht="13.5">
      <c r="A164" s="307"/>
      <c r="B164" s="315" t="s">
        <v>306</v>
      </c>
      <c r="C164" s="316" t="s">
        <v>322</v>
      </c>
      <c r="D164" s="317">
        <v>52141270552</v>
      </c>
      <c r="E164" s="317">
        <v>59272</v>
      </c>
      <c r="F164" s="317"/>
      <c r="G164" s="317"/>
      <c r="H164" s="317"/>
      <c r="I164" s="317"/>
      <c r="J164" s="317">
        <f>SUM(J165:J168)</f>
        <v>0</v>
      </c>
      <c r="K164" s="317"/>
      <c r="L164" s="317">
        <f>SUM(L165)</f>
        <v>0</v>
      </c>
      <c r="M164" s="317">
        <f>SUM(M165)</f>
        <v>0</v>
      </c>
      <c r="N164" s="317">
        <f>SUM(N165)</f>
        <v>0</v>
      </c>
      <c r="O164" s="318"/>
      <c r="P164" s="324" t="s">
        <v>66</v>
      </c>
      <c r="Q164" s="295" t="s">
        <v>66</v>
      </c>
      <c r="U164" s="325" t="s">
        <v>329</v>
      </c>
      <c r="V164" s="325" t="s">
        <v>330</v>
      </c>
      <c r="W164" s="295" t="b">
        <f t="shared" si="15"/>
        <v>0</v>
      </c>
      <c r="X164" s="295" t="b">
        <f t="shared" si="15"/>
        <v>0</v>
      </c>
    </row>
    <row r="165" spans="1:24" ht="13.5">
      <c r="A165" s="307"/>
      <c r="B165" s="323" t="s">
        <v>323</v>
      </c>
      <c r="C165" s="295" t="s">
        <v>324</v>
      </c>
      <c r="D165" s="318">
        <v>4488373847</v>
      </c>
      <c r="E165" s="318">
        <v>59272</v>
      </c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24" t="s">
        <v>325</v>
      </c>
      <c r="Q165" s="295" t="s">
        <v>326</v>
      </c>
      <c r="U165" s="216" t="s">
        <v>331</v>
      </c>
      <c r="V165" s="216" t="s">
        <v>332</v>
      </c>
      <c r="W165" s="295" t="b">
        <f t="shared" si="15"/>
        <v>0</v>
      </c>
      <c r="X165" s="295" t="b">
        <f t="shared" si="15"/>
        <v>0</v>
      </c>
    </row>
    <row r="166" spans="1:24" ht="13.5">
      <c r="A166" s="307"/>
      <c r="B166" s="323" t="s">
        <v>327</v>
      </c>
      <c r="C166" s="295" t="s">
        <v>328</v>
      </c>
      <c r="D166" s="318">
        <v>0</v>
      </c>
      <c r="E166" s="318">
        <v>0</v>
      </c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24" t="s">
        <v>325</v>
      </c>
      <c r="Q166" s="295" t="s">
        <v>326</v>
      </c>
      <c r="U166" s="216" t="s">
        <v>518</v>
      </c>
      <c r="V166" s="216" t="s">
        <v>927</v>
      </c>
      <c r="W166" s="295" t="b">
        <f t="shared" si="15"/>
        <v>0</v>
      </c>
      <c r="X166" s="295" t="b">
        <f t="shared" si="15"/>
        <v>0</v>
      </c>
    </row>
    <row r="167" spans="1:24" ht="13.5">
      <c r="A167" s="307"/>
      <c r="B167" s="323" t="s">
        <v>329</v>
      </c>
      <c r="C167" s="295" t="s">
        <v>330</v>
      </c>
      <c r="D167" s="318">
        <v>46790942280</v>
      </c>
      <c r="E167" s="318">
        <v>0</v>
      </c>
      <c r="F167" s="318"/>
      <c r="G167" s="318"/>
      <c r="H167" s="318"/>
      <c r="I167" s="318"/>
      <c r="J167" s="318"/>
      <c r="K167" s="318"/>
      <c r="L167" s="318"/>
      <c r="M167" s="318"/>
      <c r="N167" s="318"/>
      <c r="O167" s="318"/>
      <c r="P167" s="324" t="s">
        <v>325</v>
      </c>
      <c r="Q167" s="295" t="s">
        <v>326</v>
      </c>
      <c r="U167" s="216" t="s">
        <v>520</v>
      </c>
      <c r="V167" s="216" t="s">
        <v>928</v>
      </c>
      <c r="W167" s="295" t="b">
        <f t="shared" si="15"/>
        <v>0</v>
      </c>
      <c r="X167" s="295" t="b">
        <f t="shared" si="15"/>
        <v>0</v>
      </c>
    </row>
    <row r="168" spans="1:24" ht="13.5">
      <c r="A168" s="307"/>
      <c r="B168" s="323" t="s">
        <v>331</v>
      </c>
      <c r="C168" s="295" t="s">
        <v>332</v>
      </c>
      <c r="D168" s="318">
        <v>0</v>
      </c>
      <c r="E168" s="318">
        <v>0</v>
      </c>
      <c r="F168" s="318"/>
      <c r="G168" s="318"/>
      <c r="H168" s="318"/>
      <c r="I168" s="318"/>
      <c r="J168" s="318"/>
      <c r="K168" s="318"/>
      <c r="L168" s="318"/>
      <c r="M168" s="318"/>
      <c r="N168" s="318"/>
      <c r="O168" s="318"/>
      <c r="P168" s="324" t="s">
        <v>325</v>
      </c>
      <c r="Q168" s="295" t="s">
        <v>326</v>
      </c>
      <c r="U168" s="216" t="s">
        <v>522</v>
      </c>
      <c r="V168" s="216" t="s">
        <v>929</v>
      </c>
      <c r="W168" s="295" t="b">
        <f t="shared" si="15"/>
        <v>0</v>
      </c>
      <c r="X168" s="295" t="b">
        <f t="shared" si="15"/>
        <v>0</v>
      </c>
    </row>
    <row r="169" spans="1:24" ht="13.5">
      <c r="A169" s="307"/>
      <c r="B169" s="323" t="s">
        <v>518</v>
      </c>
      <c r="C169" s="295" t="s">
        <v>519</v>
      </c>
      <c r="D169" s="318">
        <v>0</v>
      </c>
      <c r="E169" s="318">
        <v>0</v>
      </c>
      <c r="F169" s="318"/>
      <c r="G169" s="318"/>
      <c r="H169" s="318"/>
      <c r="I169" s="318"/>
      <c r="J169" s="318"/>
      <c r="K169" s="318"/>
      <c r="L169" s="318"/>
      <c r="M169" s="318"/>
      <c r="N169" s="318"/>
      <c r="O169" s="318"/>
      <c r="P169" s="324" t="s">
        <v>325</v>
      </c>
      <c r="Q169" s="295" t="s">
        <v>326</v>
      </c>
      <c r="U169" s="314" t="s">
        <v>930</v>
      </c>
      <c r="V169" s="314" t="s">
        <v>931</v>
      </c>
      <c r="W169" s="295" t="b">
        <f t="shared" si="15"/>
        <v>0</v>
      </c>
      <c r="X169" s="295" t="b">
        <f t="shared" si="15"/>
        <v>0</v>
      </c>
    </row>
    <row r="170" spans="1:24" ht="13.5">
      <c r="A170" s="307"/>
      <c r="B170" s="323" t="s">
        <v>520</v>
      </c>
      <c r="C170" s="295" t="s">
        <v>521</v>
      </c>
      <c r="D170" s="318">
        <v>0</v>
      </c>
      <c r="E170" s="318">
        <v>0</v>
      </c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24" t="s">
        <v>325</v>
      </c>
      <c r="Q170" s="295" t="s">
        <v>326</v>
      </c>
      <c r="U170" s="216" t="s">
        <v>907</v>
      </c>
      <c r="V170" s="216" t="s">
        <v>523</v>
      </c>
      <c r="W170" s="295" t="b">
        <f t="shared" si="15"/>
        <v>0</v>
      </c>
      <c r="X170" s="295" t="b">
        <f t="shared" si="15"/>
        <v>0</v>
      </c>
    </row>
    <row r="171" spans="1:24" ht="13.5">
      <c r="A171" s="307"/>
      <c r="B171" s="323" t="s">
        <v>907</v>
      </c>
      <c r="C171" s="295" t="s">
        <v>523</v>
      </c>
      <c r="D171" s="318">
        <v>861954425</v>
      </c>
      <c r="E171" s="318">
        <v>0</v>
      </c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24" t="s">
        <v>325</v>
      </c>
      <c r="Q171" s="295" t="s">
        <v>326</v>
      </c>
      <c r="U171" s="325"/>
      <c r="V171" s="325"/>
      <c r="W171" s="295" t="b">
        <f t="shared" si="15"/>
        <v>0</v>
      </c>
      <c r="X171" s="295" t="b">
        <f t="shared" si="15"/>
        <v>0</v>
      </c>
    </row>
    <row r="172" spans="1:24" ht="13.5">
      <c r="A172" s="307"/>
      <c r="B172" s="315" t="s">
        <v>306</v>
      </c>
      <c r="C172" s="316" t="s">
        <v>333</v>
      </c>
      <c r="D172" s="317">
        <v>579169164574</v>
      </c>
      <c r="E172" s="317">
        <v>381593.62</v>
      </c>
      <c r="F172" s="317"/>
      <c r="G172" s="317"/>
      <c r="H172" s="317"/>
      <c r="I172" s="317"/>
      <c r="J172" s="317">
        <f t="shared" ref="J172" si="16">J153-J164</f>
        <v>0</v>
      </c>
      <c r="K172" s="317"/>
      <c r="L172" s="317">
        <f>L153-L164</f>
        <v>0</v>
      </c>
      <c r="M172" s="317">
        <f>M153-M164</f>
        <v>0</v>
      </c>
      <c r="N172" s="317">
        <f>N153-N164</f>
        <v>0</v>
      </c>
      <c r="O172" s="318"/>
      <c r="P172" s="324" t="s">
        <v>66</v>
      </c>
      <c r="Q172" s="295" t="s">
        <v>66</v>
      </c>
      <c r="U172" s="216"/>
      <c r="V172" s="216" t="s">
        <v>932</v>
      </c>
      <c r="W172" s="295" t="b">
        <f t="shared" si="15"/>
        <v>0</v>
      </c>
      <c r="X172" s="295" t="b">
        <f t="shared" si="15"/>
        <v>0</v>
      </c>
    </row>
    <row r="173" spans="1:24" ht="13.5">
      <c r="A173" s="307"/>
      <c r="B173" s="315" t="s">
        <v>306</v>
      </c>
      <c r="C173" s="316" t="s">
        <v>334</v>
      </c>
      <c r="D173" s="317">
        <v>20147133209</v>
      </c>
      <c r="E173" s="317">
        <v>1185197.76</v>
      </c>
      <c r="F173" s="317"/>
      <c r="G173" s="317"/>
      <c r="H173" s="317"/>
      <c r="I173" s="317"/>
      <c r="J173" s="317">
        <f>SUM(J174:J198)</f>
        <v>0</v>
      </c>
      <c r="K173" s="317"/>
      <c r="L173" s="317">
        <f>SUM(L174:L198)</f>
        <v>0</v>
      </c>
      <c r="M173" s="317">
        <f>SUM(M174:M198)</f>
        <v>0</v>
      </c>
      <c r="N173" s="317">
        <f>SUM(N174:N198)</f>
        <v>0</v>
      </c>
      <c r="O173" s="318"/>
      <c r="P173" s="324" t="s">
        <v>66</v>
      </c>
      <c r="Q173" s="295" t="s">
        <v>66</v>
      </c>
      <c r="U173" s="325" t="s">
        <v>933</v>
      </c>
      <c r="V173" s="325" t="s">
        <v>338</v>
      </c>
      <c r="W173" s="295" t="b">
        <f t="shared" si="15"/>
        <v>0</v>
      </c>
      <c r="X173" s="295" t="b">
        <f t="shared" si="15"/>
        <v>0</v>
      </c>
    </row>
    <row r="174" spans="1:24" ht="13.5">
      <c r="A174" s="307"/>
      <c r="B174" s="323" t="s">
        <v>335</v>
      </c>
      <c r="C174" s="295" t="s">
        <v>336</v>
      </c>
      <c r="D174" s="318">
        <v>0</v>
      </c>
      <c r="E174" s="318">
        <v>0</v>
      </c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24" t="s">
        <v>337</v>
      </c>
      <c r="Q174" s="295" t="s">
        <v>338</v>
      </c>
      <c r="U174" s="216" t="s">
        <v>335</v>
      </c>
      <c r="V174" s="216" t="s">
        <v>336</v>
      </c>
      <c r="W174" s="295" t="b">
        <f t="shared" si="15"/>
        <v>1</v>
      </c>
      <c r="X174" s="295" t="b">
        <f t="shared" si="15"/>
        <v>1</v>
      </c>
    </row>
    <row r="175" spans="1:24" ht="13.5">
      <c r="A175" s="307"/>
      <c r="B175" s="323" t="s">
        <v>339</v>
      </c>
      <c r="C175" s="295" t="s">
        <v>340</v>
      </c>
      <c r="D175" s="318">
        <v>5551824496</v>
      </c>
      <c r="E175" s="318">
        <v>397417.35</v>
      </c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24" t="s">
        <v>337</v>
      </c>
      <c r="Q175" s="295" t="s">
        <v>338</v>
      </c>
      <c r="U175" s="325" t="s">
        <v>339</v>
      </c>
      <c r="V175" s="325" t="s">
        <v>340</v>
      </c>
      <c r="W175" s="295" t="b">
        <f t="shared" si="15"/>
        <v>1</v>
      </c>
      <c r="X175" s="295" t="b">
        <f t="shared" si="15"/>
        <v>1</v>
      </c>
    </row>
    <row r="176" spans="1:24" ht="13.5">
      <c r="A176" s="307"/>
      <c r="B176" s="323" t="s">
        <v>341</v>
      </c>
      <c r="C176" s="295" t="s">
        <v>342</v>
      </c>
      <c r="D176" s="318">
        <v>221551824</v>
      </c>
      <c r="E176" s="318">
        <v>33462.089999999997</v>
      </c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24" t="s">
        <v>337</v>
      </c>
      <c r="Q176" s="295" t="s">
        <v>338</v>
      </c>
      <c r="R176" s="320"/>
      <c r="U176" s="216" t="s">
        <v>341</v>
      </c>
      <c r="V176" s="216" t="s">
        <v>342</v>
      </c>
      <c r="W176" s="295" t="b">
        <f t="shared" si="15"/>
        <v>1</v>
      </c>
      <c r="X176" s="295" t="b">
        <f t="shared" si="15"/>
        <v>1</v>
      </c>
    </row>
    <row r="177" spans="1:24" ht="13.5">
      <c r="A177" s="307"/>
      <c r="B177" s="323" t="s">
        <v>343</v>
      </c>
      <c r="C177" s="295" t="s">
        <v>344</v>
      </c>
      <c r="D177" s="318">
        <v>713387423</v>
      </c>
      <c r="E177" s="318">
        <v>41718.5</v>
      </c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24" t="s">
        <v>337</v>
      </c>
      <c r="Q177" s="295" t="s">
        <v>338</v>
      </c>
      <c r="R177" s="320"/>
      <c r="U177" s="216" t="s">
        <v>343</v>
      </c>
      <c r="V177" s="216" t="s">
        <v>344</v>
      </c>
      <c r="W177" s="295" t="b">
        <f t="shared" si="15"/>
        <v>1</v>
      </c>
      <c r="X177" s="295" t="b">
        <f t="shared" si="15"/>
        <v>1</v>
      </c>
    </row>
    <row r="178" spans="1:24" ht="13.5">
      <c r="A178" s="307"/>
      <c r="B178" s="323" t="s">
        <v>345</v>
      </c>
      <c r="C178" s="295" t="s">
        <v>346</v>
      </c>
      <c r="D178" s="318">
        <v>108390941</v>
      </c>
      <c r="E178" s="318">
        <v>20403.91</v>
      </c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24" t="s">
        <v>337</v>
      </c>
      <c r="Q178" s="295" t="s">
        <v>338</v>
      </c>
      <c r="R178" s="320"/>
      <c r="U178" s="216" t="s">
        <v>345</v>
      </c>
      <c r="V178" s="216" t="s">
        <v>346</v>
      </c>
      <c r="W178" s="295" t="b">
        <f t="shared" si="15"/>
        <v>1</v>
      </c>
      <c r="X178" s="295" t="b">
        <f t="shared" si="15"/>
        <v>1</v>
      </c>
    </row>
    <row r="179" spans="1:24" ht="13.5">
      <c r="A179" s="307"/>
      <c r="B179" s="323" t="s">
        <v>347</v>
      </c>
      <c r="C179" s="295" t="s">
        <v>348</v>
      </c>
      <c r="D179" s="318">
        <v>25946393</v>
      </c>
      <c r="E179" s="318">
        <v>0</v>
      </c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24" t="s">
        <v>337</v>
      </c>
      <c r="Q179" s="295" t="s">
        <v>338</v>
      </c>
      <c r="R179" s="320"/>
      <c r="U179" s="216" t="s">
        <v>347</v>
      </c>
      <c r="V179" s="216" t="s">
        <v>348</v>
      </c>
      <c r="W179" s="295" t="b">
        <f t="shared" si="15"/>
        <v>1</v>
      </c>
      <c r="X179" s="295" t="b">
        <f t="shared" si="15"/>
        <v>1</v>
      </c>
    </row>
    <row r="180" spans="1:24" ht="13.5">
      <c r="A180" s="307"/>
      <c r="B180" s="323" t="s">
        <v>349</v>
      </c>
      <c r="C180" s="295" t="s">
        <v>350</v>
      </c>
      <c r="D180" s="318">
        <v>19965974</v>
      </c>
      <c r="E180" s="318">
        <v>31211.33</v>
      </c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24" t="s">
        <v>337</v>
      </c>
      <c r="Q180" s="295" t="s">
        <v>338</v>
      </c>
      <c r="R180" s="320"/>
      <c r="U180" s="314" t="s">
        <v>349</v>
      </c>
      <c r="V180" s="314" t="s">
        <v>350</v>
      </c>
      <c r="W180" s="295" t="b">
        <f t="shared" si="15"/>
        <v>1</v>
      </c>
      <c r="X180" s="295" t="b">
        <f t="shared" si="15"/>
        <v>1</v>
      </c>
    </row>
    <row r="181" spans="1:24" ht="13.5">
      <c r="A181" s="307"/>
      <c r="B181" s="323" t="s">
        <v>351</v>
      </c>
      <c r="C181" s="295" t="s">
        <v>352</v>
      </c>
      <c r="D181" s="318">
        <v>104327084</v>
      </c>
      <c r="E181" s="318">
        <v>0</v>
      </c>
      <c r="F181" s="318"/>
      <c r="G181" s="318"/>
      <c r="H181" s="318"/>
      <c r="I181" s="318"/>
      <c r="J181" s="318"/>
      <c r="K181" s="318"/>
      <c r="L181" s="318"/>
      <c r="M181" s="318"/>
      <c r="N181" s="318"/>
      <c r="O181" s="318"/>
      <c r="P181" s="324" t="s">
        <v>337</v>
      </c>
      <c r="Q181" s="295" t="s">
        <v>338</v>
      </c>
      <c r="R181" s="320"/>
      <c r="U181" s="314" t="s">
        <v>861</v>
      </c>
      <c r="V181" s="314" t="s">
        <v>862</v>
      </c>
      <c r="W181" s="295" t="b">
        <f t="shared" si="15"/>
        <v>0</v>
      </c>
      <c r="X181" s="295" t="b">
        <f t="shared" si="15"/>
        <v>0</v>
      </c>
    </row>
    <row r="182" spans="1:24" ht="13.5">
      <c r="A182" s="307"/>
      <c r="B182" s="323" t="s">
        <v>353</v>
      </c>
      <c r="C182" s="295" t="s">
        <v>354</v>
      </c>
      <c r="D182" s="318">
        <v>45456868</v>
      </c>
      <c r="E182" s="318">
        <v>0</v>
      </c>
      <c r="F182" s="318"/>
      <c r="G182" s="318"/>
      <c r="H182" s="318"/>
      <c r="I182" s="318"/>
      <c r="J182" s="318"/>
      <c r="K182" s="318"/>
      <c r="L182" s="318"/>
      <c r="M182" s="318"/>
      <c r="N182" s="318"/>
      <c r="O182" s="318"/>
      <c r="P182" s="324" t="s">
        <v>337</v>
      </c>
      <c r="Q182" s="295" t="s">
        <v>338</v>
      </c>
      <c r="R182" s="320"/>
      <c r="U182" s="216" t="s">
        <v>351</v>
      </c>
      <c r="V182" s="216" t="s">
        <v>352</v>
      </c>
      <c r="W182" s="295" t="b">
        <f t="shared" si="15"/>
        <v>0</v>
      </c>
      <c r="X182" s="295" t="b">
        <f t="shared" si="15"/>
        <v>0</v>
      </c>
    </row>
    <row r="183" spans="1:24" ht="13.5">
      <c r="A183" s="307"/>
      <c r="B183" s="323" t="s">
        <v>355</v>
      </c>
      <c r="C183" s="295" t="s">
        <v>356</v>
      </c>
      <c r="D183" s="318">
        <v>210114260</v>
      </c>
      <c r="E183" s="318">
        <v>4087</v>
      </c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24" t="s">
        <v>337</v>
      </c>
      <c r="Q183" s="295" t="s">
        <v>338</v>
      </c>
      <c r="R183" s="320"/>
      <c r="U183" s="216" t="s">
        <v>353</v>
      </c>
      <c r="V183" s="216" t="s">
        <v>354</v>
      </c>
      <c r="W183" s="295" t="b">
        <f t="shared" si="15"/>
        <v>0</v>
      </c>
      <c r="X183" s="295" t="b">
        <f t="shared" si="15"/>
        <v>0</v>
      </c>
    </row>
    <row r="184" spans="1:24" ht="13.5">
      <c r="A184" s="307"/>
      <c r="B184" s="323" t="s">
        <v>357</v>
      </c>
      <c r="C184" s="295" t="s">
        <v>358</v>
      </c>
      <c r="D184" s="318">
        <v>56910771</v>
      </c>
      <c r="E184" s="318">
        <v>38500</v>
      </c>
      <c r="F184" s="318"/>
      <c r="G184" s="318"/>
      <c r="H184" s="318"/>
      <c r="I184" s="318"/>
      <c r="J184" s="318"/>
      <c r="K184" s="318"/>
      <c r="L184" s="318"/>
      <c r="M184" s="318"/>
      <c r="N184" s="318"/>
      <c r="O184" s="318"/>
      <c r="P184" s="324" t="s">
        <v>337</v>
      </c>
      <c r="Q184" s="295" t="s">
        <v>338</v>
      </c>
      <c r="R184" s="320"/>
      <c r="U184" s="216" t="s">
        <v>355</v>
      </c>
      <c r="V184" s="216" t="s">
        <v>356</v>
      </c>
      <c r="W184" s="295" t="b">
        <f t="shared" si="15"/>
        <v>0</v>
      </c>
      <c r="X184" s="295" t="b">
        <f t="shared" si="15"/>
        <v>0</v>
      </c>
    </row>
    <row r="185" spans="1:24" ht="13.5">
      <c r="A185" s="307"/>
      <c r="B185" s="323" t="s">
        <v>359</v>
      </c>
      <c r="C185" s="295" t="s">
        <v>360</v>
      </c>
      <c r="D185" s="318">
        <v>11388818</v>
      </c>
      <c r="E185" s="318">
        <v>2580.31</v>
      </c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24" t="s">
        <v>337</v>
      </c>
      <c r="Q185" s="295" t="s">
        <v>338</v>
      </c>
      <c r="R185" s="320"/>
      <c r="U185" s="216" t="s">
        <v>357</v>
      </c>
      <c r="V185" s="216" t="s">
        <v>358</v>
      </c>
      <c r="W185" s="295" t="b">
        <f t="shared" si="15"/>
        <v>0</v>
      </c>
      <c r="X185" s="295" t="b">
        <f t="shared" si="15"/>
        <v>0</v>
      </c>
    </row>
    <row r="186" spans="1:24" ht="13.5">
      <c r="A186" s="307"/>
      <c r="B186" s="323" t="s">
        <v>361</v>
      </c>
      <c r="C186" s="295" t="s">
        <v>362</v>
      </c>
      <c r="D186" s="318">
        <v>57457511</v>
      </c>
      <c r="E186" s="318">
        <v>30027.56</v>
      </c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24" t="s">
        <v>337</v>
      </c>
      <c r="Q186" s="295" t="s">
        <v>338</v>
      </c>
      <c r="R186" s="320"/>
      <c r="U186" s="216" t="s">
        <v>359</v>
      </c>
      <c r="V186" s="216" t="s">
        <v>360</v>
      </c>
      <c r="W186" s="295" t="b">
        <f t="shared" si="15"/>
        <v>0</v>
      </c>
      <c r="X186" s="295" t="b">
        <f t="shared" si="15"/>
        <v>0</v>
      </c>
    </row>
    <row r="187" spans="1:24" ht="13.5">
      <c r="A187" s="307"/>
      <c r="B187" s="323" t="s">
        <v>363</v>
      </c>
      <c r="C187" s="295" t="s">
        <v>364</v>
      </c>
      <c r="D187" s="318">
        <v>11302447</v>
      </c>
      <c r="E187" s="318">
        <v>0</v>
      </c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24" t="s">
        <v>337</v>
      </c>
      <c r="Q187" s="295" t="s">
        <v>338</v>
      </c>
      <c r="R187" s="320"/>
      <c r="U187" s="216" t="s">
        <v>361</v>
      </c>
      <c r="V187" s="216" t="s">
        <v>362</v>
      </c>
      <c r="W187" s="295" t="b">
        <f t="shared" si="15"/>
        <v>0</v>
      </c>
      <c r="X187" s="295" t="b">
        <f t="shared" si="15"/>
        <v>0</v>
      </c>
    </row>
    <row r="188" spans="1:24" ht="13.5">
      <c r="A188" s="307"/>
      <c r="B188" s="323" t="s">
        <v>365</v>
      </c>
      <c r="C188" s="295" t="s">
        <v>366</v>
      </c>
      <c r="D188" s="318">
        <v>7612483103</v>
      </c>
      <c r="E188" s="318">
        <v>0</v>
      </c>
      <c r="F188" s="318"/>
      <c r="G188" s="318"/>
      <c r="H188" s="318"/>
      <c r="I188" s="318"/>
      <c r="J188" s="318"/>
      <c r="K188" s="318"/>
      <c r="L188" s="318"/>
      <c r="M188" s="318"/>
      <c r="N188" s="318"/>
      <c r="O188" s="318"/>
      <c r="P188" s="324" t="s">
        <v>337</v>
      </c>
      <c r="Q188" s="295" t="s">
        <v>338</v>
      </c>
      <c r="R188" s="320"/>
      <c r="U188" s="216" t="s">
        <v>363</v>
      </c>
      <c r="V188" s="216" t="s">
        <v>364</v>
      </c>
      <c r="W188" s="295" t="b">
        <f t="shared" si="15"/>
        <v>0</v>
      </c>
      <c r="X188" s="295" t="b">
        <f t="shared" si="15"/>
        <v>0</v>
      </c>
    </row>
    <row r="189" spans="1:24" ht="13.5">
      <c r="A189" s="307"/>
      <c r="B189" s="323" t="s">
        <v>367</v>
      </c>
      <c r="C189" s="295" t="s">
        <v>368</v>
      </c>
      <c r="D189" s="318">
        <v>0</v>
      </c>
      <c r="E189" s="318">
        <v>0</v>
      </c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24" t="s">
        <v>337</v>
      </c>
      <c r="Q189" s="295" t="s">
        <v>338</v>
      </c>
      <c r="R189" s="320"/>
      <c r="U189" s="216" t="s">
        <v>365</v>
      </c>
      <c r="V189" s="216" t="s">
        <v>366</v>
      </c>
      <c r="W189" s="295" t="b">
        <f t="shared" si="15"/>
        <v>0</v>
      </c>
      <c r="X189" s="295" t="b">
        <f t="shared" si="15"/>
        <v>0</v>
      </c>
    </row>
    <row r="190" spans="1:24" ht="13.5">
      <c r="A190" s="307"/>
      <c r="B190" s="323" t="s">
        <v>369</v>
      </c>
      <c r="C190" s="295" t="s">
        <v>370</v>
      </c>
      <c r="D190" s="318">
        <v>204179727</v>
      </c>
      <c r="E190" s="318">
        <v>268.5</v>
      </c>
      <c r="F190" s="318"/>
      <c r="G190" s="318"/>
      <c r="H190" s="318"/>
      <c r="I190" s="318"/>
      <c r="J190" s="318"/>
      <c r="K190" s="318"/>
      <c r="L190" s="318"/>
      <c r="M190" s="318"/>
      <c r="N190" s="318"/>
      <c r="O190" s="318"/>
      <c r="P190" s="324" t="s">
        <v>337</v>
      </c>
      <c r="Q190" s="295" t="s">
        <v>338</v>
      </c>
      <c r="R190" s="320"/>
      <c r="U190" s="216" t="s">
        <v>367</v>
      </c>
      <c r="V190" s="216" t="s">
        <v>368</v>
      </c>
      <c r="W190" s="295" t="b">
        <f t="shared" si="15"/>
        <v>0</v>
      </c>
      <c r="X190" s="295" t="b">
        <f t="shared" si="15"/>
        <v>0</v>
      </c>
    </row>
    <row r="191" spans="1:24" ht="13.5">
      <c r="A191" s="307"/>
      <c r="B191" s="323" t="s">
        <v>371</v>
      </c>
      <c r="C191" s="295" t="s">
        <v>372</v>
      </c>
      <c r="D191" s="318">
        <v>0</v>
      </c>
      <c r="E191" s="318">
        <v>0</v>
      </c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24" t="s">
        <v>337</v>
      </c>
      <c r="Q191" s="295" t="s">
        <v>338</v>
      </c>
      <c r="R191" s="320"/>
      <c r="U191" s="216" t="s">
        <v>369</v>
      </c>
      <c r="V191" s="216" t="s">
        <v>370</v>
      </c>
      <c r="W191" s="295" t="b">
        <f t="shared" si="15"/>
        <v>0</v>
      </c>
      <c r="X191" s="295" t="b">
        <f t="shared" si="15"/>
        <v>0</v>
      </c>
    </row>
    <row r="192" spans="1:24" ht="13.5">
      <c r="A192" s="307"/>
      <c r="B192" s="323" t="s">
        <v>373</v>
      </c>
      <c r="C192" s="295" t="s">
        <v>374</v>
      </c>
      <c r="D192" s="318">
        <v>15164684</v>
      </c>
      <c r="E192" s="318">
        <v>0</v>
      </c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24" t="s">
        <v>337</v>
      </c>
      <c r="Q192" s="295" t="s">
        <v>338</v>
      </c>
      <c r="R192" s="320"/>
      <c r="U192" s="216" t="s">
        <v>371</v>
      </c>
      <c r="V192" s="216" t="s">
        <v>372</v>
      </c>
      <c r="W192" s="295" t="b">
        <f t="shared" si="15"/>
        <v>0</v>
      </c>
      <c r="X192" s="295" t="b">
        <f t="shared" si="15"/>
        <v>0</v>
      </c>
    </row>
    <row r="193" spans="1:24" ht="13.5">
      <c r="A193" s="307"/>
      <c r="B193" s="323" t="s">
        <v>375</v>
      </c>
      <c r="C193" s="295" t="s">
        <v>376</v>
      </c>
      <c r="D193" s="318">
        <v>6774980</v>
      </c>
      <c r="E193" s="318">
        <v>0</v>
      </c>
      <c r="F193" s="318"/>
      <c r="G193" s="318"/>
      <c r="H193" s="318"/>
      <c r="I193" s="318"/>
      <c r="J193" s="318"/>
      <c r="K193" s="318"/>
      <c r="L193" s="318"/>
      <c r="M193" s="318"/>
      <c r="N193" s="318"/>
      <c r="O193" s="318"/>
      <c r="P193" s="324" t="s">
        <v>337</v>
      </c>
      <c r="Q193" s="295" t="s">
        <v>338</v>
      </c>
      <c r="R193" s="320"/>
      <c r="S193" s="320"/>
      <c r="U193" s="216" t="s">
        <v>373</v>
      </c>
      <c r="V193" s="216" t="s">
        <v>374</v>
      </c>
      <c r="W193" s="295" t="b">
        <f t="shared" si="15"/>
        <v>0</v>
      </c>
      <c r="X193" s="295" t="b">
        <f t="shared" si="15"/>
        <v>0</v>
      </c>
    </row>
    <row r="194" spans="1:24" ht="13.5">
      <c r="A194" s="307"/>
      <c r="B194" s="323" t="s">
        <v>377</v>
      </c>
      <c r="C194" s="295" t="s">
        <v>378</v>
      </c>
      <c r="D194" s="318">
        <v>120664390</v>
      </c>
      <c r="E194" s="318">
        <v>71124.680000000008</v>
      </c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24" t="s">
        <v>337</v>
      </c>
      <c r="Q194" s="295" t="s">
        <v>338</v>
      </c>
      <c r="R194" s="320"/>
      <c r="S194" s="320"/>
      <c r="U194" s="216" t="s">
        <v>375</v>
      </c>
      <c r="V194" s="216" t="s">
        <v>376</v>
      </c>
      <c r="W194" s="295" t="b">
        <f t="shared" si="15"/>
        <v>0</v>
      </c>
      <c r="X194" s="295" t="b">
        <f t="shared" si="15"/>
        <v>0</v>
      </c>
    </row>
    <row r="195" spans="1:24" ht="13.5">
      <c r="A195" s="307"/>
      <c r="B195" s="323" t="s">
        <v>379</v>
      </c>
      <c r="C195" s="295" t="s">
        <v>380</v>
      </c>
      <c r="D195" s="318">
        <v>0</v>
      </c>
      <c r="E195" s="318">
        <v>0</v>
      </c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24" t="s">
        <v>337</v>
      </c>
      <c r="Q195" s="295" t="s">
        <v>338</v>
      </c>
      <c r="R195" s="320"/>
      <c r="S195" s="320"/>
      <c r="U195" s="216" t="s">
        <v>377</v>
      </c>
      <c r="V195" s="216" t="s">
        <v>378</v>
      </c>
      <c r="W195" s="295" t="b">
        <f t="shared" si="15"/>
        <v>0</v>
      </c>
      <c r="X195" s="295" t="b">
        <f t="shared" si="15"/>
        <v>0</v>
      </c>
    </row>
    <row r="196" spans="1:24" ht="13.5">
      <c r="A196" s="307"/>
      <c r="B196" s="323" t="s">
        <v>381</v>
      </c>
      <c r="C196" s="295" t="s">
        <v>382</v>
      </c>
      <c r="D196" s="318">
        <v>1627562850</v>
      </c>
      <c r="E196" s="318">
        <v>429686.01999999996</v>
      </c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24" t="s">
        <v>337</v>
      </c>
      <c r="Q196" s="295" t="s">
        <v>338</v>
      </c>
      <c r="R196" s="320"/>
      <c r="S196" s="320"/>
      <c r="U196" s="216" t="s">
        <v>379</v>
      </c>
      <c r="V196" s="216" t="s">
        <v>380</v>
      </c>
      <c r="W196" s="295" t="b">
        <f t="shared" si="15"/>
        <v>0</v>
      </c>
      <c r="X196" s="295" t="b">
        <f t="shared" si="15"/>
        <v>0</v>
      </c>
    </row>
    <row r="197" spans="1:24" ht="13.5">
      <c r="A197" s="307"/>
      <c r="B197" s="323" t="s">
        <v>383</v>
      </c>
      <c r="C197" s="295" t="s">
        <v>384</v>
      </c>
      <c r="D197" s="318">
        <v>0</v>
      </c>
      <c r="E197" s="318">
        <v>0</v>
      </c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24" t="s">
        <v>337</v>
      </c>
      <c r="Q197" s="295" t="s">
        <v>338</v>
      </c>
      <c r="R197" s="339"/>
      <c r="U197" s="216" t="s">
        <v>381</v>
      </c>
      <c r="V197" s="216" t="s">
        <v>382</v>
      </c>
      <c r="W197" s="295" t="b">
        <f t="shared" si="15"/>
        <v>0</v>
      </c>
      <c r="X197" s="295" t="b">
        <f t="shared" si="15"/>
        <v>0</v>
      </c>
    </row>
    <row r="198" spans="1:24" ht="13.5">
      <c r="A198" s="307"/>
      <c r="B198" s="323" t="s">
        <v>385</v>
      </c>
      <c r="C198" s="295" t="s">
        <v>386</v>
      </c>
      <c r="D198" s="318">
        <v>452234576</v>
      </c>
      <c r="E198" s="318">
        <v>74314.78</v>
      </c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24" t="s">
        <v>337</v>
      </c>
      <c r="Q198" s="295" t="s">
        <v>338</v>
      </c>
      <c r="R198" s="320"/>
      <c r="U198" s="325" t="s">
        <v>383</v>
      </c>
      <c r="V198" s="325" t="s">
        <v>384</v>
      </c>
      <c r="W198" s="295" t="b">
        <f t="shared" si="15"/>
        <v>0</v>
      </c>
      <c r="X198" s="295" t="b">
        <f t="shared" si="15"/>
        <v>0</v>
      </c>
    </row>
    <row r="199" spans="1:24" ht="13.5">
      <c r="A199" s="307"/>
      <c r="B199" s="323" t="s">
        <v>387</v>
      </c>
      <c r="C199" s="295" t="s">
        <v>388</v>
      </c>
      <c r="D199" s="318">
        <v>0</v>
      </c>
      <c r="E199" s="318">
        <v>0</v>
      </c>
      <c r="F199" s="318"/>
      <c r="G199" s="318"/>
      <c r="H199" s="318"/>
      <c r="I199" s="318"/>
      <c r="J199" s="318"/>
      <c r="K199" s="318"/>
      <c r="L199" s="318"/>
      <c r="M199" s="318"/>
      <c r="N199" s="318"/>
      <c r="O199" s="318"/>
      <c r="P199" s="324" t="s">
        <v>337</v>
      </c>
      <c r="Q199" s="295" t="s">
        <v>338</v>
      </c>
      <c r="R199" s="320"/>
      <c r="U199" s="216" t="s">
        <v>385</v>
      </c>
      <c r="V199" s="216" t="s">
        <v>386</v>
      </c>
      <c r="W199" s="295" t="b">
        <f t="shared" si="15"/>
        <v>0</v>
      </c>
      <c r="X199" s="295" t="b">
        <f t="shared" si="15"/>
        <v>0</v>
      </c>
    </row>
    <row r="200" spans="1:24" ht="13.5">
      <c r="A200" s="307"/>
      <c r="B200" s="323" t="s">
        <v>389</v>
      </c>
      <c r="C200" s="295" t="s">
        <v>390</v>
      </c>
      <c r="D200" s="318">
        <v>470162695</v>
      </c>
      <c r="E200" s="318">
        <v>0</v>
      </c>
      <c r="F200" s="318"/>
      <c r="G200" s="318"/>
      <c r="H200" s="318"/>
      <c r="I200" s="318"/>
      <c r="J200" s="318"/>
      <c r="K200" s="318"/>
      <c r="L200" s="318"/>
      <c r="M200" s="318"/>
      <c r="N200" s="318"/>
      <c r="O200" s="318"/>
      <c r="P200" s="324" t="s">
        <v>337</v>
      </c>
      <c r="Q200" s="295" t="s">
        <v>338</v>
      </c>
      <c r="R200" s="320"/>
      <c r="U200" s="325" t="s">
        <v>387</v>
      </c>
      <c r="V200" s="325" t="s">
        <v>388</v>
      </c>
      <c r="W200" s="295" t="b">
        <f t="shared" si="15"/>
        <v>0</v>
      </c>
      <c r="X200" s="295" t="b">
        <f t="shared" si="15"/>
        <v>0</v>
      </c>
    </row>
    <row r="201" spans="1:24" ht="13.5">
      <c r="A201" s="307"/>
      <c r="B201" s="323" t="s">
        <v>391</v>
      </c>
      <c r="C201" s="295" t="s">
        <v>392</v>
      </c>
      <c r="D201" s="318">
        <v>2066488400</v>
      </c>
      <c r="E201" s="318">
        <v>0</v>
      </c>
      <c r="F201" s="318"/>
      <c r="G201" s="318"/>
      <c r="H201" s="318"/>
      <c r="I201" s="318"/>
      <c r="J201" s="318"/>
      <c r="K201" s="318"/>
      <c r="L201" s="318"/>
      <c r="M201" s="318"/>
      <c r="N201" s="318"/>
      <c r="O201" s="318"/>
      <c r="P201" s="324" t="s">
        <v>337</v>
      </c>
      <c r="Q201" s="295" t="s">
        <v>338</v>
      </c>
      <c r="R201" s="320"/>
      <c r="U201" s="216" t="s">
        <v>389</v>
      </c>
      <c r="V201" s="216" t="s">
        <v>390</v>
      </c>
      <c r="W201" s="295" t="b">
        <f t="shared" si="15"/>
        <v>0</v>
      </c>
      <c r="X201" s="295" t="b">
        <f t="shared" si="15"/>
        <v>0</v>
      </c>
    </row>
    <row r="202" spans="1:24" ht="13.5">
      <c r="A202" s="307"/>
      <c r="B202" s="323" t="s">
        <v>393</v>
      </c>
      <c r="C202" s="295" t="s">
        <v>394</v>
      </c>
      <c r="D202" s="318">
        <v>0</v>
      </c>
      <c r="E202" s="318">
        <v>0</v>
      </c>
      <c r="F202" s="318"/>
      <c r="G202" s="318"/>
      <c r="H202" s="318"/>
      <c r="I202" s="318"/>
      <c r="J202" s="318"/>
      <c r="K202" s="318"/>
      <c r="L202" s="318"/>
      <c r="M202" s="318"/>
      <c r="N202" s="318"/>
      <c r="O202" s="318"/>
      <c r="P202" s="324" t="s">
        <v>337</v>
      </c>
      <c r="Q202" s="295" t="s">
        <v>338</v>
      </c>
      <c r="R202" s="320"/>
      <c r="U202" s="216" t="s">
        <v>391</v>
      </c>
      <c r="V202" s="216" t="s">
        <v>392</v>
      </c>
      <c r="W202" s="295" t="b">
        <f t="shared" si="15"/>
        <v>0</v>
      </c>
      <c r="X202" s="295" t="b">
        <f t="shared" si="15"/>
        <v>0</v>
      </c>
    </row>
    <row r="203" spans="1:24" ht="13.5">
      <c r="A203" s="307"/>
      <c r="B203" s="323" t="s">
        <v>395</v>
      </c>
      <c r="C203" s="295" t="s">
        <v>396</v>
      </c>
      <c r="D203" s="318">
        <v>78391153</v>
      </c>
      <c r="E203" s="318">
        <v>0</v>
      </c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24" t="s">
        <v>337</v>
      </c>
      <c r="Q203" s="295" t="s">
        <v>338</v>
      </c>
      <c r="R203" s="320"/>
      <c r="U203" s="216" t="s">
        <v>393</v>
      </c>
      <c r="V203" s="216" t="s">
        <v>394</v>
      </c>
      <c r="W203" s="295" t="b">
        <f t="shared" si="15"/>
        <v>0</v>
      </c>
      <c r="X203" s="295" t="b">
        <f t="shared" si="15"/>
        <v>0</v>
      </c>
    </row>
    <row r="204" spans="1:24" ht="13.5">
      <c r="A204" s="307"/>
      <c r="B204" s="323" t="s">
        <v>397</v>
      </c>
      <c r="C204" s="295" t="s">
        <v>398</v>
      </c>
      <c r="D204" s="318">
        <v>0</v>
      </c>
      <c r="E204" s="318">
        <v>0</v>
      </c>
      <c r="F204" s="318"/>
      <c r="G204" s="318"/>
      <c r="H204" s="318"/>
      <c r="I204" s="318"/>
      <c r="J204" s="318"/>
      <c r="K204" s="318"/>
      <c r="L204" s="318"/>
      <c r="M204" s="318"/>
      <c r="N204" s="318"/>
      <c r="O204" s="318"/>
      <c r="P204" s="324" t="s">
        <v>337</v>
      </c>
      <c r="Q204" s="295" t="s">
        <v>338</v>
      </c>
      <c r="R204" s="320"/>
      <c r="U204" s="325" t="s">
        <v>395</v>
      </c>
      <c r="V204" s="325" t="s">
        <v>396</v>
      </c>
      <c r="W204" s="295" t="b">
        <f t="shared" si="15"/>
        <v>0</v>
      </c>
      <c r="X204" s="295" t="b">
        <f t="shared" si="15"/>
        <v>0</v>
      </c>
    </row>
    <row r="205" spans="1:24" ht="13.5">
      <c r="A205" s="326"/>
      <c r="B205" s="323" t="s">
        <v>399</v>
      </c>
      <c r="C205" s="295" t="s">
        <v>400</v>
      </c>
      <c r="D205" s="318">
        <v>348063905</v>
      </c>
      <c r="E205" s="318">
        <v>0</v>
      </c>
      <c r="F205" s="318"/>
      <c r="G205" s="318"/>
      <c r="H205" s="318"/>
      <c r="I205" s="318"/>
      <c r="J205" s="318"/>
      <c r="K205" s="318"/>
      <c r="L205" s="318"/>
      <c r="M205" s="318"/>
      <c r="N205" s="318"/>
      <c r="O205" s="318"/>
      <c r="P205" s="324" t="s">
        <v>337</v>
      </c>
      <c r="Q205" s="295" t="s">
        <v>338</v>
      </c>
      <c r="R205" s="320"/>
      <c r="U205" s="216" t="s">
        <v>397</v>
      </c>
      <c r="V205" s="216" t="s">
        <v>398</v>
      </c>
      <c r="W205" s="295" t="b">
        <f t="shared" si="15"/>
        <v>0</v>
      </c>
      <c r="X205" s="295" t="b">
        <f t="shared" si="15"/>
        <v>0</v>
      </c>
    </row>
    <row r="206" spans="1:24" ht="13.5">
      <c r="A206" s="326"/>
      <c r="B206" s="323" t="s">
        <v>861</v>
      </c>
      <c r="C206" s="295" t="s">
        <v>862</v>
      </c>
      <c r="D206" s="318">
        <v>6937936</v>
      </c>
      <c r="E206" s="318">
        <v>10395.73</v>
      </c>
      <c r="F206" s="318"/>
      <c r="G206" s="318"/>
      <c r="H206" s="318"/>
      <c r="I206" s="318"/>
      <c r="J206" s="318"/>
      <c r="K206" s="318"/>
      <c r="L206" s="318"/>
      <c r="M206" s="318"/>
      <c r="N206" s="318"/>
      <c r="O206" s="318"/>
      <c r="P206" s="324" t="s">
        <v>337</v>
      </c>
      <c r="Q206" s="295" t="s">
        <v>338</v>
      </c>
      <c r="R206" s="320"/>
      <c r="U206" s="216" t="s">
        <v>399</v>
      </c>
      <c r="V206" s="216" t="s">
        <v>400</v>
      </c>
    </row>
    <row r="207" spans="1:24" ht="13.5">
      <c r="A207" s="307"/>
      <c r="B207" s="315" t="s">
        <v>306</v>
      </c>
      <c r="C207" s="316" t="s">
        <v>401</v>
      </c>
      <c r="D207" s="317">
        <v>559022031365</v>
      </c>
      <c r="E207" s="317">
        <v>-803604.14</v>
      </c>
      <c r="F207" s="317"/>
      <c r="G207" s="317"/>
      <c r="H207" s="317"/>
      <c r="I207" s="317"/>
      <c r="J207" s="317">
        <f t="shared" ref="J207" si="17">J172-J173</f>
        <v>0</v>
      </c>
      <c r="K207" s="317"/>
      <c r="L207" s="317">
        <f>L172-L173</f>
        <v>0</v>
      </c>
      <c r="M207" s="317">
        <f>M172-M173</f>
        <v>0</v>
      </c>
      <c r="N207" s="317">
        <f>N172-N173</f>
        <v>0</v>
      </c>
      <c r="O207" s="318"/>
      <c r="P207" s="324" t="s">
        <v>66</v>
      </c>
      <c r="Q207" s="295" t="s">
        <v>66</v>
      </c>
      <c r="R207" s="320"/>
      <c r="U207" s="325"/>
      <c r="V207" s="325"/>
      <c r="W207" s="295" t="b">
        <f t="shared" si="15"/>
        <v>0</v>
      </c>
      <c r="X207" s="295" t="b">
        <f t="shared" si="15"/>
        <v>0</v>
      </c>
    </row>
    <row r="208" spans="1:24" ht="13.5">
      <c r="A208" s="307"/>
      <c r="B208" s="315" t="s">
        <v>306</v>
      </c>
      <c r="C208" s="316" t="s">
        <v>402</v>
      </c>
      <c r="D208" s="317">
        <v>596502421</v>
      </c>
      <c r="E208" s="317">
        <v>0</v>
      </c>
      <c r="F208" s="317"/>
      <c r="G208" s="317"/>
      <c r="H208" s="317"/>
      <c r="I208" s="317"/>
      <c r="J208" s="317">
        <f t="shared" ref="J208" si="18">SUM(J209:J217)</f>
        <v>0</v>
      </c>
      <c r="K208" s="317"/>
      <c r="L208" s="317">
        <f>SUM(L209:L217)</f>
        <v>0</v>
      </c>
      <c r="M208" s="317">
        <f>SUM(M209:M217)</f>
        <v>0</v>
      </c>
      <c r="N208" s="317">
        <f>SUM(N209:N217)</f>
        <v>0</v>
      </c>
      <c r="O208" s="318"/>
      <c r="P208" s="324" t="s">
        <v>66</v>
      </c>
      <c r="Q208" s="295" t="s">
        <v>66</v>
      </c>
      <c r="R208" s="320"/>
      <c r="U208" s="216"/>
      <c r="V208" s="216" t="s">
        <v>934</v>
      </c>
      <c r="W208" s="295" t="b">
        <f t="shared" si="15"/>
        <v>0</v>
      </c>
      <c r="X208" s="295" t="b">
        <f t="shared" si="15"/>
        <v>0</v>
      </c>
    </row>
    <row r="209" spans="1:24" ht="13.5">
      <c r="A209" s="307"/>
      <c r="B209" s="323" t="s">
        <v>403</v>
      </c>
      <c r="C209" s="295" t="s">
        <v>404</v>
      </c>
      <c r="D209" s="318">
        <v>0</v>
      </c>
      <c r="E209" s="318">
        <v>0</v>
      </c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24" t="s">
        <v>405</v>
      </c>
      <c r="Q209" s="295" t="s">
        <v>406</v>
      </c>
      <c r="R209" s="320"/>
      <c r="U209" s="216" t="s">
        <v>935</v>
      </c>
      <c r="V209" s="216" t="s">
        <v>936</v>
      </c>
      <c r="W209" s="295" t="b">
        <f t="shared" si="15"/>
        <v>0</v>
      </c>
      <c r="X209" s="295" t="b">
        <f t="shared" si="15"/>
        <v>0</v>
      </c>
    </row>
    <row r="210" spans="1:24" ht="13.5">
      <c r="A210" s="307"/>
      <c r="B210" s="323" t="s">
        <v>407</v>
      </c>
      <c r="C210" s="295" t="s">
        <v>408</v>
      </c>
      <c r="D210" s="318">
        <v>468049230</v>
      </c>
      <c r="E210" s="318">
        <v>0</v>
      </c>
      <c r="F210" s="318"/>
      <c r="G210" s="318"/>
      <c r="H210" s="318"/>
      <c r="I210" s="318"/>
      <c r="J210" s="318"/>
      <c r="K210" s="318"/>
      <c r="L210" s="318"/>
      <c r="M210" s="318"/>
      <c r="N210" s="318"/>
      <c r="O210" s="318"/>
      <c r="P210" s="324" t="s">
        <v>405</v>
      </c>
      <c r="Q210" s="295" t="s">
        <v>406</v>
      </c>
      <c r="R210" s="320"/>
      <c r="U210" s="216" t="s">
        <v>403</v>
      </c>
      <c r="V210" s="216" t="s">
        <v>404</v>
      </c>
      <c r="W210" s="295" t="b">
        <f t="shared" si="15"/>
        <v>0</v>
      </c>
      <c r="X210" s="295" t="b">
        <f t="shared" si="15"/>
        <v>0</v>
      </c>
    </row>
    <row r="211" spans="1:24" ht="13.5">
      <c r="A211" s="307"/>
      <c r="B211" s="323" t="s">
        <v>409</v>
      </c>
      <c r="C211" s="295" t="s">
        <v>410</v>
      </c>
      <c r="D211" s="318">
        <v>18175186</v>
      </c>
      <c r="E211" s="318">
        <v>0</v>
      </c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24" t="s">
        <v>405</v>
      </c>
      <c r="Q211" s="295" t="s">
        <v>406</v>
      </c>
      <c r="R211" s="320"/>
      <c r="U211" s="216" t="s">
        <v>863</v>
      </c>
      <c r="V211" s="216" t="s">
        <v>864</v>
      </c>
      <c r="W211" s="295" t="b">
        <f t="shared" si="15"/>
        <v>0</v>
      </c>
      <c r="X211" s="295" t="b">
        <f t="shared" si="15"/>
        <v>0</v>
      </c>
    </row>
    <row r="212" spans="1:24" ht="13.5">
      <c r="A212" s="323"/>
      <c r="B212" s="323" t="s">
        <v>411</v>
      </c>
      <c r="C212" s="295" t="s">
        <v>524</v>
      </c>
      <c r="D212" s="318">
        <v>866446</v>
      </c>
      <c r="E212" s="318">
        <v>0</v>
      </c>
      <c r="F212" s="318"/>
      <c r="G212" s="318"/>
      <c r="H212" s="318"/>
      <c r="I212" s="318"/>
      <c r="J212" s="318"/>
      <c r="K212" s="318"/>
      <c r="L212" s="318"/>
      <c r="M212" s="318"/>
      <c r="N212" s="318"/>
      <c r="O212" s="318"/>
      <c r="P212" s="324" t="s">
        <v>405</v>
      </c>
      <c r="Q212" s="295" t="s">
        <v>406</v>
      </c>
      <c r="R212" s="320"/>
      <c r="U212" s="325" t="s">
        <v>407</v>
      </c>
      <c r="V212" s="325" t="s">
        <v>408</v>
      </c>
      <c r="W212" s="295" t="b">
        <f t="shared" si="15"/>
        <v>0</v>
      </c>
      <c r="X212" s="295" t="b">
        <f t="shared" si="15"/>
        <v>0</v>
      </c>
    </row>
    <row r="213" spans="1:24" ht="13.5">
      <c r="A213" s="307"/>
      <c r="B213" s="323" t="s">
        <v>412</v>
      </c>
      <c r="C213" s="295" t="s">
        <v>413</v>
      </c>
      <c r="D213" s="318">
        <v>0</v>
      </c>
      <c r="E213" s="318">
        <v>0</v>
      </c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24" t="s">
        <v>405</v>
      </c>
      <c r="Q213" s="295" t="s">
        <v>406</v>
      </c>
      <c r="R213" s="320"/>
      <c r="U213" s="216" t="s">
        <v>409</v>
      </c>
      <c r="V213" s="216" t="s">
        <v>410</v>
      </c>
      <c r="W213" s="295" t="b">
        <f t="shared" si="15"/>
        <v>0</v>
      </c>
      <c r="X213" s="295" t="b">
        <f t="shared" si="15"/>
        <v>0</v>
      </c>
    </row>
    <row r="214" spans="1:24" ht="13.5">
      <c r="A214" s="307"/>
      <c r="B214" s="323" t="s">
        <v>414</v>
      </c>
      <c r="C214" s="295" t="s">
        <v>415</v>
      </c>
      <c r="D214" s="318">
        <v>0</v>
      </c>
      <c r="E214" s="318">
        <v>0</v>
      </c>
      <c r="F214" s="318"/>
      <c r="G214" s="318"/>
      <c r="H214" s="318"/>
      <c r="I214" s="318"/>
      <c r="J214" s="318"/>
      <c r="K214" s="318"/>
      <c r="L214" s="318"/>
      <c r="M214" s="318"/>
      <c r="N214" s="318"/>
      <c r="O214" s="318"/>
      <c r="P214" s="324" t="s">
        <v>416</v>
      </c>
      <c r="Q214" s="295" t="s">
        <v>417</v>
      </c>
      <c r="R214" s="320"/>
      <c r="U214" s="216" t="s">
        <v>411</v>
      </c>
      <c r="V214" s="216" t="s">
        <v>524</v>
      </c>
      <c r="W214" s="295" t="b">
        <f t="shared" si="15"/>
        <v>0</v>
      </c>
      <c r="X214" s="295" t="b">
        <f t="shared" si="15"/>
        <v>0</v>
      </c>
    </row>
    <row r="215" spans="1:24" ht="13.5">
      <c r="A215" s="307"/>
      <c r="B215" s="323" t="s">
        <v>418</v>
      </c>
      <c r="C215" s="295" t="s">
        <v>419</v>
      </c>
      <c r="D215" s="318">
        <v>57212639</v>
      </c>
      <c r="E215" s="318">
        <v>0</v>
      </c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24" t="s">
        <v>405</v>
      </c>
      <c r="Q215" s="295" t="s">
        <v>406</v>
      </c>
      <c r="R215" s="320"/>
      <c r="U215" s="216" t="s">
        <v>412</v>
      </c>
      <c r="V215" s="216" t="s">
        <v>413</v>
      </c>
      <c r="W215" s="295" t="b">
        <f t="shared" si="15"/>
        <v>0</v>
      </c>
      <c r="X215" s="295" t="b">
        <f t="shared" si="15"/>
        <v>0</v>
      </c>
    </row>
    <row r="216" spans="1:24" ht="13.5">
      <c r="A216" s="307"/>
      <c r="B216" s="323" t="s">
        <v>863</v>
      </c>
      <c r="C216" s="295" t="s">
        <v>864</v>
      </c>
      <c r="D216" s="318">
        <v>52198920</v>
      </c>
      <c r="E216" s="318">
        <v>0</v>
      </c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24" t="s">
        <v>405</v>
      </c>
      <c r="Q216" s="295" t="s">
        <v>406</v>
      </c>
      <c r="R216" s="320"/>
      <c r="U216" s="216" t="s">
        <v>414</v>
      </c>
      <c r="V216" s="216" t="s">
        <v>415</v>
      </c>
    </row>
    <row r="217" spans="1:24" ht="13.5">
      <c r="A217" s="307"/>
      <c r="B217" s="323"/>
      <c r="D217" s="318"/>
      <c r="E217" s="318">
        <v>0</v>
      </c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24" t="s">
        <v>66</v>
      </c>
      <c r="Q217" s="295" t="s">
        <v>66</v>
      </c>
      <c r="R217" s="320"/>
      <c r="U217" s="216" t="s">
        <v>418</v>
      </c>
      <c r="V217" s="216" t="s">
        <v>419</v>
      </c>
      <c r="W217" s="295" t="b">
        <f t="shared" si="15"/>
        <v>0</v>
      </c>
      <c r="X217" s="295" t="b">
        <f t="shared" si="15"/>
        <v>0</v>
      </c>
    </row>
    <row r="218" spans="1:24" ht="13.5">
      <c r="A218" s="307"/>
      <c r="B218" s="315" t="s">
        <v>306</v>
      </c>
      <c r="C218" s="316" t="s">
        <v>420</v>
      </c>
      <c r="D218" s="317">
        <v>6409778889</v>
      </c>
      <c r="E218" s="317">
        <v>0</v>
      </c>
      <c r="F218" s="317"/>
      <c r="G218" s="317"/>
      <c r="H218" s="317"/>
      <c r="I218" s="317"/>
      <c r="J218" s="317">
        <f>SUM(J219:J227)</f>
        <v>0</v>
      </c>
      <c r="K218" s="317"/>
      <c r="L218" s="317">
        <f>SUM(L219:L227)</f>
        <v>0</v>
      </c>
      <c r="M218" s="317">
        <f>SUM(M219:M227)</f>
        <v>0</v>
      </c>
      <c r="N218" s="317">
        <f>SUM(N219:N227)</f>
        <v>0</v>
      </c>
      <c r="O218" s="318"/>
      <c r="P218" s="324" t="s">
        <v>66</v>
      </c>
      <c r="Q218" s="295" t="s">
        <v>66</v>
      </c>
      <c r="R218" s="320"/>
      <c r="U218" s="314"/>
      <c r="V218" s="314"/>
      <c r="W218" s="295" t="b">
        <f t="shared" si="15"/>
        <v>0</v>
      </c>
      <c r="X218" s="295" t="b">
        <f t="shared" si="15"/>
        <v>0</v>
      </c>
    </row>
    <row r="219" spans="1:24" ht="13.5">
      <c r="A219" s="307"/>
      <c r="B219" s="323" t="s">
        <v>421</v>
      </c>
      <c r="C219" s="295" t="s">
        <v>422</v>
      </c>
      <c r="D219" s="318">
        <v>0</v>
      </c>
      <c r="E219" s="318">
        <v>0</v>
      </c>
      <c r="F219" s="318"/>
      <c r="G219" s="318"/>
      <c r="H219" s="318"/>
      <c r="I219" s="318"/>
      <c r="J219" s="318"/>
      <c r="K219" s="318"/>
      <c r="L219" s="318"/>
      <c r="M219" s="318"/>
      <c r="N219" s="318"/>
      <c r="O219" s="318"/>
      <c r="P219" s="324" t="s">
        <v>423</v>
      </c>
      <c r="Q219" s="295" t="s">
        <v>424</v>
      </c>
      <c r="R219" s="320"/>
      <c r="U219" s="314"/>
      <c r="V219" s="314"/>
      <c r="W219" s="295" t="b">
        <f t="shared" si="15"/>
        <v>0</v>
      </c>
      <c r="X219" s="295" t="b">
        <f t="shared" si="15"/>
        <v>0</v>
      </c>
    </row>
    <row r="220" spans="1:24" ht="13.5">
      <c r="A220" s="307"/>
      <c r="B220" s="323" t="s">
        <v>425</v>
      </c>
      <c r="C220" s="295" t="s">
        <v>426</v>
      </c>
      <c r="D220" s="318">
        <v>2576328145</v>
      </c>
      <c r="E220" s="318">
        <v>0</v>
      </c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24" t="s">
        <v>423</v>
      </c>
      <c r="Q220" s="295" t="s">
        <v>424</v>
      </c>
      <c r="R220" s="320"/>
      <c r="U220" s="216" t="s">
        <v>937</v>
      </c>
      <c r="V220" s="216" t="s">
        <v>938</v>
      </c>
      <c r="W220" s="295" t="b">
        <f t="shared" si="15"/>
        <v>0</v>
      </c>
      <c r="X220" s="295" t="b">
        <f t="shared" si="15"/>
        <v>0</v>
      </c>
    </row>
    <row r="221" spans="1:24" ht="13.5">
      <c r="A221" s="307"/>
      <c r="B221" s="323" t="s">
        <v>865</v>
      </c>
      <c r="C221" s="295" t="s">
        <v>866</v>
      </c>
      <c r="D221" s="318">
        <v>174000000</v>
      </c>
      <c r="E221" s="318">
        <v>0</v>
      </c>
      <c r="F221" s="318"/>
      <c r="G221" s="318"/>
      <c r="H221" s="318"/>
      <c r="I221" s="318"/>
      <c r="J221" s="318"/>
      <c r="K221" s="318"/>
      <c r="L221" s="318"/>
      <c r="M221" s="318"/>
      <c r="N221" s="318"/>
      <c r="O221" s="318"/>
      <c r="P221" s="324" t="s">
        <v>423</v>
      </c>
      <c r="Q221" s="295" t="s">
        <v>424</v>
      </c>
      <c r="R221" s="320"/>
      <c r="U221" s="216" t="s">
        <v>421</v>
      </c>
      <c r="V221" s="216" t="s">
        <v>422</v>
      </c>
    </row>
    <row r="222" spans="1:24" ht="13.5">
      <c r="A222" s="307"/>
      <c r="B222" s="340" t="s">
        <v>427</v>
      </c>
      <c r="C222" s="295" t="s">
        <v>428</v>
      </c>
      <c r="D222" s="318">
        <v>3635900701</v>
      </c>
      <c r="E222" s="318">
        <v>0</v>
      </c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24" t="s">
        <v>423</v>
      </c>
      <c r="Q222" s="295" t="s">
        <v>424</v>
      </c>
      <c r="R222" s="320"/>
      <c r="U222" s="216" t="s">
        <v>425</v>
      </c>
      <c r="V222" s="216" t="s">
        <v>426</v>
      </c>
      <c r="W222" s="295" t="b">
        <f t="shared" si="15"/>
        <v>0</v>
      </c>
      <c r="X222" s="295" t="b">
        <f t="shared" si="15"/>
        <v>0</v>
      </c>
    </row>
    <row r="223" spans="1:24" ht="13.5">
      <c r="A223" s="307"/>
      <c r="B223" s="340" t="s">
        <v>429</v>
      </c>
      <c r="C223" s="295" t="s">
        <v>430</v>
      </c>
      <c r="D223" s="318">
        <v>0</v>
      </c>
      <c r="E223" s="318">
        <v>0</v>
      </c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24" t="s">
        <v>416</v>
      </c>
      <c r="Q223" s="295" t="s">
        <v>417</v>
      </c>
      <c r="R223" s="320"/>
      <c r="U223" s="216" t="s">
        <v>865</v>
      </c>
      <c r="V223" s="216" t="s">
        <v>866</v>
      </c>
      <c r="W223" s="295" t="b">
        <f t="shared" si="15"/>
        <v>0</v>
      </c>
      <c r="X223" s="295" t="b">
        <f t="shared" si="15"/>
        <v>0</v>
      </c>
    </row>
    <row r="224" spans="1:24" ht="13.5">
      <c r="A224" s="307"/>
      <c r="B224" s="323" t="s">
        <v>431</v>
      </c>
      <c r="C224" s="295" t="s">
        <v>432</v>
      </c>
      <c r="D224" s="318">
        <v>0</v>
      </c>
      <c r="E224" s="318">
        <v>0</v>
      </c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24" t="s">
        <v>423</v>
      </c>
      <c r="Q224" s="295" t="s">
        <v>424</v>
      </c>
      <c r="R224" s="320"/>
      <c r="U224" s="216" t="s">
        <v>427</v>
      </c>
      <c r="V224" s="341" t="s">
        <v>428</v>
      </c>
      <c r="W224" s="295" t="b">
        <f t="shared" si="15"/>
        <v>0</v>
      </c>
      <c r="X224" s="295" t="b">
        <f t="shared" si="15"/>
        <v>0</v>
      </c>
    </row>
    <row r="225" spans="1:24" ht="13.5">
      <c r="A225" s="307"/>
      <c r="B225" s="323" t="s">
        <v>433</v>
      </c>
      <c r="C225" s="295" t="s">
        <v>434</v>
      </c>
      <c r="D225" s="318">
        <v>0</v>
      </c>
      <c r="E225" s="318">
        <v>0</v>
      </c>
      <c r="F225" s="318"/>
      <c r="G225" s="318"/>
      <c r="H225" s="318"/>
      <c r="I225" s="318"/>
      <c r="J225" s="318"/>
      <c r="K225" s="318"/>
      <c r="L225" s="318"/>
      <c r="M225" s="318"/>
      <c r="N225" s="318"/>
      <c r="O225" s="318"/>
      <c r="P225" s="324" t="s">
        <v>423</v>
      </c>
      <c r="Q225" s="295" t="s">
        <v>424</v>
      </c>
      <c r="R225" s="320"/>
      <c r="U225" s="216" t="s">
        <v>429</v>
      </c>
      <c r="V225" s="341" t="s">
        <v>430</v>
      </c>
      <c r="W225" s="295" t="b">
        <f t="shared" si="15"/>
        <v>0</v>
      </c>
      <c r="X225" s="295" t="b">
        <f t="shared" si="15"/>
        <v>0</v>
      </c>
    </row>
    <row r="226" spans="1:24" ht="13.5">
      <c r="A226" s="307"/>
      <c r="B226" s="323" t="s">
        <v>435</v>
      </c>
      <c r="C226" s="295" t="s">
        <v>436</v>
      </c>
      <c r="D226" s="318">
        <v>12310639</v>
      </c>
      <c r="E226" s="318">
        <v>0</v>
      </c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24" t="s">
        <v>423</v>
      </c>
      <c r="Q226" s="295" t="s">
        <v>424</v>
      </c>
      <c r="R226" s="320"/>
      <c r="U226" s="216" t="s">
        <v>431</v>
      </c>
      <c r="V226" s="341" t="s">
        <v>432</v>
      </c>
      <c r="W226" s="295" t="b">
        <f t="shared" si="15"/>
        <v>0</v>
      </c>
      <c r="X226" s="295" t="b">
        <f t="shared" si="15"/>
        <v>0</v>
      </c>
    </row>
    <row r="227" spans="1:24" ht="13.5">
      <c r="A227" s="323"/>
      <c r="B227" s="323" t="s">
        <v>437</v>
      </c>
      <c r="C227" s="295" t="s">
        <v>438</v>
      </c>
      <c r="D227" s="318">
        <v>11239404</v>
      </c>
      <c r="E227" s="318">
        <v>0</v>
      </c>
      <c r="F227" s="318"/>
      <c r="G227" s="318"/>
      <c r="H227" s="318"/>
      <c r="I227" s="318"/>
      <c r="J227" s="318"/>
      <c r="K227" s="318"/>
      <c r="L227" s="318"/>
      <c r="M227" s="318"/>
      <c r="N227" s="318"/>
      <c r="O227" s="318"/>
      <c r="P227" s="324" t="s">
        <v>423</v>
      </c>
      <c r="Q227" s="295" t="s">
        <v>424</v>
      </c>
      <c r="R227" s="320"/>
      <c r="U227" s="216" t="s">
        <v>433</v>
      </c>
      <c r="V227" s="341" t="s">
        <v>434</v>
      </c>
      <c r="W227" s="295" t="b">
        <f t="shared" si="15"/>
        <v>0</v>
      </c>
      <c r="X227" s="295" t="b">
        <f t="shared" si="15"/>
        <v>0</v>
      </c>
    </row>
    <row r="228" spans="1:24" ht="13.5">
      <c r="A228" s="307"/>
      <c r="B228" s="315" t="s">
        <v>306</v>
      </c>
      <c r="C228" s="316" t="s">
        <v>439</v>
      </c>
      <c r="D228" s="317">
        <v>581934756.02499998</v>
      </c>
      <c r="E228" s="317">
        <v>0</v>
      </c>
      <c r="F228" s="317"/>
      <c r="G228" s="317"/>
      <c r="H228" s="317"/>
      <c r="I228" s="317"/>
      <c r="J228" s="317">
        <f>SUM(J229:J230)</f>
        <v>0</v>
      </c>
      <c r="K228" s="317"/>
      <c r="L228" s="317">
        <f>SUM(L229:L230)</f>
        <v>0</v>
      </c>
      <c r="M228" s="317">
        <f>SUM(M229:M230)</f>
        <v>0</v>
      </c>
      <c r="N228" s="317">
        <f>SUM(N229:N230)</f>
        <v>0</v>
      </c>
      <c r="O228" s="318"/>
      <c r="P228" s="324" t="s">
        <v>66</v>
      </c>
      <c r="Q228" s="295" t="s">
        <v>66</v>
      </c>
      <c r="R228" s="320"/>
      <c r="U228" s="216" t="s">
        <v>435</v>
      </c>
      <c r="V228" s="216" t="s">
        <v>436</v>
      </c>
      <c r="W228" s="295" t="b">
        <f t="shared" si="15"/>
        <v>0</v>
      </c>
      <c r="X228" s="295" t="b">
        <f t="shared" si="15"/>
        <v>0</v>
      </c>
    </row>
    <row r="229" spans="1:24" ht="13.5">
      <c r="A229" s="307"/>
      <c r="B229" s="323" t="s">
        <v>440</v>
      </c>
      <c r="C229" s="295" t="s">
        <v>441</v>
      </c>
      <c r="D229" s="318">
        <v>37557679</v>
      </c>
      <c r="E229" s="318">
        <v>0</v>
      </c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24" t="s">
        <v>442</v>
      </c>
      <c r="Q229" s="295" t="s">
        <v>443</v>
      </c>
      <c r="R229" s="320"/>
      <c r="U229" s="216" t="s">
        <v>437</v>
      </c>
      <c r="V229" s="216" t="s">
        <v>438</v>
      </c>
      <c r="W229" s="295" t="b">
        <f t="shared" si="15"/>
        <v>0</v>
      </c>
      <c r="X229" s="295" t="b">
        <f t="shared" si="15"/>
        <v>0</v>
      </c>
    </row>
    <row r="230" spans="1:24" ht="13.5">
      <c r="A230" s="307"/>
      <c r="B230" s="323" t="s">
        <v>444</v>
      </c>
      <c r="C230" s="295" t="s">
        <v>445</v>
      </c>
      <c r="D230" s="318">
        <v>0</v>
      </c>
      <c r="E230" s="318">
        <v>0</v>
      </c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24" t="s">
        <v>442</v>
      </c>
      <c r="Q230" s="295" t="s">
        <v>443</v>
      </c>
      <c r="R230" s="320"/>
      <c r="U230" s="314"/>
      <c r="V230" s="314"/>
      <c r="W230" s="295" t="b">
        <f t="shared" si="15"/>
        <v>0</v>
      </c>
      <c r="X230" s="295" t="b">
        <f t="shared" si="15"/>
        <v>0</v>
      </c>
    </row>
    <row r="231" spans="1:24" ht="13.5">
      <c r="A231" s="307"/>
      <c r="B231" s="323" t="s">
        <v>525</v>
      </c>
      <c r="C231" s="295" t="s">
        <v>526</v>
      </c>
      <c r="D231" s="318">
        <v>536952215.02499998</v>
      </c>
      <c r="E231" s="318">
        <v>0</v>
      </c>
      <c r="F231" s="318"/>
      <c r="G231" s="318"/>
      <c r="H231" s="318"/>
      <c r="I231" s="318"/>
      <c r="J231" s="318"/>
      <c r="K231" s="318"/>
      <c r="L231" s="318"/>
      <c r="M231" s="318"/>
      <c r="N231" s="318"/>
      <c r="O231" s="318"/>
      <c r="P231" s="324" t="s">
        <v>442</v>
      </c>
      <c r="Q231" s="295" t="s">
        <v>443</v>
      </c>
      <c r="R231" s="320"/>
      <c r="U231" s="216"/>
      <c r="V231" s="216"/>
      <c r="W231" s="295" t="b">
        <f t="shared" ref="W231:X271" si="19">U231=B231</f>
        <v>0</v>
      </c>
      <c r="X231" s="295" t="b">
        <f t="shared" si="19"/>
        <v>0</v>
      </c>
    </row>
    <row r="232" spans="1:24" ht="13.5">
      <c r="A232" s="307"/>
      <c r="B232" s="323" t="s">
        <v>958</v>
      </c>
      <c r="C232" s="295" t="s">
        <v>959</v>
      </c>
      <c r="D232" s="318">
        <v>7424862</v>
      </c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24" t="s">
        <v>442</v>
      </c>
      <c r="Q232" s="295" t="s">
        <v>443</v>
      </c>
      <c r="R232" s="320"/>
      <c r="U232" s="216"/>
      <c r="V232" s="216"/>
    </row>
    <row r="233" spans="1:24" ht="13.5">
      <c r="A233" s="307"/>
      <c r="B233" s="315" t="s">
        <v>306</v>
      </c>
      <c r="C233" s="316" t="s">
        <v>446</v>
      </c>
      <c r="D233" s="317">
        <v>172627980</v>
      </c>
      <c r="E233" s="317">
        <v>0</v>
      </c>
      <c r="F233" s="317"/>
      <c r="G233" s="317"/>
      <c r="H233" s="317"/>
      <c r="I233" s="317"/>
      <c r="J233" s="317">
        <f>SUM(J234:J235)</f>
        <v>0</v>
      </c>
      <c r="K233" s="317"/>
      <c r="L233" s="317">
        <f>SUM(L234:L235)</f>
        <v>0</v>
      </c>
      <c r="M233" s="317">
        <f>SUM(M234:M235)</f>
        <v>0</v>
      </c>
      <c r="N233" s="317">
        <f>SUM(N234:N235)</f>
        <v>0</v>
      </c>
      <c r="O233" s="318"/>
      <c r="P233" s="324" t="s">
        <v>66</v>
      </c>
      <c r="Q233" s="295" t="s">
        <v>66</v>
      </c>
      <c r="R233" s="320"/>
      <c r="U233" s="216" t="s">
        <v>939</v>
      </c>
      <c r="V233" s="216" t="s">
        <v>443</v>
      </c>
      <c r="W233" s="295" t="b">
        <f t="shared" si="19"/>
        <v>0</v>
      </c>
      <c r="X233" s="295" t="b">
        <f t="shared" si="19"/>
        <v>0</v>
      </c>
    </row>
    <row r="234" spans="1:24" ht="13.5">
      <c r="A234" s="307"/>
      <c r="B234" s="323" t="s">
        <v>447</v>
      </c>
      <c r="C234" s="295" t="s">
        <v>448</v>
      </c>
      <c r="D234" s="318">
        <v>172627980</v>
      </c>
      <c r="E234" s="318">
        <v>0</v>
      </c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24" t="s">
        <v>449</v>
      </c>
      <c r="Q234" s="295" t="s">
        <v>450</v>
      </c>
      <c r="R234" s="320"/>
      <c r="U234" s="216" t="s">
        <v>440</v>
      </c>
      <c r="V234" s="216" t="s">
        <v>441</v>
      </c>
      <c r="W234" s="295" t="b">
        <f t="shared" si="19"/>
        <v>0</v>
      </c>
      <c r="X234" s="295" t="b">
        <f t="shared" si="19"/>
        <v>0</v>
      </c>
    </row>
    <row r="235" spans="1:24" ht="13.5">
      <c r="A235" s="307"/>
      <c r="B235" s="323" t="s">
        <v>451</v>
      </c>
      <c r="C235" s="295" t="s">
        <v>452</v>
      </c>
      <c r="D235" s="318">
        <v>0</v>
      </c>
      <c r="E235" s="318">
        <v>0</v>
      </c>
      <c r="F235" s="318"/>
      <c r="G235" s="318"/>
      <c r="H235" s="318"/>
      <c r="I235" s="318"/>
      <c r="J235" s="318"/>
      <c r="K235" s="318"/>
      <c r="L235" s="318"/>
      <c r="M235" s="318"/>
      <c r="N235" s="318"/>
      <c r="O235" s="318"/>
      <c r="P235" s="324" t="s">
        <v>449</v>
      </c>
      <c r="Q235" s="295" t="s">
        <v>450</v>
      </c>
      <c r="R235" s="320"/>
      <c r="U235" s="216" t="s">
        <v>444</v>
      </c>
      <c r="V235" s="216" t="s">
        <v>445</v>
      </c>
      <c r="W235" s="295" t="b">
        <f t="shared" si="19"/>
        <v>0</v>
      </c>
      <c r="X235" s="295" t="b">
        <f t="shared" si="19"/>
        <v>0</v>
      </c>
    </row>
    <row r="236" spans="1:24" ht="13.5">
      <c r="A236" s="307"/>
      <c r="B236" s="323" t="s">
        <v>453</v>
      </c>
      <c r="C236" s="295" t="s">
        <v>454</v>
      </c>
      <c r="D236" s="318">
        <v>0</v>
      </c>
      <c r="E236" s="318">
        <v>0</v>
      </c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24" t="s">
        <v>449</v>
      </c>
      <c r="Q236" s="295" t="s">
        <v>450</v>
      </c>
      <c r="R236" s="320"/>
      <c r="U236" s="216" t="s">
        <v>525</v>
      </c>
      <c r="V236" s="216" t="s">
        <v>526</v>
      </c>
      <c r="W236" s="295" t="b">
        <f t="shared" si="19"/>
        <v>0</v>
      </c>
      <c r="X236" s="295" t="b">
        <f t="shared" si="19"/>
        <v>0</v>
      </c>
    </row>
    <row r="237" spans="1:24" ht="13.5">
      <c r="A237" s="307"/>
      <c r="B237" s="315" t="s">
        <v>306</v>
      </c>
      <c r="C237" s="316" t="s">
        <v>455</v>
      </c>
      <c r="D237" s="317">
        <v>0</v>
      </c>
      <c r="E237" s="317">
        <v>0</v>
      </c>
      <c r="F237" s="317"/>
      <c r="G237" s="317"/>
      <c r="H237" s="317"/>
      <c r="I237" s="317"/>
      <c r="J237" s="317">
        <f t="shared" ref="J237:N237" si="20">SUM(J238)</f>
        <v>0</v>
      </c>
      <c r="K237" s="317"/>
      <c r="L237" s="317">
        <f t="shared" si="20"/>
        <v>0</v>
      </c>
      <c r="M237" s="317">
        <f t="shared" si="20"/>
        <v>0</v>
      </c>
      <c r="N237" s="317">
        <f t="shared" si="20"/>
        <v>0</v>
      </c>
      <c r="O237" s="318"/>
      <c r="P237" s="324" t="s">
        <v>66</v>
      </c>
      <c r="Q237" s="295" t="s">
        <v>66</v>
      </c>
      <c r="R237" s="320"/>
      <c r="U237" s="216" t="s">
        <v>958</v>
      </c>
      <c r="V237" s="216" t="s">
        <v>959</v>
      </c>
      <c r="W237" s="295" t="b">
        <f t="shared" si="19"/>
        <v>0</v>
      </c>
      <c r="X237" s="295" t="b">
        <f t="shared" si="19"/>
        <v>0</v>
      </c>
    </row>
    <row r="238" spans="1:24" ht="13.5">
      <c r="A238" s="307"/>
      <c r="B238" s="323" t="s">
        <v>456</v>
      </c>
      <c r="C238" s="295" t="s">
        <v>417</v>
      </c>
      <c r="D238" s="318">
        <v>0</v>
      </c>
      <c r="E238" s="318">
        <v>0</v>
      </c>
      <c r="F238" s="318"/>
      <c r="G238" s="318"/>
      <c r="H238" s="318"/>
      <c r="I238" s="318"/>
      <c r="J238" s="318"/>
      <c r="K238" s="318"/>
      <c r="L238" s="318"/>
      <c r="M238" s="318"/>
      <c r="N238" s="318"/>
      <c r="O238" s="318"/>
      <c r="P238" s="324" t="s">
        <v>456</v>
      </c>
      <c r="Q238" s="295" t="s">
        <v>457</v>
      </c>
      <c r="R238" s="320"/>
      <c r="U238" s="216"/>
      <c r="V238" s="216"/>
      <c r="W238" s="295" t="b">
        <f t="shared" si="19"/>
        <v>0</v>
      </c>
      <c r="X238" s="295" t="b">
        <f t="shared" si="19"/>
        <v>0</v>
      </c>
    </row>
    <row r="239" spans="1:24" ht="13.5">
      <c r="A239" s="307"/>
      <c r="B239" s="315" t="s">
        <v>306</v>
      </c>
      <c r="C239" s="316" t="s">
        <v>458</v>
      </c>
      <c r="D239" s="317">
        <v>553618061673.02502</v>
      </c>
      <c r="E239" s="317">
        <v>-803604.14</v>
      </c>
      <c r="F239" s="317"/>
      <c r="G239" s="317"/>
      <c r="H239" s="317"/>
      <c r="I239" s="317"/>
      <c r="J239" s="317">
        <f>J207+J208-J218+J228-J233+J237</f>
        <v>0</v>
      </c>
      <c r="K239" s="317"/>
      <c r="L239" s="317">
        <f>L207+L208-L218+L228-L233+L237</f>
        <v>0</v>
      </c>
      <c r="M239" s="317">
        <f>M207+M208-M218+M228-M233+M237</f>
        <v>0</v>
      </c>
      <c r="N239" s="317">
        <f>N207+N208-N218+N228-N233+N237</f>
        <v>0</v>
      </c>
      <c r="O239" s="318"/>
      <c r="P239" s="324" t="s">
        <v>66</v>
      </c>
      <c r="Q239" s="295" t="s">
        <v>66</v>
      </c>
      <c r="R239" s="320"/>
      <c r="U239" s="216"/>
      <c r="V239" s="216"/>
      <c r="W239" s="295" t="b">
        <f t="shared" si="19"/>
        <v>0</v>
      </c>
      <c r="X239" s="295" t="b">
        <f t="shared" si="19"/>
        <v>0</v>
      </c>
    </row>
    <row r="240" spans="1:24" ht="13.5">
      <c r="A240" s="307"/>
      <c r="B240" s="315" t="s">
        <v>306</v>
      </c>
      <c r="C240" s="316" t="s">
        <v>459</v>
      </c>
      <c r="D240" s="317">
        <v>139553435926</v>
      </c>
      <c r="E240" s="317">
        <v>0</v>
      </c>
      <c r="F240" s="317"/>
      <c r="G240" s="317"/>
      <c r="H240" s="317"/>
      <c r="I240" s="317"/>
      <c r="J240" s="317">
        <f t="shared" ref="J240:N240" si="21">SUM(J241)</f>
        <v>0</v>
      </c>
      <c r="K240" s="317"/>
      <c r="L240" s="317">
        <f t="shared" si="21"/>
        <v>0</v>
      </c>
      <c r="M240" s="317">
        <f t="shared" si="21"/>
        <v>0</v>
      </c>
      <c r="N240" s="317">
        <f t="shared" si="21"/>
        <v>0</v>
      </c>
      <c r="O240" s="318"/>
      <c r="P240" s="324" t="s">
        <v>66</v>
      </c>
      <c r="Q240" s="295" t="s">
        <v>66</v>
      </c>
      <c r="R240" s="320"/>
      <c r="U240" s="216" t="s">
        <v>940</v>
      </c>
      <c r="V240" s="216" t="s">
        <v>450</v>
      </c>
      <c r="W240" s="295" t="b">
        <f t="shared" si="19"/>
        <v>0</v>
      </c>
      <c r="X240" s="295" t="b">
        <f t="shared" si="19"/>
        <v>0</v>
      </c>
    </row>
    <row r="241" spans="1:24" ht="13.5">
      <c r="A241" s="307"/>
      <c r="B241" s="323" t="s">
        <v>460</v>
      </c>
      <c r="C241" s="295" t="s">
        <v>461</v>
      </c>
      <c r="D241" s="318">
        <v>139553435926</v>
      </c>
      <c r="E241" s="318">
        <v>0</v>
      </c>
      <c r="F241" s="318"/>
      <c r="G241" s="318"/>
      <c r="H241" s="318"/>
      <c r="I241" s="318"/>
      <c r="J241" s="318"/>
      <c r="K241" s="318"/>
      <c r="L241" s="318"/>
      <c r="M241" s="318"/>
      <c r="N241" s="318"/>
      <c r="O241" s="318"/>
      <c r="P241" s="324" t="s">
        <v>462</v>
      </c>
      <c r="Q241" s="295" t="s">
        <v>461</v>
      </c>
      <c r="R241" s="320"/>
      <c r="U241" s="216" t="s">
        <v>447</v>
      </c>
      <c r="V241" s="216" t="s">
        <v>448</v>
      </c>
      <c r="W241" s="295" t="b">
        <f t="shared" si="19"/>
        <v>0</v>
      </c>
      <c r="X241" s="295" t="b">
        <f t="shared" si="19"/>
        <v>0</v>
      </c>
    </row>
    <row r="242" spans="1:24" ht="13.5">
      <c r="A242" s="307"/>
      <c r="B242" s="315" t="s">
        <v>306</v>
      </c>
      <c r="C242" s="316" t="s">
        <v>463</v>
      </c>
      <c r="D242" s="317">
        <v>414064625747.02502</v>
      </c>
      <c r="E242" s="317">
        <v>-803604.14</v>
      </c>
      <c r="F242" s="317"/>
      <c r="G242" s="317"/>
      <c r="H242" s="317"/>
      <c r="I242" s="317"/>
      <c r="J242" s="317">
        <f t="shared" ref="J242:N242" si="22">J239-J240</f>
        <v>0</v>
      </c>
      <c r="K242" s="317"/>
      <c r="L242" s="317">
        <f t="shared" si="22"/>
        <v>0</v>
      </c>
      <c r="M242" s="317">
        <f t="shared" si="22"/>
        <v>0</v>
      </c>
      <c r="N242" s="317">
        <f t="shared" si="22"/>
        <v>0</v>
      </c>
      <c r="O242" s="318"/>
      <c r="P242" s="324" t="s">
        <v>66</v>
      </c>
      <c r="Q242" s="295" t="s">
        <v>66</v>
      </c>
      <c r="R242" s="320"/>
      <c r="U242" s="216" t="s">
        <v>451</v>
      </c>
      <c r="V242" s="216" t="s">
        <v>452</v>
      </c>
      <c r="W242" s="295" t="b">
        <f t="shared" si="19"/>
        <v>0</v>
      </c>
      <c r="X242" s="295" t="b">
        <f t="shared" si="19"/>
        <v>0</v>
      </c>
    </row>
    <row r="243" spans="1:24" ht="13.5">
      <c r="A243" s="326"/>
      <c r="B243" s="323" t="s">
        <v>464</v>
      </c>
      <c r="C243" s="295" t="s">
        <v>465</v>
      </c>
      <c r="D243" s="318">
        <v>0</v>
      </c>
      <c r="E243" s="318">
        <v>0</v>
      </c>
      <c r="F243" s="318"/>
      <c r="G243" s="318"/>
      <c r="H243" s="318"/>
      <c r="I243" s="318"/>
      <c r="J243" s="318"/>
      <c r="K243" s="318"/>
      <c r="L243" s="318"/>
      <c r="M243" s="318"/>
      <c r="N243" s="318"/>
      <c r="O243" s="318"/>
      <c r="P243" s="324">
        <v>0</v>
      </c>
      <c r="Q243" s="295" t="s">
        <v>291</v>
      </c>
      <c r="R243" s="320"/>
      <c r="U243" s="216" t="s">
        <v>453</v>
      </c>
      <c r="V243" s="216" t="s">
        <v>454</v>
      </c>
      <c r="W243" s="295" t="b">
        <f t="shared" si="19"/>
        <v>0</v>
      </c>
      <c r="X243" s="295" t="b">
        <f t="shared" si="19"/>
        <v>0</v>
      </c>
    </row>
    <row r="244" spans="1:24" ht="13.5">
      <c r="A244" s="326"/>
      <c r="B244" s="323" t="s">
        <v>466</v>
      </c>
      <c r="C244" s="295" t="s">
        <v>467</v>
      </c>
      <c r="D244" s="318">
        <v>0</v>
      </c>
      <c r="E244" s="318">
        <v>0</v>
      </c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24">
        <v>0</v>
      </c>
      <c r="Q244" s="295" t="s">
        <v>291</v>
      </c>
      <c r="R244" s="320"/>
      <c r="U244" s="314"/>
      <c r="V244" s="314"/>
      <c r="W244" s="295" t="b">
        <f t="shared" si="19"/>
        <v>0</v>
      </c>
      <c r="X244" s="295" t="b">
        <f t="shared" si="19"/>
        <v>0</v>
      </c>
    </row>
    <row r="245" spans="1:24" ht="13.5">
      <c r="A245" s="307"/>
      <c r="B245" s="315" t="s">
        <v>306</v>
      </c>
      <c r="C245" s="316" t="s">
        <v>468</v>
      </c>
      <c r="D245" s="317">
        <v>0</v>
      </c>
      <c r="E245" s="317">
        <v>0</v>
      </c>
      <c r="F245" s="317"/>
      <c r="G245" s="317"/>
      <c r="H245" s="317"/>
      <c r="I245" s="317"/>
      <c r="J245" s="317">
        <f t="shared" ref="J245:N245" si="23">SUM(J246:J251)</f>
        <v>0</v>
      </c>
      <c r="K245" s="317"/>
      <c r="L245" s="317">
        <f t="shared" si="23"/>
        <v>0</v>
      </c>
      <c r="M245" s="317">
        <f t="shared" si="23"/>
        <v>0</v>
      </c>
      <c r="N245" s="317">
        <f t="shared" si="23"/>
        <v>0</v>
      </c>
      <c r="O245" s="318"/>
      <c r="P245" s="324" t="s">
        <v>66</v>
      </c>
      <c r="Q245" s="295" t="s">
        <v>66</v>
      </c>
      <c r="R245" s="320"/>
      <c r="U245" s="216"/>
      <c r="V245" s="216"/>
      <c r="W245" s="295" t="b">
        <f t="shared" si="19"/>
        <v>0</v>
      </c>
      <c r="X245" s="295" t="b">
        <f t="shared" si="19"/>
        <v>0</v>
      </c>
    </row>
    <row r="246" spans="1:24" ht="13.5">
      <c r="A246" s="307"/>
      <c r="B246" s="323" t="s">
        <v>469</v>
      </c>
      <c r="C246" s="295" t="s">
        <v>470</v>
      </c>
      <c r="D246" s="318">
        <v>0</v>
      </c>
      <c r="E246" s="318">
        <v>0</v>
      </c>
      <c r="F246" s="318"/>
      <c r="G246" s="318"/>
      <c r="H246" s="318"/>
      <c r="I246" s="318"/>
      <c r="J246" s="318"/>
      <c r="K246" s="318"/>
      <c r="L246" s="318"/>
      <c r="M246" s="318"/>
      <c r="N246" s="318"/>
      <c r="O246" s="318"/>
      <c r="P246" s="324" t="s">
        <v>471</v>
      </c>
      <c r="Q246" s="295" t="s">
        <v>472</v>
      </c>
      <c r="R246" s="320"/>
      <c r="U246" s="325"/>
      <c r="V246" s="325"/>
      <c r="W246" s="295" t="b">
        <f t="shared" si="19"/>
        <v>0</v>
      </c>
      <c r="X246" s="295" t="b">
        <f t="shared" si="19"/>
        <v>0</v>
      </c>
    </row>
    <row r="247" spans="1:24" ht="13.5">
      <c r="A247" s="307"/>
      <c r="B247" s="323" t="s">
        <v>473</v>
      </c>
      <c r="C247" s="295" t="s">
        <v>474</v>
      </c>
      <c r="D247" s="318">
        <v>0</v>
      </c>
      <c r="E247" s="318">
        <v>0</v>
      </c>
      <c r="F247" s="318"/>
      <c r="G247" s="318"/>
      <c r="H247" s="318"/>
      <c r="I247" s="318"/>
      <c r="J247" s="318"/>
      <c r="K247" s="318"/>
      <c r="L247" s="318"/>
      <c r="M247" s="318"/>
      <c r="N247" s="318"/>
      <c r="O247" s="318"/>
      <c r="P247" s="324" t="s">
        <v>471</v>
      </c>
      <c r="Q247" s="295" t="s">
        <v>472</v>
      </c>
      <c r="R247" s="320"/>
      <c r="U247" s="216" t="s">
        <v>941</v>
      </c>
      <c r="V247" s="216" t="s">
        <v>417</v>
      </c>
      <c r="W247" s="295" t="b">
        <f t="shared" si="19"/>
        <v>0</v>
      </c>
      <c r="X247" s="295" t="b">
        <f t="shared" si="19"/>
        <v>0</v>
      </c>
    </row>
    <row r="248" spans="1:24" ht="13.5">
      <c r="A248" s="307"/>
      <c r="B248" s="323" t="s">
        <v>475</v>
      </c>
      <c r="C248" s="295" t="s">
        <v>476</v>
      </c>
      <c r="D248" s="318">
        <v>0</v>
      </c>
      <c r="E248" s="318">
        <v>0</v>
      </c>
      <c r="F248" s="318"/>
      <c r="G248" s="318"/>
      <c r="H248" s="318"/>
      <c r="I248" s="318"/>
      <c r="J248" s="318"/>
      <c r="K248" s="318"/>
      <c r="L248" s="318"/>
      <c r="M248" s="318"/>
      <c r="N248" s="318"/>
      <c r="O248" s="318"/>
      <c r="P248" s="324" t="s">
        <v>471</v>
      </c>
      <c r="Q248" s="295" t="s">
        <v>472</v>
      </c>
      <c r="R248" s="320"/>
      <c r="U248" s="216" t="s">
        <v>456</v>
      </c>
      <c r="V248" s="341" t="s">
        <v>457</v>
      </c>
      <c r="W248" s="295" t="b">
        <f t="shared" si="19"/>
        <v>0</v>
      </c>
      <c r="X248" s="295" t="b">
        <f t="shared" si="19"/>
        <v>0</v>
      </c>
    </row>
    <row r="249" spans="1:24" ht="13.5">
      <c r="A249" s="326"/>
      <c r="B249" s="323" t="s">
        <v>477</v>
      </c>
      <c r="C249" s="295" t="s">
        <v>478</v>
      </c>
      <c r="D249" s="318">
        <v>0</v>
      </c>
      <c r="E249" s="318">
        <v>0</v>
      </c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24" t="s">
        <v>471</v>
      </c>
      <c r="Q249" s="295" t="s">
        <v>472</v>
      </c>
      <c r="R249" s="320"/>
      <c r="U249" s="216"/>
      <c r="V249" s="216" t="s">
        <v>942</v>
      </c>
      <c r="W249" s="295" t="b">
        <f t="shared" si="19"/>
        <v>0</v>
      </c>
      <c r="X249" s="295" t="b">
        <f t="shared" si="19"/>
        <v>0</v>
      </c>
    </row>
    <row r="250" spans="1:24" ht="13.5">
      <c r="A250" s="326"/>
      <c r="B250" s="323" t="s">
        <v>479</v>
      </c>
      <c r="C250" s="295" t="s">
        <v>480</v>
      </c>
      <c r="D250" s="318">
        <v>0</v>
      </c>
      <c r="E250" s="318">
        <v>0</v>
      </c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24" t="s">
        <v>471</v>
      </c>
      <c r="Q250" s="295" t="s">
        <v>472</v>
      </c>
      <c r="R250" s="320"/>
      <c r="U250" s="216" t="s">
        <v>460</v>
      </c>
      <c r="V250" s="216" t="s">
        <v>461</v>
      </c>
      <c r="W250" s="295" t="b">
        <f t="shared" si="19"/>
        <v>0</v>
      </c>
      <c r="X250" s="295" t="b">
        <f t="shared" si="19"/>
        <v>0</v>
      </c>
    </row>
    <row r="251" spans="1:24" ht="13.5">
      <c r="A251" s="326"/>
      <c r="B251" s="323" t="s">
        <v>527</v>
      </c>
      <c r="C251" s="295" t="s">
        <v>528</v>
      </c>
      <c r="D251" s="318">
        <v>0</v>
      </c>
      <c r="E251" s="318">
        <v>0</v>
      </c>
      <c r="F251" s="318"/>
      <c r="G251" s="318"/>
      <c r="H251" s="318"/>
      <c r="I251" s="318"/>
      <c r="J251" s="318"/>
      <c r="K251" s="318"/>
      <c r="L251" s="318"/>
      <c r="M251" s="318"/>
      <c r="N251" s="318"/>
      <c r="O251" s="318"/>
      <c r="P251" s="324" t="s">
        <v>471</v>
      </c>
      <c r="Q251" s="295" t="s">
        <v>472</v>
      </c>
      <c r="R251" s="320"/>
      <c r="U251" s="314"/>
      <c r="V251" s="314" t="s">
        <v>291</v>
      </c>
      <c r="W251" s="295" t="b">
        <f t="shared" si="19"/>
        <v>0</v>
      </c>
      <c r="X251" s="295" t="b">
        <f t="shared" si="19"/>
        <v>0</v>
      </c>
    </row>
    <row r="252" spans="1:24" ht="13.5">
      <c r="A252" s="307"/>
      <c r="B252" s="315" t="s">
        <v>481</v>
      </c>
      <c r="C252" s="316" t="s">
        <v>482</v>
      </c>
      <c r="D252" s="317">
        <v>414064625747.02502</v>
      </c>
      <c r="E252" s="317">
        <v>-803604.14</v>
      </c>
      <c r="F252" s="317"/>
      <c r="G252" s="317"/>
      <c r="H252" s="317"/>
      <c r="I252" s="317"/>
      <c r="J252" s="317">
        <f t="shared" ref="J252:N252" si="24">J242+J245</f>
        <v>0</v>
      </c>
      <c r="K252" s="317"/>
      <c r="L252" s="317">
        <f t="shared" si="24"/>
        <v>0</v>
      </c>
      <c r="M252" s="317">
        <f t="shared" si="24"/>
        <v>0</v>
      </c>
      <c r="N252" s="317">
        <f t="shared" si="24"/>
        <v>0</v>
      </c>
      <c r="O252" s="318"/>
      <c r="P252" s="324" t="s">
        <v>66</v>
      </c>
      <c r="Q252" s="295" t="s">
        <v>66</v>
      </c>
      <c r="R252" s="320"/>
      <c r="U252" s="216"/>
      <c r="V252" s="216" t="s">
        <v>943</v>
      </c>
      <c r="W252" s="295" t="b">
        <f t="shared" si="19"/>
        <v>0</v>
      </c>
      <c r="X252" s="295" t="b">
        <f t="shared" si="19"/>
        <v>0</v>
      </c>
    </row>
    <row r="253" spans="1:24" ht="13.5">
      <c r="A253" s="307"/>
      <c r="B253" s="315" t="s">
        <v>306</v>
      </c>
      <c r="C253" s="316" t="s">
        <v>483</v>
      </c>
      <c r="D253" s="317">
        <v>414064625747.02502</v>
      </c>
      <c r="E253" s="317">
        <v>-803604.14</v>
      </c>
      <c r="F253" s="317"/>
      <c r="G253" s="317"/>
      <c r="H253" s="317"/>
      <c r="I253" s="317"/>
      <c r="J253" s="317">
        <f t="shared" ref="J253:N253" si="25">J252-J254</f>
        <v>0</v>
      </c>
      <c r="K253" s="317"/>
      <c r="L253" s="317">
        <f t="shared" si="25"/>
        <v>0</v>
      </c>
      <c r="M253" s="317">
        <f t="shared" si="25"/>
        <v>0</v>
      </c>
      <c r="N253" s="317">
        <f t="shared" si="25"/>
        <v>0</v>
      </c>
      <c r="O253" s="318"/>
      <c r="P253" s="324" t="s">
        <v>66</v>
      </c>
      <c r="Q253" s="295" t="s">
        <v>66</v>
      </c>
      <c r="R253" s="320"/>
      <c r="U253" s="325"/>
      <c r="V253" s="325" t="s">
        <v>944</v>
      </c>
      <c r="W253" s="295" t="b">
        <f t="shared" si="19"/>
        <v>0</v>
      </c>
      <c r="X253" s="295" t="b">
        <f t="shared" si="19"/>
        <v>0</v>
      </c>
    </row>
    <row r="254" spans="1:24" ht="13.5">
      <c r="A254" s="307"/>
      <c r="B254" s="315" t="s">
        <v>306</v>
      </c>
      <c r="C254" s="316" t="s">
        <v>484</v>
      </c>
      <c r="D254" s="317">
        <v>0</v>
      </c>
      <c r="E254" s="317">
        <v>0</v>
      </c>
      <c r="F254" s="317"/>
      <c r="G254" s="317"/>
      <c r="H254" s="317"/>
      <c r="I254" s="317"/>
      <c r="J254" s="317">
        <v>0</v>
      </c>
      <c r="K254" s="317"/>
      <c r="L254" s="317">
        <v>0</v>
      </c>
      <c r="M254" s="317">
        <v>0</v>
      </c>
      <c r="N254" s="317">
        <v>0</v>
      </c>
      <c r="O254" s="318"/>
      <c r="P254" s="324" t="s">
        <v>66</v>
      </c>
      <c r="Q254" s="295" t="s">
        <v>66</v>
      </c>
      <c r="R254" s="320"/>
      <c r="U254" s="216"/>
      <c r="V254" s="216" t="s">
        <v>472</v>
      </c>
      <c r="W254" s="295" t="b">
        <f t="shared" si="19"/>
        <v>0</v>
      </c>
      <c r="X254" s="295" t="b">
        <f t="shared" si="19"/>
        <v>0</v>
      </c>
    </row>
    <row r="255" spans="1:24" ht="13.5">
      <c r="A255" s="326"/>
      <c r="B255" s="323" t="s">
        <v>485</v>
      </c>
      <c r="C255" s="295" t="s">
        <v>486</v>
      </c>
      <c r="D255" s="318">
        <v>0</v>
      </c>
      <c r="E255" s="318">
        <v>0</v>
      </c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24" t="s">
        <v>487</v>
      </c>
      <c r="Q255" s="295" t="s">
        <v>488</v>
      </c>
      <c r="R255" s="320"/>
      <c r="U255" s="216" t="s">
        <v>469</v>
      </c>
      <c r="V255" s="216" t="s">
        <v>470</v>
      </c>
      <c r="W255" s="295" t="b">
        <f t="shared" si="19"/>
        <v>0</v>
      </c>
      <c r="X255" s="295" t="b">
        <f t="shared" si="19"/>
        <v>0</v>
      </c>
    </row>
    <row r="256" spans="1:24" ht="13.5">
      <c r="A256" s="326"/>
      <c r="B256" s="323" t="s">
        <v>489</v>
      </c>
      <c r="C256" s="295" t="s">
        <v>490</v>
      </c>
      <c r="D256" s="318">
        <v>0</v>
      </c>
      <c r="E256" s="318">
        <v>0</v>
      </c>
      <c r="F256" s="318"/>
      <c r="G256" s="318"/>
      <c r="H256" s="318"/>
      <c r="I256" s="318"/>
      <c r="J256" s="318"/>
      <c r="K256" s="318"/>
      <c r="L256" s="318"/>
      <c r="M256" s="318"/>
      <c r="N256" s="318"/>
      <c r="O256" s="318"/>
      <c r="P256" s="324" t="s">
        <v>487</v>
      </c>
      <c r="Q256" s="295" t="s">
        <v>488</v>
      </c>
      <c r="R256" s="320"/>
      <c r="U256" s="216" t="s">
        <v>473</v>
      </c>
      <c r="V256" s="216" t="s">
        <v>474</v>
      </c>
      <c r="W256" s="295" t="b">
        <f t="shared" si="19"/>
        <v>0</v>
      </c>
      <c r="X256" s="295" t="b">
        <f t="shared" si="19"/>
        <v>0</v>
      </c>
    </row>
    <row r="257" spans="1:24" ht="13.5">
      <c r="A257" s="326"/>
      <c r="B257" s="323" t="s">
        <v>491</v>
      </c>
      <c r="C257" s="295" t="s">
        <v>492</v>
      </c>
      <c r="D257" s="318">
        <v>0</v>
      </c>
      <c r="E257" s="318">
        <v>0</v>
      </c>
      <c r="F257" s="318"/>
      <c r="G257" s="318"/>
      <c r="H257" s="318"/>
      <c r="I257" s="318"/>
      <c r="J257" s="318"/>
      <c r="K257" s="318"/>
      <c r="L257" s="318"/>
      <c r="M257" s="318"/>
      <c r="N257" s="318"/>
      <c r="O257" s="318"/>
      <c r="P257" s="324" t="s">
        <v>487</v>
      </c>
      <c r="Q257" s="295" t="s">
        <v>488</v>
      </c>
      <c r="R257" s="320"/>
      <c r="U257" s="216" t="s">
        <v>475</v>
      </c>
      <c r="V257" s="216" t="s">
        <v>476</v>
      </c>
      <c r="W257" s="295" t="b">
        <f t="shared" si="19"/>
        <v>0</v>
      </c>
      <c r="X257" s="295" t="b">
        <f t="shared" si="19"/>
        <v>0</v>
      </c>
    </row>
    <row r="258" spans="1:24" ht="13.5">
      <c r="A258" s="326"/>
      <c r="B258" s="323" t="s">
        <v>493</v>
      </c>
      <c r="C258" s="295" t="s">
        <v>494</v>
      </c>
      <c r="D258" s="318">
        <v>0</v>
      </c>
      <c r="E258" s="318">
        <v>0</v>
      </c>
      <c r="F258" s="318"/>
      <c r="G258" s="318"/>
      <c r="H258" s="318"/>
      <c r="I258" s="318"/>
      <c r="J258" s="318"/>
      <c r="K258" s="318"/>
      <c r="L258" s="318"/>
      <c r="M258" s="318"/>
      <c r="N258" s="318"/>
      <c r="O258" s="318"/>
      <c r="P258" s="324" t="s">
        <v>487</v>
      </c>
      <c r="Q258" s="295" t="s">
        <v>488</v>
      </c>
      <c r="R258" s="320"/>
      <c r="U258" s="314" t="s">
        <v>477</v>
      </c>
      <c r="V258" s="314" t="s">
        <v>945</v>
      </c>
      <c r="W258" s="295" t="b">
        <f t="shared" si="19"/>
        <v>0</v>
      </c>
      <c r="X258" s="295" t="b">
        <f t="shared" si="19"/>
        <v>0</v>
      </c>
    </row>
    <row r="259" spans="1:24" ht="13.5">
      <c r="A259" s="326"/>
      <c r="B259" s="323" t="s">
        <v>495</v>
      </c>
      <c r="C259" s="295" t="s">
        <v>496</v>
      </c>
      <c r="D259" s="318">
        <v>0</v>
      </c>
      <c r="E259" s="318">
        <v>0</v>
      </c>
      <c r="F259" s="318"/>
      <c r="G259" s="318"/>
      <c r="H259" s="318"/>
      <c r="I259" s="318"/>
      <c r="J259" s="318"/>
      <c r="K259" s="318"/>
      <c r="L259" s="318"/>
      <c r="M259" s="318"/>
      <c r="N259" s="318"/>
      <c r="O259" s="318"/>
      <c r="P259" s="324" t="s">
        <v>487</v>
      </c>
      <c r="Q259" s="295" t="s">
        <v>488</v>
      </c>
      <c r="R259" s="320"/>
      <c r="U259" s="216" t="s">
        <v>527</v>
      </c>
      <c r="V259" s="216" t="s">
        <v>528</v>
      </c>
      <c r="W259" s="295" t="b">
        <f t="shared" si="19"/>
        <v>0</v>
      </c>
      <c r="X259" s="295" t="b">
        <f t="shared" si="19"/>
        <v>0</v>
      </c>
    </row>
    <row r="260" spans="1:24" ht="13.5">
      <c r="U260" s="313"/>
      <c r="V260" s="314" t="s">
        <v>482</v>
      </c>
      <c r="W260" s="295" t="b">
        <f t="shared" si="19"/>
        <v>1</v>
      </c>
      <c r="X260" s="295" t="b">
        <f t="shared" si="19"/>
        <v>0</v>
      </c>
    </row>
    <row r="261" spans="1:24" ht="13.5">
      <c r="A261" s="307"/>
      <c r="B261" s="323"/>
      <c r="D261" s="343"/>
      <c r="E261" s="318"/>
      <c r="F261" s="343"/>
      <c r="G261" s="343"/>
      <c r="H261" s="343"/>
      <c r="I261" s="343"/>
      <c r="J261" s="343"/>
      <c r="K261" s="343"/>
      <c r="L261" s="343"/>
      <c r="M261" s="343"/>
      <c r="N261" s="343"/>
      <c r="O261" s="343"/>
      <c r="P261" s="324"/>
      <c r="R261" s="320"/>
      <c r="U261" s="216" t="s">
        <v>460</v>
      </c>
      <c r="V261" s="216" t="s">
        <v>461</v>
      </c>
      <c r="W261" s="295" t="b">
        <f t="shared" si="19"/>
        <v>0</v>
      </c>
      <c r="X261" s="295" t="b">
        <f t="shared" si="19"/>
        <v>0</v>
      </c>
    </row>
    <row r="262" spans="1:24" ht="13.5">
      <c r="A262" s="307"/>
      <c r="B262" s="323"/>
      <c r="D262" s="343"/>
      <c r="E262" s="343"/>
      <c r="F262" s="343"/>
      <c r="G262" s="343"/>
      <c r="H262" s="343"/>
      <c r="I262" s="343"/>
      <c r="J262" s="343"/>
      <c r="K262" s="343"/>
      <c r="L262" s="343"/>
      <c r="M262" s="343"/>
      <c r="N262" s="343"/>
      <c r="O262" s="343"/>
      <c r="P262" s="324"/>
      <c r="R262" s="320"/>
      <c r="U262" s="314"/>
      <c r="V262" s="314" t="s">
        <v>291</v>
      </c>
      <c r="W262" s="295" t="b">
        <f t="shared" si="19"/>
        <v>1</v>
      </c>
      <c r="X262" s="295" t="b">
        <f t="shared" si="19"/>
        <v>0</v>
      </c>
    </row>
    <row r="263" spans="1:24" ht="13.5">
      <c r="A263" s="307"/>
      <c r="B263" s="323"/>
      <c r="D263" s="343"/>
      <c r="E263" s="343"/>
      <c r="F263" s="343"/>
      <c r="G263" s="343"/>
      <c r="H263" s="343"/>
      <c r="I263" s="343"/>
      <c r="J263" s="343"/>
      <c r="K263" s="343"/>
      <c r="L263" s="343"/>
      <c r="M263" s="343"/>
      <c r="N263" s="343"/>
      <c r="O263" s="343"/>
      <c r="P263" s="304"/>
      <c r="R263" s="320"/>
      <c r="U263" s="216"/>
      <c r="V263" s="51" t="s">
        <v>943</v>
      </c>
      <c r="W263" s="295" t="b">
        <f t="shared" si="19"/>
        <v>1</v>
      </c>
      <c r="X263" s="295" t="b">
        <f t="shared" si="19"/>
        <v>0</v>
      </c>
    </row>
    <row r="264" spans="1:24" ht="13.5">
      <c r="A264" s="323"/>
      <c r="B264" s="323"/>
      <c r="D264" s="343"/>
      <c r="E264" s="343"/>
      <c r="F264" s="343"/>
      <c r="G264" s="343"/>
      <c r="H264" s="343"/>
      <c r="I264" s="343"/>
      <c r="J264" s="343"/>
      <c r="K264" s="343"/>
      <c r="L264" s="343"/>
      <c r="M264" s="343"/>
      <c r="N264" s="343"/>
      <c r="O264" s="343"/>
      <c r="P264" s="304"/>
      <c r="R264" s="320"/>
      <c r="U264" s="216"/>
      <c r="V264" s="51" t="s">
        <v>963</v>
      </c>
      <c r="W264" s="295" t="b">
        <f t="shared" si="19"/>
        <v>1</v>
      </c>
      <c r="X264" s="295" t="b">
        <f t="shared" si="19"/>
        <v>0</v>
      </c>
    </row>
    <row r="265" spans="1:24" ht="13.5">
      <c r="A265" s="323"/>
      <c r="B265" s="323"/>
      <c r="D265" s="343"/>
      <c r="E265" s="343"/>
      <c r="F265" s="343"/>
      <c r="G265" s="343"/>
      <c r="H265" s="343"/>
      <c r="I265" s="343"/>
      <c r="J265" s="343"/>
      <c r="K265" s="343"/>
      <c r="L265" s="343"/>
      <c r="M265" s="343"/>
      <c r="N265" s="343"/>
      <c r="O265" s="343"/>
      <c r="P265" s="304"/>
      <c r="U265" s="314"/>
      <c r="V265" s="314" t="s">
        <v>964</v>
      </c>
      <c r="W265" s="295" t="b">
        <f t="shared" si="19"/>
        <v>1</v>
      </c>
      <c r="X265" s="295" t="b">
        <f t="shared" si="19"/>
        <v>0</v>
      </c>
    </row>
    <row r="266" spans="1:24" ht="13.5">
      <c r="A266" s="323"/>
      <c r="B266" s="323"/>
      <c r="D266" s="343"/>
      <c r="E266" s="343"/>
      <c r="F266" s="343"/>
      <c r="G266" s="343"/>
      <c r="H266" s="343"/>
      <c r="I266" s="343"/>
      <c r="J266" s="343"/>
      <c r="K266" s="343"/>
      <c r="L266" s="343"/>
      <c r="M266" s="343"/>
      <c r="N266" s="343"/>
      <c r="O266" s="343"/>
      <c r="P266" s="304"/>
      <c r="U266" s="216" t="s">
        <v>965</v>
      </c>
      <c r="V266" s="216" t="s">
        <v>966</v>
      </c>
      <c r="W266" s="295" t="b">
        <f t="shared" si="19"/>
        <v>0</v>
      </c>
      <c r="X266" s="295" t="b">
        <f t="shared" si="19"/>
        <v>0</v>
      </c>
    </row>
    <row r="267" spans="1:24" ht="13.5">
      <c r="A267" s="323"/>
      <c r="B267" s="323"/>
      <c r="D267" s="343"/>
      <c r="E267" s="343"/>
      <c r="F267" s="343"/>
      <c r="G267" s="343"/>
      <c r="H267" s="343"/>
      <c r="I267" s="343"/>
      <c r="J267" s="343"/>
      <c r="K267" s="343"/>
      <c r="L267" s="343"/>
      <c r="M267" s="343"/>
      <c r="N267" s="343"/>
      <c r="O267" s="343"/>
      <c r="P267" s="304"/>
      <c r="U267" s="216" t="s">
        <v>967</v>
      </c>
      <c r="V267" s="216" t="s">
        <v>968</v>
      </c>
      <c r="W267" s="295" t="b">
        <f t="shared" si="19"/>
        <v>0</v>
      </c>
      <c r="X267" s="295" t="b">
        <f t="shared" si="19"/>
        <v>0</v>
      </c>
    </row>
    <row r="268" spans="1:24" ht="13.5">
      <c r="A268" s="323"/>
      <c r="B268" s="323"/>
      <c r="D268" s="343"/>
      <c r="E268" s="343"/>
      <c r="F268" s="343"/>
      <c r="G268" s="343"/>
      <c r="H268" s="343"/>
      <c r="I268" s="343"/>
      <c r="J268" s="343"/>
      <c r="K268" s="343"/>
      <c r="L268" s="343"/>
      <c r="M268" s="343"/>
      <c r="N268" s="343"/>
      <c r="O268" s="343"/>
      <c r="P268" s="304"/>
      <c r="U268" s="216" t="s">
        <v>969</v>
      </c>
      <c r="V268" s="216" t="s">
        <v>970</v>
      </c>
      <c r="W268" s="295" t="b">
        <f t="shared" si="19"/>
        <v>0</v>
      </c>
      <c r="X268" s="295" t="b">
        <f t="shared" si="19"/>
        <v>0</v>
      </c>
    </row>
    <row r="269" spans="1:24" ht="13.5">
      <c r="A269" s="323"/>
      <c r="B269" s="323"/>
      <c r="D269" s="343"/>
      <c r="E269" s="343"/>
      <c r="F269" s="343"/>
      <c r="G269" s="343"/>
      <c r="H269" s="343"/>
      <c r="I269" s="343"/>
      <c r="J269" s="343"/>
      <c r="K269" s="343"/>
      <c r="L269" s="343"/>
      <c r="M269" s="343"/>
      <c r="N269" s="343"/>
      <c r="O269" s="343"/>
      <c r="P269" s="304"/>
      <c r="U269" s="216" t="s">
        <v>477</v>
      </c>
      <c r="V269" s="216" t="s">
        <v>945</v>
      </c>
      <c r="W269" s="295" t="b">
        <f t="shared" si="19"/>
        <v>0</v>
      </c>
      <c r="X269" s="295" t="b">
        <f t="shared" si="19"/>
        <v>0</v>
      </c>
    </row>
    <row r="270" spans="1:24" ht="13.5">
      <c r="A270" s="323"/>
      <c r="B270" s="323"/>
      <c r="D270" s="343"/>
      <c r="E270" s="343"/>
      <c r="F270" s="343"/>
      <c r="G270" s="343"/>
      <c r="H270" s="343"/>
      <c r="I270" s="343"/>
      <c r="J270" s="343"/>
      <c r="K270" s="343"/>
      <c r="L270" s="343"/>
      <c r="M270" s="343"/>
      <c r="N270" s="343"/>
      <c r="O270" s="343"/>
      <c r="P270" s="304"/>
      <c r="U270" s="216" t="s">
        <v>527</v>
      </c>
      <c r="V270" s="216" t="s">
        <v>528</v>
      </c>
      <c r="W270" s="295" t="b">
        <f t="shared" si="19"/>
        <v>0</v>
      </c>
      <c r="X270" s="295" t="b">
        <f t="shared" si="19"/>
        <v>0</v>
      </c>
    </row>
    <row r="271" spans="1:24" ht="13.5">
      <c r="A271" s="323"/>
      <c r="B271" s="323"/>
      <c r="D271" s="343"/>
      <c r="E271" s="343"/>
      <c r="F271" s="343"/>
      <c r="G271" s="343"/>
      <c r="H271" s="343"/>
      <c r="I271" s="343"/>
      <c r="J271" s="343"/>
      <c r="K271" s="343"/>
      <c r="L271" s="343"/>
      <c r="M271" s="343"/>
      <c r="N271" s="343"/>
      <c r="O271" s="343"/>
      <c r="P271" s="304"/>
      <c r="U271" s="314"/>
      <c r="V271" s="314" t="s">
        <v>971</v>
      </c>
      <c r="W271" s="295" t="b">
        <f t="shared" si="19"/>
        <v>1</v>
      </c>
      <c r="X271" s="295" t="b">
        <f t="shared" si="19"/>
        <v>0</v>
      </c>
    </row>
    <row r="272" spans="1:24">
      <c r="A272" s="323"/>
      <c r="B272" s="323"/>
      <c r="D272" s="343"/>
      <c r="E272" s="343"/>
      <c r="F272" s="343"/>
      <c r="G272" s="343"/>
      <c r="H272" s="343"/>
      <c r="I272" s="343"/>
      <c r="J272" s="343"/>
      <c r="K272" s="343"/>
      <c r="L272" s="343"/>
      <c r="M272" s="343"/>
      <c r="N272" s="343"/>
      <c r="O272" s="343"/>
      <c r="P272" s="304"/>
    </row>
    <row r="273" spans="1:16">
      <c r="A273" s="323"/>
      <c r="B273" s="323"/>
      <c r="D273" s="343"/>
      <c r="E273" s="343"/>
      <c r="F273" s="343"/>
      <c r="G273" s="343"/>
      <c r="H273" s="343"/>
      <c r="I273" s="343"/>
      <c r="J273" s="343"/>
      <c r="K273" s="343"/>
      <c r="L273" s="343"/>
      <c r="M273" s="343"/>
      <c r="N273" s="343"/>
      <c r="O273" s="343"/>
      <c r="P273" s="304"/>
    </row>
    <row r="274" spans="1:16">
      <c r="A274" s="323"/>
      <c r="B274" s="323"/>
      <c r="D274" s="343"/>
      <c r="E274" s="343"/>
      <c r="F274" s="343"/>
      <c r="G274" s="343"/>
      <c r="H274" s="343"/>
      <c r="I274" s="343"/>
      <c r="J274" s="343"/>
      <c r="K274" s="343"/>
      <c r="L274" s="343"/>
      <c r="M274" s="343"/>
      <c r="N274" s="343"/>
      <c r="O274" s="343"/>
      <c r="P274" s="304"/>
    </row>
    <row r="275" spans="1:16">
      <c r="A275" s="323"/>
      <c r="B275" s="323"/>
      <c r="D275" s="343"/>
      <c r="E275" s="343"/>
      <c r="F275" s="343"/>
      <c r="G275" s="343"/>
      <c r="H275" s="343"/>
      <c r="I275" s="343"/>
      <c r="J275" s="343"/>
      <c r="K275" s="343"/>
      <c r="L275" s="343"/>
      <c r="M275" s="343"/>
      <c r="N275" s="343"/>
      <c r="O275" s="343"/>
      <c r="P275" s="304"/>
    </row>
    <row r="276" spans="1:16">
      <c r="A276" s="323"/>
      <c r="B276" s="323"/>
      <c r="D276" s="343"/>
      <c r="E276" s="343"/>
      <c r="F276" s="343"/>
      <c r="G276" s="343"/>
      <c r="H276" s="343"/>
      <c r="I276" s="343"/>
      <c r="J276" s="343"/>
      <c r="K276" s="343"/>
      <c r="L276" s="343"/>
      <c r="M276" s="343"/>
      <c r="N276" s="343"/>
      <c r="O276" s="343"/>
      <c r="P276" s="304"/>
    </row>
    <row r="277" spans="1:16">
      <c r="A277" s="323"/>
      <c r="B277" s="323"/>
      <c r="D277" s="343"/>
      <c r="E277" s="343"/>
      <c r="F277" s="343"/>
      <c r="G277" s="343"/>
      <c r="H277" s="343"/>
      <c r="I277" s="343"/>
      <c r="J277" s="343"/>
      <c r="K277" s="343"/>
      <c r="L277" s="343"/>
      <c r="M277" s="343"/>
      <c r="N277" s="343"/>
      <c r="O277" s="343"/>
      <c r="P277" s="304"/>
    </row>
    <row r="278" spans="1:16">
      <c r="A278" s="323"/>
      <c r="B278" s="323"/>
      <c r="D278" s="343"/>
      <c r="E278" s="343"/>
      <c r="F278" s="343"/>
      <c r="G278" s="343"/>
      <c r="H278" s="343"/>
      <c r="I278" s="343"/>
      <c r="J278" s="343"/>
      <c r="K278" s="343"/>
      <c r="L278" s="343"/>
      <c r="M278" s="343"/>
      <c r="N278" s="343"/>
      <c r="O278" s="343"/>
      <c r="P278" s="304"/>
    </row>
    <row r="279" spans="1:16">
      <c r="A279" s="323"/>
      <c r="B279" s="323"/>
      <c r="D279" s="343"/>
      <c r="E279" s="343"/>
      <c r="F279" s="343"/>
      <c r="G279" s="343"/>
      <c r="H279" s="343"/>
      <c r="I279" s="343"/>
      <c r="J279" s="343"/>
      <c r="K279" s="343"/>
      <c r="L279" s="343"/>
      <c r="M279" s="343"/>
      <c r="N279" s="343"/>
      <c r="O279" s="343"/>
      <c r="P279" s="304"/>
    </row>
    <row r="280" spans="1:16">
      <c r="A280" s="323"/>
      <c r="B280" s="323"/>
    </row>
    <row r="281" spans="1:16">
      <c r="A281" s="323"/>
      <c r="B281" s="323"/>
    </row>
    <row r="282" spans="1:16">
      <c r="A282" s="323"/>
      <c r="B282" s="323"/>
    </row>
    <row r="283" spans="1:16">
      <c r="A283" s="323"/>
      <c r="B283" s="323"/>
    </row>
    <row r="284" spans="1:16">
      <c r="A284" s="323"/>
      <c r="B284" s="323"/>
    </row>
    <row r="285" spans="1:16">
      <c r="A285" s="323"/>
      <c r="B285" s="323"/>
    </row>
    <row r="286" spans="1:16">
      <c r="A286" s="323"/>
      <c r="B286" s="323"/>
    </row>
    <row r="287" spans="1:16">
      <c r="A287" s="323"/>
      <c r="B287" s="323"/>
    </row>
    <row r="288" spans="1:16">
      <c r="A288" s="323"/>
      <c r="B288" s="323"/>
    </row>
    <row r="289" spans="1:2">
      <c r="A289" s="323"/>
      <c r="B289" s="323"/>
    </row>
    <row r="290" spans="1:2">
      <c r="A290" s="323"/>
      <c r="B290" s="323"/>
    </row>
    <row r="291" spans="1:2">
      <c r="A291" s="323"/>
      <c r="B291" s="323"/>
    </row>
    <row r="292" spans="1:2">
      <c r="A292" s="323"/>
      <c r="B292" s="323"/>
    </row>
    <row r="293" spans="1:2">
      <c r="A293" s="323"/>
      <c r="B293" s="323"/>
    </row>
    <row r="294" spans="1:2">
      <c r="A294" s="323"/>
      <c r="B294" s="323"/>
    </row>
    <row r="295" spans="1:2">
      <c r="A295" s="323"/>
      <c r="B295" s="323"/>
    </row>
    <row r="296" spans="1:2">
      <c r="A296" s="323"/>
      <c r="B296" s="323"/>
    </row>
    <row r="297" spans="1:2">
      <c r="A297" s="323"/>
      <c r="B297" s="323"/>
    </row>
    <row r="298" spans="1:2">
      <c r="A298" s="323"/>
      <c r="B298" s="323"/>
    </row>
    <row r="299" spans="1:2">
      <c r="A299" s="323"/>
      <c r="B299" s="323"/>
    </row>
    <row r="300" spans="1:2">
      <c r="A300" s="323"/>
      <c r="B300" s="323"/>
    </row>
    <row r="301" spans="1:2">
      <c r="A301" s="323"/>
      <c r="B301" s="323"/>
    </row>
    <row r="302" spans="1:2">
      <c r="A302" s="323"/>
      <c r="B302" s="323"/>
    </row>
    <row r="303" spans="1:2">
      <c r="A303" s="323"/>
      <c r="B303" s="323"/>
    </row>
    <row r="304" spans="1:2">
      <c r="A304" s="323"/>
      <c r="B304" s="323"/>
    </row>
    <row r="305" spans="1:2">
      <c r="A305" s="323"/>
      <c r="B305" s="323"/>
    </row>
    <row r="306" spans="1:2">
      <c r="A306" s="323"/>
      <c r="B306" s="323"/>
    </row>
    <row r="307" spans="1:2">
      <c r="A307" s="323"/>
      <c r="B307" s="323"/>
    </row>
    <row r="308" spans="1:2">
      <c r="A308" s="323"/>
      <c r="B308" s="323"/>
    </row>
    <row r="309" spans="1:2">
      <c r="A309" s="323"/>
      <c r="B309" s="323"/>
    </row>
    <row r="310" spans="1:2">
      <c r="A310" s="323"/>
      <c r="B310" s="323"/>
    </row>
    <row r="311" spans="1:2">
      <c r="A311" s="323"/>
      <c r="B311" s="323"/>
    </row>
    <row r="312" spans="1:2">
      <c r="A312" s="323"/>
      <c r="B312" s="323"/>
    </row>
    <row r="313" spans="1:2">
      <c r="A313" s="323"/>
      <c r="B313" s="323"/>
    </row>
    <row r="314" spans="1:2">
      <c r="A314" s="323"/>
      <c r="B314" s="323"/>
    </row>
    <row r="315" spans="1:2">
      <c r="A315" s="323"/>
      <c r="B315" s="323"/>
    </row>
    <row r="316" spans="1:2">
      <c r="A316" s="323"/>
      <c r="B316" s="323"/>
    </row>
    <row r="317" spans="1:2">
      <c r="A317" s="323"/>
      <c r="B317" s="323"/>
    </row>
    <row r="318" spans="1:2">
      <c r="A318" s="323"/>
    </row>
  </sheetData>
  <mergeCells count="3">
    <mergeCell ref="C3:C4"/>
    <mergeCell ref="U5:U6"/>
    <mergeCell ref="V5:V6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3A4B-CB32-425B-A857-AD2578FD2B3A}">
  <dimension ref="A1:Q274"/>
  <sheetViews>
    <sheetView zoomScaleNormal="100" workbookViewId="0">
      <pane xSplit="4" ySplit="7" topLeftCell="E224" activePane="bottomRight" state="frozen"/>
      <selection pane="topRight" activeCell="E1" sqref="E1"/>
      <selection pane="bottomLeft" activeCell="A8" sqref="A8"/>
      <selection pane="bottomRight" activeCell="F225" sqref="F225"/>
    </sheetView>
  </sheetViews>
  <sheetFormatPr defaultRowHeight="16.5"/>
  <cols>
    <col min="1" max="1" width="3.75" customWidth="1"/>
    <col min="4" max="4" width="22.25" customWidth="1"/>
    <col min="5" max="11" width="16.125" customWidth="1"/>
    <col min="12" max="12" width="13.75" customWidth="1"/>
  </cols>
  <sheetData>
    <row r="1" spans="1:17" ht="34.15" customHeight="1">
      <c r="A1" s="51"/>
      <c r="B1" s="51"/>
      <c r="C1" s="51"/>
      <c r="D1" s="51"/>
      <c r="E1" s="52"/>
      <c r="F1" s="52"/>
      <c r="G1" s="52"/>
      <c r="H1" s="52"/>
      <c r="I1" s="52"/>
      <c r="J1" s="52"/>
      <c r="K1" s="52">
        <v>0</v>
      </c>
      <c r="L1" s="52"/>
      <c r="M1" s="53"/>
      <c r="N1" s="51"/>
    </row>
    <row r="2" spans="1:17" ht="18">
      <c r="A2" s="51"/>
      <c r="B2" s="54" t="s">
        <v>529</v>
      </c>
      <c r="C2" s="55"/>
      <c r="D2" s="51"/>
      <c r="E2" s="56" t="s">
        <v>530</v>
      </c>
      <c r="F2" s="57">
        <v>44196</v>
      </c>
      <c r="G2" s="52"/>
      <c r="H2" s="52"/>
      <c r="I2" s="52"/>
      <c r="J2" s="52"/>
      <c r="K2" s="52"/>
      <c r="L2" s="52"/>
      <c r="M2" s="53"/>
      <c r="N2" s="51"/>
    </row>
    <row r="3" spans="1:17" ht="18">
      <c r="A3" s="51"/>
      <c r="B3" s="54"/>
      <c r="C3" s="55"/>
      <c r="D3" s="51"/>
      <c r="E3" s="58" t="s">
        <v>992</v>
      </c>
      <c r="F3" s="52"/>
      <c r="G3" s="52"/>
      <c r="H3" s="52"/>
      <c r="I3" s="52"/>
      <c r="J3" s="58"/>
      <c r="K3" s="52"/>
      <c r="L3" s="52"/>
      <c r="M3" s="53"/>
      <c r="N3" s="51"/>
    </row>
    <row r="4" spans="1:17">
      <c r="A4" s="67"/>
      <c r="B4" s="59" t="s">
        <v>12</v>
      </c>
      <c r="C4" s="59" t="s">
        <v>12</v>
      </c>
      <c r="D4" s="60" t="s">
        <v>13</v>
      </c>
      <c r="E4" s="61" t="s">
        <v>536</v>
      </c>
      <c r="F4" s="61" t="s">
        <v>537</v>
      </c>
      <c r="G4" s="359" t="s">
        <v>538</v>
      </c>
      <c r="H4" s="360"/>
      <c r="I4" s="62" t="s">
        <v>539</v>
      </c>
      <c r="J4" s="63" t="s">
        <v>536</v>
      </c>
      <c r="K4" s="64" t="s">
        <v>540</v>
      </c>
      <c r="L4" s="65" t="s">
        <v>541</v>
      </c>
      <c r="M4" s="66"/>
      <c r="N4" s="67"/>
    </row>
    <row r="5" spans="1:17">
      <c r="A5" s="67"/>
      <c r="B5" s="68" t="s">
        <v>843</v>
      </c>
      <c r="C5" s="69" t="s">
        <v>844</v>
      </c>
      <c r="D5" s="69" t="s">
        <v>13</v>
      </c>
      <c r="E5" s="70">
        <v>43830</v>
      </c>
      <c r="F5" s="70">
        <v>44196</v>
      </c>
      <c r="G5" s="71" t="s">
        <v>845</v>
      </c>
      <c r="H5" s="71" t="s">
        <v>846</v>
      </c>
      <c r="I5" s="71" t="s">
        <v>534</v>
      </c>
      <c r="J5" s="70">
        <v>44196</v>
      </c>
      <c r="K5" s="72"/>
      <c r="L5" s="73"/>
      <c r="M5" s="66"/>
      <c r="N5" s="67"/>
    </row>
    <row r="6" spans="1:17">
      <c r="A6" s="51"/>
      <c r="B6" s="74">
        <v>0</v>
      </c>
      <c r="C6" s="75">
        <v>0</v>
      </c>
      <c r="D6" s="75" t="s">
        <v>14</v>
      </c>
      <c r="E6" s="76"/>
      <c r="F6" s="76"/>
      <c r="G6" s="77"/>
      <c r="H6" s="77"/>
      <c r="I6" s="77"/>
      <c r="J6" s="76"/>
      <c r="K6" s="76"/>
      <c r="L6" s="78"/>
      <c r="M6" s="53"/>
      <c r="N6" s="51"/>
      <c r="O6">
        <v>0</v>
      </c>
      <c r="P6" t="s">
        <v>14</v>
      </c>
      <c r="Q6" t="b">
        <f>O6=C6</f>
        <v>1</v>
      </c>
    </row>
    <row r="7" spans="1:17">
      <c r="A7" s="51"/>
      <c r="B7" s="74">
        <v>0</v>
      </c>
      <c r="C7" s="75" t="s">
        <v>15</v>
      </c>
      <c r="D7" s="75" t="s">
        <v>16</v>
      </c>
      <c r="E7" s="76">
        <v>24638446052</v>
      </c>
      <c r="F7" s="76">
        <v>573609013684</v>
      </c>
      <c r="G7" s="77"/>
      <c r="H7" s="77"/>
      <c r="I7" s="76"/>
      <c r="J7" s="76">
        <v>573427894914</v>
      </c>
      <c r="K7" s="76">
        <v>548789448862</v>
      </c>
      <c r="L7" s="78"/>
      <c r="M7" s="53"/>
      <c r="N7" s="51"/>
      <c r="O7" t="s">
        <v>15</v>
      </c>
      <c r="P7" t="s">
        <v>16</v>
      </c>
      <c r="Q7" t="b">
        <f t="shared" ref="Q7:Q70" si="0">O7=C7</f>
        <v>1</v>
      </c>
    </row>
    <row r="8" spans="1:17">
      <c r="A8" s="51"/>
      <c r="B8" s="51" t="s">
        <v>19</v>
      </c>
      <c r="C8" s="51" t="s">
        <v>17</v>
      </c>
      <c r="D8" s="51" t="s">
        <v>18</v>
      </c>
      <c r="E8" s="79">
        <v>1058619929</v>
      </c>
      <c r="F8" s="52">
        <v>9847943</v>
      </c>
      <c r="G8" s="52">
        <v>0</v>
      </c>
      <c r="H8" s="52">
        <v>0</v>
      </c>
      <c r="I8" s="52">
        <v>0</v>
      </c>
      <c r="J8" s="52">
        <v>9847943</v>
      </c>
      <c r="K8" s="80">
        <v>-1048771986</v>
      </c>
      <c r="L8" s="80"/>
      <c r="M8" s="53" t="s">
        <v>20</v>
      </c>
      <c r="N8" s="51"/>
      <c r="O8" t="s">
        <v>17</v>
      </c>
      <c r="P8" t="s">
        <v>18</v>
      </c>
      <c r="Q8" t="b">
        <f t="shared" si="0"/>
        <v>1</v>
      </c>
    </row>
    <row r="9" spans="1:17">
      <c r="A9" s="51"/>
      <c r="B9" s="51" t="s">
        <v>19</v>
      </c>
      <c r="C9" s="51" t="s">
        <v>21</v>
      </c>
      <c r="D9" s="51" t="s">
        <v>22</v>
      </c>
      <c r="E9" s="79">
        <v>5517522912</v>
      </c>
      <c r="F9" s="52">
        <v>123083275922</v>
      </c>
      <c r="G9" s="52">
        <v>0</v>
      </c>
      <c r="H9" s="52">
        <v>0</v>
      </c>
      <c r="I9" s="52">
        <v>0</v>
      </c>
      <c r="J9" s="52">
        <v>123083275922</v>
      </c>
      <c r="K9" s="80">
        <v>117565753010</v>
      </c>
      <c r="L9" s="80"/>
      <c r="M9" s="53" t="s">
        <v>20</v>
      </c>
      <c r="N9" s="51"/>
      <c r="O9" t="s">
        <v>21</v>
      </c>
      <c r="P9" t="s">
        <v>22</v>
      </c>
      <c r="Q9" t="b">
        <f t="shared" si="0"/>
        <v>1</v>
      </c>
    </row>
    <row r="10" spans="1:17">
      <c r="A10" s="51"/>
      <c r="B10" s="51" t="s">
        <v>19</v>
      </c>
      <c r="C10" s="51" t="s">
        <v>23</v>
      </c>
      <c r="D10" s="51" t="s">
        <v>24</v>
      </c>
      <c r="E10" s="79">
        <v>0</v>
      </c>
      <c r="F10" s="52">
        <v>-13293321</v>
      </c>
      <c r="G10" s="52">
        <v>0</v>
      </c>
      <c r="H10" s="52">
        <v>0</v>
      </c>
      <c r="I10" s="52">
        <v>0</v>
      </c>
      <c r="J10" s="52">
        <v>-13293321</v>
      </c>
      <c r="K10" s="80">
        <v>-13293321</v>
      </c>
      <c r="L10" s="80"/>
      <c r="M10" s="53" t="s">
        <v>20</v>
      </c>
      <c r="N10" s="51"/>
      <c r="O10" t="s">
        <v>23</v>
      </c>
      <c r="P10" t="s">
        <v>24</v>
      </c>
      <c r="Q10" t="b">
        <f t="shared" si="0"/>
        <v>1</v>
      </c>
    </row>
    <row r="11" spans="1:17">
      <c r="A11" s="51"/>
      <c r="B11" s="51" t="s">
        <v>27</v>
      </c>
      <c r="C11" s="51" t="s">
        <v>25</v>
      </c>
      <c r="D11" s="51" t="s">
        <v>26</v>
      </c>
      <c r="E11" s="79">
        <v>0</v>
      </c>
      <c r="F11" s="52">
        <v>40000000000</v>
      </c>
      <c r="G11" s="52">
        <v>0</v>
      </c>
      <c r="H11" s="52">
        <v>0</v>
      </c>
      <c r="I11" s="52">
        <v>0</v>
      </c>
      <c r="J11" s="52">
        <v>40000000000</v>
      </c>
      <c r="K11" s="80">
        <v>40000000000</v>
      </c>
      <c r="L11" s="80"/>
      <c r="M11" s="53" t="s">
        <v>28</v>
      </c>
      <c r="N11" s="51"/>
      <c r="O11" t="s">
        <v>25</v>
      </c>
      <c r="P11" t="s">
        <v>26</v>
      </c>
      <c r="Q11" t="b">
        <f t="shared" si="0"/>
        <v>1</v>
      </c>
    </row>
    <row r="12" spans="1:17">
      <c r="A12" s="51"/>
      <c r="B12" s="51" t="s">
        <v>504</v>
      </c>
      <c r="C12" s="51" t="s">
        <v>29</v>
      </c>
      <c r="D12" s="51" t="s">
        <v>30</v>
      </c>
      <c r="E12" s="79">
        <v>1001420524</v>
      </c>
      <c r="F12" s="52">
        <v>40530571199</v>
      </c>
      <c r="G12" s="52">
        <v>0</v>
      </c>
      <c r="H12" s="52">
        <v>0</v>
      </c>
      <c r="I12" s="52">
        <v>0</v>
      </c>
      <c r="J12" s="52">
        <v>40530571199</v>
      </c>
      <c r="K12" s="80">
        <v>39529150675</v>
      </c>
      <c r="L12" s="80"/>
      <c r="M12" s="53" t="s">
        <v>30</v>
      </c>
      <c r="N12" s="51"/>
      <c r="O12" t="s">
        <v>29</v>
      </c>
      <c r="P12" t="s">
        <v>30</v>
      </c>
      <c r="Q12" t="b">
        <f t="shared" si="0"/>
        <v>1</v>
      </c>
    </row>
    <row r="13" spans="1:17">
      <c r="A13" s="51"/>
      <c r="B13" s="51" t="s">
        <v>33</v>
      </c>
      <c r="C13" s="51" t="s">
        <v>31</v>
      </c>
      <c r="D13" s="51" t="s">
        <v>32</v>
      </c>
      <c r="E13" s="79">
        <v>9358066120</v>
      </c>
      <c r="F13" s="52">
        <v>311336848615</v>
      </c>
      <c r="G13" s="52">
        <v>0</v>
      </c>
      <c r="H13" s="52">
        <v>140479840</v>
      </c>
      <c r="I13" s="52">
        <v>-140479840</v>
      </c>
      <c r="J13" s="52">
        <v>311196368775</v>
      </c>
      <c r="K13" s="80">
        <v>301838302655</v>
      </c>
      <c r="L13" s="80"/>
      <c r="M13" s="53" t="s">
        <v>34</v>
      </c>
      <c r="N13" s="51"/>
      <c r="O13" t="s">
        <v>31</v>
      </c>
      <c r="P13" t="s">
        <v>32</v>
      </c>
      <c r="Q13" t="b">
        <f t="shared" si="0"/>
        <v>1</v>
      </c>
    </row>
    <row r="14" spans="1:17">
      <c r="A14" s="51"/>
      <c r="B14" s="51" t="s">
        <v>33</v>
      </c>
      <c r="C14" s="51" t="s">
        <v>35</v>
      </c>
      <c r="D14" s="51" t="s">
        <v>36</v>
      </c>
      <c r="E14" s="79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80">
        <v>0</v>
      </c>
      <c r="L14" s="80"/>
      <c r="M14" s="53" t="s">
        <v>34</v>
      </c>
      <c r="N14" s="51"/>
      <c r="O14" t="s">
        <v>35</v>
      </c>
      <c r="P14" t="s">
        <v>36</v>
      </c>
      <c r="Q14" t="b">
        <f t="shared" si="0"/>
        <v>1</v>
      </c>
    </row>
    <row r="15" spans="1:17">
      <c r="A15" s="51"/>
      <c r="B15" s="51" t="s">
        <v>33</v>
      </c>
      <c r="C15" s="51" t="s">
        <v>37</v>
      </c>
      <c r="D15" s="51" t="s">
        <v>38</v>
      </c>
      <c r="E15" s="79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80">
        <v>0</v>
      </c>
      <c r="L15" s="80"/>
      <c r="M15" s="53" t="s">
        <v>34</v>
      </c>
      <c r="N15" s="51"/>
      <c r="O15" t="s">
        <v>37</v>
      </c>
      <c r="P15" t="s">
        <v>38</v>
      </c>
      <c r="Q15" t="b">
        <f t="shared" si="0"/>
        <v>1</v>
      </c>
    </row>
    <row r="16" spans="1:17">
      <c r="A16" s="51"/>
      <c r="B16" s="51" t="s">
        <v>33</v>
      </c>
      <c r="C16" s="51" t="s">
        <v>39</v>
      </c>
      <c r="D16" s="51" t="s">
        <v>40</v>
      </c>
      <c r="E16" s="79">
        <v>-533323483</v>
      </c>
      <c r="F16" s="52">
        <v>-619075951</v>
      </c>
      <c r="G16" s="52">
        <v>0</v>
      </c>
      <c r="H16" s="52">
        <v>0</v>
      </c>
      <c r="I16" s="52">
        <v>0</v>
      </c>
      <c r="J16" s="52">
        <v>-619075951</v>
      </c>
      <c r="K16" s="80">
        <v>-85752468</v>
      </c>
      <c r="L16" s="80"/>
      <c r="M16" s="53" t="s">
        <v>34</v>
      </c>
      <c r="N16" s="51"/>
      <c r="O16" t="s">
        <v>39</v>
      </c>
      <c r="P16" t="s">
        <v>40</v>
      </c>
      <c r="Q16" t="b">
        <f t="shared" si="0"/>
        <v>1</v>
      </c>
    </row>
    <row r="17" spans="1:17">
      <c r="A17" s="51"/>
      <c r="B17" s="51" t="s">
        <v>33</v>
      </c>
      <c r="C17" s="51" t="s">
        <v>41</v>
      </c>
      <c r="D17" s="51" t="s">
        <v>42</v>
      </c>
      <c r="E17" s="79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80">
        <v>0</v>
      </c>
      <c r="L17" s="80"/>
      <c r="M17" s="53" t="s">
        <v>34</v>
      </c>
      <c r="N17" s="51"/>
      <c r="O17" t="s">
        <v>41</v>
      </c>
      <c r="P17" t="s">
        <v>42</v>
      </c>
      <c r="Q17" t="b">
        <f t="shared" si="0"/>
        <v>1</v>
      </c>
    </row>
    <row r="18" spans="1:17">
      <c r="A18" s="51"/>
      <c r="B18" s="51" t="s">
        <v>45</v>
      </c>
      <c r="C18" s="51" t="s">
        <v>43</v>
      </c>
      <c r="D18" s="51" t="s">
        <v>44</v>
      </c>
      <c r="E18" s="79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80">
        <v>0</v>
      </c>
      <c r="L18" s="80"/>
      <c r="M18" s="53" t="s">
        <v>46</v>
      </c>
      <c r="N18" s="51"/>
      <c r="O18" t="s">
        <v>43</v>
      </c>
      <c r="P18" t="s">
        <v>44</v>
      </c>
      <c r="Q18" t="b">
        <f t="shared" si="0"/>
        <v>1</v>
      </c>
    </row>
    <row r="19" spans="1:17">
      <c r="A19" s="51"/>
      <c r="B19" s="51" t="s">
        <v>45</v>
      </c>
      <c r="C19" s="51" t="s">
        <v>47</v>
      </c>
      <c r="D19" s="51" t="s">
        <v>48</v>
      </c>
      <c r="E19" s="79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80">
        <v>0</v>
      </c>
      <c r="L19" s="80"/>
      <c r="M19" s="53" t="s">
        <v>46</v>
      </c>
      <c r="N19" s="51"/>
      <c r="O19" t="s">
        <v>47</v>
      </c>
      <c r="P19" t="s">
        <v>48</v>
      </c>
      <c r="Q19" t="b">
        <f t="shared" si="0"/>
        <v>1</v>
      </c>
    </row>
    <row r="20" spans="1:17">
      <c r="A20" s="51"/>
      <c r="B20" s="51" t="s">
        <v>45</v>
      </c>
      <c r="C20" s="51" t="s">
        <v>49</v>
      </c>
      <c r="D20" s="51" t="s">
        <v>50</v>
      </c>
      <c r="E20" s="79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80">
        <v>0</v>
      </c>
      <c r="L20" s="80"/>
      <c r="M20" s="53" t="s">
        <v>46</v>
      </c>
      <c r="N20" s="51"/>
      <c r="O20" t="s">
        <v>49</v>
      </c>
      <c r="P20" t="s">
        <v>50</v>
      </c>
      <c r="Q20" t="b">
        <f t="shared" si="0"/>
        <v>1</v>
      </c>
    </row>
    <row r="21" spans="1:17">
      <c r="A21" s="51"/>
      <c r="B21" s="51" t="s">
        <v>45</v>
      </c>
      <c r="C21" s="51" t="s">
        <v>51</v>
      </c>
      <c r="D21" s="51" t="s">
        <v>52</v>
      </c>
      <c r="E21" s="79">
        <v>145946788</v>
      </c>
      <c r="F21" s="52">
        <v>86832198</v>
      </c>
      <c r="G21" s="52">
        <v>0</v>
      </c>
      <c r="H21" s="52">
        <v>0</v>
      </c>
      <c r="I21" s="52">
        <v>0</v>
      </c>
      <c r="J21" s="52">
        <v>86832198</v>
      </c>
      <c r="K21" s="80">
        <v>-59114590</v>
      </c>
      <c r="L21" s="80"/>
      <c r="M21" s="53" t="s">
        <v>46</v>
      </c>
      <c r="N21" s="51"/>
      <c r="O21" t="s">
        <v>51</v>
      </c>
      <c r="P21" t="s">
        <v>52</v>
      </c>
      <c r="Q21" t="b">
        <f t="shared" si="0"/>
        <v>1</v>
      </c>
    </row>
    <row r="22" spans="1:17">
      <c r="A22" s="51"/>
      <c r="B22" s="51" t="s">
        <v>55</v>
      </c>
      <c r="C22" s="51" t="s">
        <v>53</v>
      </c>
      <c r="D22" s="51" t="s">
        <v>54</v>
      </c>
      <c r="E22" s="79">
        <v>306501376</v>
      </c>
      <c r="F22" s="52">
        <v>6079778624</v>
      </c>
      <c r="G22" s="52">
        <v>0</v>
      </c>
      <c r="H22" s="52">
        <v>0</v>
      </c>
      <c r="I22" s="52">
        <v>0</v>
      </c>
      <c r="J22" s="52">
        <v>6079778624</v>
      </c>
      <c r="K22" s="80">
        <v>5773277248</v>
      </c>
      <c r="L22" s="80"/>
      <c r="M22" s="53" t="s">
        <v>56</v>
      </c>
      <c r="N22" s="51"/>
      <c r="O22" t="s">
        <v>53</v>
      </c>
      <c r="P22" t="s">
        <v>54</v>
      </c>
      <c r="Q22" t="b">
        <f t="shared" si="0"/>
        <v>1</v>
      </c>
    </row>
    <row r="23" spans="1:17">
      <c r="A23" s="51"/>
      <c r="B23" s="51" t="s">
        <v>55</v>
      </c>
      <c r="C23" s="51" t="s">
        <v>57</v>
      </c>
      <c r="D23" s="51" t="s">
        <v>58</v>
      </c>
      <c r="E23" s="79">
        <v>26829036</v>
      </c>
      <c r="F23" s="52">
        <v>20109358</v>
      </c>
      <c r="G23" s="52">
        <v>0</v>
      </c>
      <c r="H23" s="52">
        <v>0</v>
      </c>
      <c r="I23" s="52">
        <v>0</v>
      </c>
      <c r="J23" s="52">
        <v>20109358</v>
      </c>
      <c r="K23" s="80">
        <v>-6719678</v>
      </c>
      <c r="L23" s="80"/>
      <c r="M23" s="53" t="s">
        <v>56</v>
      </c>
      <c r="N23" s="51"/>
      <c r="O23" t="s">
        <v>57</v>
      </c>
      <c r="P23" t="s">
        <v>58</v>
      </c>
      <c r="Q23" t="b">
        <f t="shared" si="0"/>
        <v>1</v>
      </c>
    </row>
    <row r="24" spans="1:17">
      <c r="A24" s="51"/>
      <c r="B24" s="51" t="s">
        <v>55</v>
      </c>
      <c r="C24" s="51" t="s">
        <v>837</v>
      </c>
      <c r="D24" s="51" t="s">
        <v>838</v>
      </c>
      <c r="E24" s="79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80">
        <v>0</v>
      </c>
      <c r="L24" s="80"/>
      <c r="M24" s="53" t="s">
        <v>56</v>
      </c>
      <c r="N24" s="51"/>
      <c r="O24" t="s">
        <v>837</v>
      </c>
      <c r="P24" t="s">
        <v>838</v>
      </c>
      <c r="Q24" t="b">
        <f t="shared" si="0"/>
        <v>1</v>
      </c>
    </row>
    <row r="25" spans="1:17">
      <c r="A25" s="51"/>
      <c r="B25" s="51" t="s">
        <v>61</v>
      </c>
      <c r="C25" s="51" t="s">
        <v>59</v>
      </c>
      <c r="D25" s="51" t="s">
        <v>60</v>
      </c>
      <c r="E25" s="79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80">
        <v>0</v>
      </c>
      <c r="L25" s="80"/>
      <c r="M25" s="53" t="s">
        <v>60</v>
      </c>
      <c r="N25" s="51"/>
      <c r="O25" t="s">
        <v>59</v>
      </c>
      <c r="P25" t="s">
        <v>60</v>
      </c>
      <c r="Q25" t="b">
        <f t="shared" si="0"/>
        <v>1</v>
      </c>
    </row>
    <row r="26" spans="1:17">
      <c r="A26" s="51"/>
      <c r="B26" s="51" t="s">
        <v>64</v>
      </c>
      <c r="C26" s="51" t="s">
        <v>62</v>
      </c>
      <c r="D26" s="51" t="s">
        <v>63</v>
      </c>
      <c r="E26" s="79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80">
        <v>0</v>
      </c>
      <c r="L26" s="80"/>
      <c r="M26" s="53" t="s">
        <v>65</v>
      </c>
      <c r="N26" s="51"/>
      <c r="O26" t="s">
        <v>62</v>
      </c>
      <c r="P26" t="s">
        <v>63</v>
      </c>
      <c r="Q26" t="b">
        <f t="shared" si="0"/>
        <v>1</v>
      </c>
    </row>
    <row r="27" spans="1:17">
      <c r="A27" s="51"/>
      <c r="B27" s="51" t="s">
        <v>55</v>
      </c>
      <c r="C27" s="51" t="s">
        <v>505</v>
      </c>
      <c r="D27" s="51" t="s">
        <v>506</v>
      </c>
      <c r="E27" s="79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80">
        <v>0</v>
      </c>
      <c r="L27" s="80"/>
      <c r="M27" s="53" t="s">
        <v>56</v>
      </c>
      <c r="N27" s="51"/>
      <c r="O27" t="s">
        <v>505</v>
      </c>
      <c r="P27" t="s">
        <v>506</v>
      </c>
      <c r="Q27" t="b">
        <f t="shared" si="0"/>
        <v>1</v>
      </c>
    </row>
    <row r="28" spans="1:17">
      <c r="A28" s="51"/>
      <c r="B28" s="81">
        <v>0</v>
      </c>
      <c r="C28" s="81">
        <v>0</v>
      </c>
      <c r="D28" s="82" t="s">
        <v>70</v>
      </c>
      <c r="E28" s="83">
        <v>7756862850</v>
      </c>
      <c r="F28" s="83">
        <v>53094119097</v>
      </c>
      <c r="G28" s="83"/>
      <c r="H28" s="83"/>
      <c r="I28" s="83"/>
      <c r="J28" s="83">
        <v>53053480167</v>
      </c>
      <c r="K28" s="83">
        <v>45296617317</v>
      </c>
      <c r="L28" s="84"/>
      <c r="M28" s="53" t="s">
        <v>66</v>
      </c>
      <c r="N28" s="51"/>
      <c r="O28">
        <v>0</v>
      </c>
      <c r="P28" t="s">
        <v>70</v>
      </c>
      <c r="Q28" t="b">
        <f t="shared" si="0"/>
        <v>1</v>
      </c>
    </row>
    <row r="29" spans="1:17">
      <c r="A29" s="51"/>
      <c r="B29" s="51" t="s">
        <v>69</v>
      </c>
      <c r="C29" s="51" t="s">
        <v>67</v>
      </c>
      <c r="D29" s="51" t="s">
        <v>68</v>
      </c>
      <c r="E29" s="79">
        <v>545308589</v>
      </c>
      <c r="F29" s="52">
        <v>1072162530</v>
      </c>
      <c r="G29" s="52">
        <v>0</v>
      </c>
      <c r="H29" s="52">
        <v>40638930</v>
      </c>
      <c r="I29" s="52">
        <v>-40638930</v>
      </c>
      <c r="J29" s="52">
        <v>1031523600</v>
      </c>
      <c r="K29" s="80">
        <v>486215011</v>
      </c>
      <c r="L29" s="80"/>
      <c r="M29" s="53" t="s">
        <v>70</v>
      </c>
      <c r="N29" s="51"/>
      <c r="O29" t="s">
        <v>67</v>
      </c>
      <c r="P29" t="s">
        <v>68</v>
      </c>
      <c r="Q29" t="b">
        <f t="shared" si="0"/>
        <v>1</v>
      </c>
    </row>
    <row r="30" spans="1:17">
      <c r="A30" s="51"/>
      <c r="B30" s="51" t="s">
        <v>69</v>
      </c>
      <c r="C30" s="51" t="s">
        <v>71</v>
      </c>
      <c r="D30" s="51" t="s">
        <v>72</v>
      </c>
      <c r="E30" s="79">
        <v>524830179</v>
      </c>
      <c r="F30" s="52">
        <v>9749294700</v>
      </c>
      <c r="G30" s="52">
        <v>0</v>
      </c>
      <c r="H30" s="52">
        <v>0</v>
      </c>
      <c r="I30" s="52">
        <v>0</v>
      </c>
      <c r="J30" s="52">
        <v>9749294700</v>
      </c>
      <c r="K30" s="80">
        <v>9224464521</v>
      </c>
      <c r="L30" s="80"/>
      <c r="M30" s="53" t="s">
        <v>70</v>
      </c>
      <c r="N30" s="51"/>
      <c r="O30" t="s">
        <v>71</v>
      </c>
      <c r="P30" t="s">
        <v>72</v>
      </c>
      <c r="Q30" t="b">
        <f t="shared" si="0"/>
        <v>1</v>
      </c>
    </row>
    <row r="31" spans="1:17">
      <c r="A31" s="51"/>
      <c r="B31" s="51" t="s">
        <v>69</v>
      </c>
      <c r="C31" s="51" t="s">
        <v>73</v>
      </c>
      <c r="D31" s="51" t="s">
        <v>74</v>
      </c>
      <c r="E31" s="79">
        <v>0</v>
      </c>
      <c r="F31" s="52">
        <v>-692503942</v>
      </c>
      <c r="G31" s="52">
        <v>0</v>
      </c>
      <c r="H31" s="52">
        <v>0</v>
      </c>
      <c r="I31" s="52">
        <v>0</v>
      </c>
      <c r="J31" s="52">
        <v>-692503942</v>
      </c>
      <c r="K31" s="80">
        <v>-692503942</v>
      </c>
      <c r="L31" s="80"/>
      <c r="M31" s="53" t="s">
        <v>70</v>
      </c>
      <c r="N31" s="51"/>
      <c r="O31" t="s">
        <v>73</v>
      </c>
      <c r="P31" t="s">
        <v>74</v>
      </c>
      <c r="Q31" t="b">
        <f t="shared" si="0"/>
        <v>1</v>
      </c>
    </row>
    <row r="32" spans="1:17">
      <c r="A32" s="51"/>
      <c r="B32" s="51" t="s">
        <v>69</v>
      </c>
      <c r="C32" s="51" t="s">
        <v>75</v>
      </c>
      <c r="D32" s="51" t="s">
        <v>76</v>
      </c>
      <c r="E32" s="79">
        <v>3077150977</v>
      </c>
      <c r="F32" s="52">
        <v>17942503420</v>
      </c>
      <c r="G32" s="52">
        <v>0</v>
      </c>
      <c r="H32" s="52">
        <v>0</v>
      </c>
      <c r="I32" s="52">
        <v>0</v>
      </c>
      <c r="J32" s="52">
        <v>17942503420</v>
      </c>
      <c r="K32" s="80">
        <v>14865352443</v>
      </c>
      <c r="L32" s="80"/>
      <c r="M32" s="53" t="s">
        <v>70</v>
      </c>
      <c r="N32" s="51"/>
      <c r="O32" t="s">
        <v>75</v>
      </c>
      <c r="P32" t="s">
        <v>76</v>
      </c>
      <c r="Q32" t="b">
        <f t="shared" si="0"/>
        <v>1</v>
      </c>
    </row>
    <row r="33" spans="1:17">
      <c r="A33" s="51"/>
      <c r="B33" s="51" t="s">
        <v>69</v>
      </c>
      <c r="C33" s="51" t="s">
        <v>77</v>
      </c>
      <c r="D33" s="51" t="s">
        <v>78</v>
      </c>
      <c r="E33" s="79">
        <v>0</v>
      </c>
      <c r="F33" s="52">
        <v>-840869466</v>
      </c>
      <c r="G33" s="52">
        <v>0</v>
      </c>
      <c r="H33" s="52">
        <v>0</v>
      </c>
      <c r="I33" s="52">
        <v>0</v>
      </c>
      <c r="J33" s="52">
        <v>-840869466</v>
      </c>
      <c r="K33" s="80">
        <v>-840869466</v>
      </c>
      <c r="L33" s="80"/>
      <c r="M33" s="53" t="s">
        <v>70</v>
      </c>
      <c r="N33" s="51"/>
      <c r="O33" t="s">
        <v>77</v>
      </c>
      <c r="P33" t="s">
        <v>78</v>
      </c>
      <c r="Q33" t="b">
        <f t="shared" si="0"/>
        <v>1</v>
      </c>
    </row>
    <row r="34" spans="1:17">
      <c r="A34" s="51"/>
      <c r="B34" s="51" t="s">
        <v>69</v>
      </c>
      <c r="C34" s="51" t="s">
        <v>79</v>
      </c>
      <c r="D34" s="51" t="s">
        <v>80</v>
      </c>
      <c r="E34" s="79">
        <v>920887954</v>
      </c>
      <c r="F34" s="52">
        <v>8982567553</v>
      </c>
      <c r="G34" s="52">
        <v>0</v>
      </c>
      <c r="H34" s="52">
        <v>0</v>
      </c>
      <c r="I34" s="52">
        <v>0</v>
      </c>
      <c r="J34" s="52">
        <v>8982567553</v>
      </c>
      <c r="K34" s="80">
        <v>8061679599</v>
      </c>
      <c r="L34" s="80"/>
      <c r="M34" s="53" t="s">
        <v>70</v>
      </c>
      <c r="N34" s="51"/>
      <c r="O34" t="s">
        <v>79</v>
      </c>
      <c r="P34" t="s">
        <v>80</v>
      </c>
      <c r="Q34" t="b">
        <f t="shared" si="0"/>
        <v>1</v>
      </c>
    </row>
    <row r="35" spans="1:17">
      <c r="A35" s="51"/>
      <c r="B35" s="51" t="s">
        <v>69</v>
      </c>
      <c r="C35" s="51" t="s">
        <v>81</v>
      </c>
      <c r="D35" s="51" t="s">
        <v>82</v>
      </c>
      <c r="E35" s="79">
        <v>2682244471</v>
      </c>
      <c r="F35" s="52">
        <v>17547814739</v>
      </c>
      <c r="G35" s="52">
        <v>0</v>
      </c>
      <c r="H35" s="52">
        <v>0</v>
      </c>
      <c r="I35" s="52">
        <v>0</v>
      </c>
      <c r="J35" s="52">
        <v>17547814739</v>
      </c>
      <c r="K35" s="80">
        <v>14865570268</v>
      </c>
      <c r="L35" s="80"/>
      <c r="M35" s="53" t="s">
        <v>70</v>
      </c>
      <c r="N35" s="51"/>
      <c r="O35" t="s">
        <v>81</v>
      </c>
      <c r="P35" t="s">
        <v>82</v>
      </c>
      <c r="Q35" t="b">
        <f t="shared" si="0"/>
        <v>1</v>
      </c>
    </row>
    <row r="36" spans="1:17">
      <c r="A36" s="51"/>
      <c r="B36" s="51" t="s">
        <v>69</v>
      </c>
      <c r="C36" s="51" t="s">
        <v>83</v>
      </c>
      <c r="D36" s="51" t="s">
        <v>84</v>
      </c>
      <c r="E36" s="79">
        <v>0</v>
      </c>
      <c r="F36" s="52">
        <v>-1033566288</v>
      </c>
      <c r="G36" s="52">
        <v>0</v>
      </c>
      <c r="H36" s="52">
        <v>0</v>
      </c>
      <c r="I36" s="52">
        <v>0</v>
      </c>
      <c r="J36" s="52">
        <v>-1033566288</v>
      </c>
      <c r="K36" s="80">
        <v>-1033566288</v>
      </c>
      <c r="L36" s="80"/>
      <c r="M36" s="53" t="s">
        <v>70</v>
      </c>
      <c r="N36" s="51"/>
      <c r="O36" t="s">
        <v>83</v>
      </c>
      <c r="P36" t="s">
        <v>84</v>
      </c>
      <c r="Q36" t="b">
        <f t="shared" si="0"/>
        <v>1</v>
      </c>
    </row>
    <row r="37" spans="1:17">
      <c r="A37" s="51"/>
      <c r="B37" s="51" t="s">
        <v>69</v>
      </c>
      <c r="C37" s="51" t="s">
        <v>85</v>
      </c>
      <c r="D37" s="51" t="s">
        <v>86</v>
      </c>
      <c r="E37" s="79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80">
        <v>0</v>
      </c>
      <c r="L37" s="80"/>
      <c r="M37" s="53" t="s">
        <v>70</v>
      </c>
      <c r="N37" s="51"/>
      <c r="O37" t="s">
        <v>85</v>
      </c>
      <c r="P37" t="s">
        <v>86</v>
      </c>
      <c r="Q37" t="b">
        <f t="shared" si="0"/>
        <v>1</v>
      </c>
    </row>
    <row r="38" spans="1:17">
      <c r="A38" s="51"/>
      <c r="B38" s="51" t="s">
        <v>69</v>
      </c>
      <c r="C38" s="51" t="s">
        <v>87</v>
      </c>
      <c r="D38" s="51" t="s">
        <v>88</v>
      </c>
      <c r="E38" s="79">
        <v>0</v>
      </c>
      <c r="F38" s="52">
        <v>0</v>
      </c>
      <c r="G38" s="52">
        <v>0</v>
      </c>
      <c r="H38" s="52">
        <v>0</v>
      </c>
      <c r="I38" s="52">
        <v>0</v>
      </c>
      <c r="J38" s="52">
        <v>0</v>
      </c>
      <c r="K38" s="80">
        <v>0</v>
      </c>
      <c r="L38" s="80"/>
      <c r="M38" s="53" t="s">
        <v>70</v>
      </c>
      <c r="N38" s="51"/>
      <c r="O38" t="s">
        <v>87</v>
      </c>
      <c r="P38" t="s">
        <v>88</v>
      </c>
      <c r="Q38" t="b">
        <f t="shared" si="0"/>
        <v>1</v>
      </c>
    </row>
    <row r="39" spans="1:17">
      <c r="A39" s="51"/>
      <c r="B39" s="51" t="s">
        <v>69</v>
      </c>
      <c r="C39" s="51" t="s">
        <v>89</v>
      </c>
      <c r="D39" s="51" t="s">
        <v>90</v>
      </c>
      <c r="E39" s="79">
        <v>6440680</v>
      </c>
      <c r="F39" s="52">
        <v>366715851</v>
      </c>
      <c r="G39" s="52">
        <v>0</v>
      </c>
      <c r="H39" s="52">
        <v>0</v>
      </c>
      <c r="I39" s="52">
        <v>0</v>
      </c>
      <c r="J39" s="52">
        <v>366715851</v>
      </c>
      <c r="K39" s="80">
        <v>360275171</v>
      </c>
      <c r="L39" s="80"/>
      <c r="M39" s="53" t="s">
        <v>70</v>
      </c>
      <c r="N39" s="51"/>
      <c r="O39" t="s">
        <v>89</v>
      </c>
      <c r="P39" t="s">
        <v>90</v>
      </c>
      <c r="Q39" t="b">
        <f t="shared" si="0"/>
        <v>1</v>
      </c>
    </row>
    <row r="40" spans="1:17">
      <c r="A40" s="51"/>
      <c r="B40" s="74">
        <v>0</v>
      </c>
      <c r="C40" s="75" t="s">
        <v>15</v>
      </c>
      <c r="D40" s="75" t="s">
        <v>91</v>
      </c>
      <c r="E40" s="77">
        <v>106192914518</v>
      </c>
      <c r="F40" s="77">
        <v>139947405170</v>
      </c>
      <c r="G40" s="77"/>
      <c r="H40" s="77"/>
      <c r="I40" s="77"/>
      <c r="J40" s="77">
        <v>280012168867</v>
      </c>
      <c r="K40" s="77">
        <v>173819254349</v>
      </c>
      <c r="L40" s="78"/>
      <c r="M40" s="53" t="s">
        <v>66</v>
      </c>
      <c r="N40" s="51"/>
      <c r="O40" t="s">
        <v>15</v>
      </c>
      <c r="P40" t="s">
        <v>91</v>
      </c>
      <c r="Q40" t="b">
        <f t="shared" si="0"/>
        <v>1</v>
      </c>
    </row>
    <row r="41" spans="1:17">
      <c r="A41" s="51"/>
      <c r="B41" s="51" t="s">
        <v>94</v>
      </c>
      <c r="C41" s="51" t="s">
        <v>92</v>
      </c>
      <c r="D41" s="51" t="s">
        <v>93</v>
      </c>
      <c r="E41" s="79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80">
        <v>0</v>
      </c>
      <c r="L41" s="80"/>
      <c r="M41" s="53" t="s">
        <v>95</v>
      </c>
      <c r="N41" s="51"/>
      <c r="O41" t="s">
        <v>92</v>
      </c>
      <c r="P41" t="s">
        <v>93</v>
      </c>
      <c r="Q41" t="b">
        <f t="shared" si="0"/>
        <v>1</v>
      </c>
    </row>
    <row r="42" spans="1:17">
      <c r="A42" s="51"/>
      <c r="B42" s="51" t="s">
        <v>94</v>
      </c>
      <c r="C42" s="51" t="s">
        <v>96</v>
      </c>
      <c r="D42" s="51" t="s">
        <v>97</v>
      </c>
      <c r="E42" s="79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80">
        <v>0</v>
      </c>
      <c r="L42" s="80"/>
      <c r="M42" s="53" t="s">
        <v>95</v>
      </c>
      <c r="N42" s="51"/>
      <c r="O42" t="s">
        <v>96</v>
      </c>
      <c r="P42" t="s">
        <v>97</v>
      </c>
      <c r="Q42" t="b">
        <f t="shared" si="0"/>
        <v>1</v>
      </c>
    </row>
    <row r="43" spans="1:17">
      <c r="A43" s="51"/>
      <c r="B43" s="51" t="s">
        <v>507</v>
      </c>
      <c r="C43" s="51" t="s">
        <v>98</v>
      </c>
      <c r="D43" s="51" t="s">
        <v>99</v>
      </c>
      <c r="E43" s="79">
        <v>1059412860</v>
      </c>
      <c r="F43" s="52">
        <v>5047622400</v>
      </c>
      <c r="G43" s="52">
        <v>0</v>
      </c>
      <c r="H43" s="52">
        <v>0</v>
      </c>
      <c r="I43" s="52">
        <v>0</v>
      </c>
      <c r="J43" s="52">
        <v>5047622400</v>
      </c>
      <c r="K43" s="80">
        <v>3988209540</v>
      </c>
      <c r="L43" s="80"/>
      <c r="M43" s="53" t="s">
        <v>99</v>
      </c>
      <c r="N43" s="51"/>
      <c r="O43" t="s">
        <v>98</v>
      </c>
      <c r="P43" t="s">
        <v>99</v>
      </c>
      <c r="Q43" t="b">
        <f t="shared" si="0"/>
        <v>1</v>
      </c>
    </row>
    <row r="44" spans="1:17">
      <c r="A44" s="51"/>
      <c r="B44" s="51" t="s">
        <v>102</v>
      </c>
      <c r="C44" s="51" t="s">
        <v>100</v>
      </c>
      <c r="D44" s="51" t="s">
        <v>101</v>
      </c>
      <c r="E44" s="79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80">
        <v>0</v>
      </c>
      <c r="L44" s="80"/>
      <c r="M44" s="53" t="s">
        <v>103</v>
      </c>
      <c r="N44" s="51"/>
      <c r="O44" t="s">
        <v>100</v>
      </c>
      <c r="P44" t="s">
        <v>101</v>
      </c>
      <c r="Q44" t="b">
        <f t="shared" si="0"/>
        <v>1</v>
      </c>
    </row>
    <row r="45" spans="1:17">
      <c r="A45" s="51"/>
      <c r="B45" s="51" t="s">
        <v>106</v>
      </c>
      <c r="C45" s="51" t="s">
        <v>104</v>
      </c>
      <c r="D45" s="51" t="s">
        <v>105</v>
      </c>
      <c r="E45" s="79">
        <v>0</v>
      </c>
      <c r="F45" s="52">
        <v>1725826013</v>
      </c>
      <c r="G45" s="52">
        <v>0</v>
      </c>
      <c r="H45" s="52">
        <v>1725826013</v>
      </c>
      <c r="I45" s="52">
        <v>-1725826013</v>
      </c>
      <c r="J45" s="85">
        <v>0</v>
      </c>
      <c r="K45" s="80">
        <v>0</v>
      </c>
      <c r="L45" s="80"/>
      <c r="M45" s="53" t="s">
        <v>107</v>
      </c>
      <c r="N45" s="51"/>
      <c r="O45" t="s">
        <v>104</v>
      </c>
      <c r="P45" t="s">
        <v>105</v>
      </c>
      <c r="Q45" t="b">
        <f t="shared" si="0"/>
        <v>1</v>
      </c>
    </row>
    <row r="46" spans="1:17">
      <c r="A46" s="51"/>
      <c r="B46" s="51" t="s">
        <v>106</v>
      </c>
      <c r="C46" s="51" t="s">
        <v>108</v>
      </c>
      <c r="D46" s="51" t="s">
        <v>109</v>
      </c>
      <c r="E46" s="79">
        <v>81209493461</v>
      </c>
      <c r="F46" s="52">
        <v>82863041989</v>
      </c>
      <c r="G46" s="52">
        <v>142092671599</v>
      </c>
      <c r="H46" s="52">
        <v>302081889</v>
      </c>
      <c r="I46" s="52">
        <v>141790589710</v>
      </c>
      <c r="J46" s="85">
        <v>224653631699</v>
      </c>
      <c r="K46" s="80">
        <v>143444138238</v>
      </c>
      <c r="L46" s="80"/>
      <c r="M46" s="53" t="s">
        <v>107</v>
      </c>
      <c r="N46" s="51"/>
      <c r="O46" t="s">
        <v>108</v>
      </c>
      <c r="P46" t="s">
        <v>109</v>
      </c>
      <c r="Q46" t="b">
        <f t="shared" si="0"/>
        <v>1</v>
      </c>
    </row>
    <row r="47" spans="1:17">
      <c r="A47" s="51"/>
      <c r="B47" s="51" t="s">
        <v>94</v>
      </c>
      <c r="C47" s="51" t="s">
        <v>110</v>
      </c>
      <c r="D47" s="51" t="s">
        <v>111</v>
      </c>
      <c r="E47" s="79">
        <v>0</v>
      </c>
      <c r="F47" s="52">
        <v>359044000</v>
      </c>
      <c r="G47" s="52">
        <v>0</v>
      </c>
      <c r="H47" s="52">
        <v>0</v>
      </c>
      <c r="I47" s="52">
        <v>0</v>
      </c>
      <c r="J47" s="52">
        <v>359044000</v>
      </c>
      <c r="K47" s="80">
        <v>359044000</v>
      </c>
      <c r="L47" s="80"/>
      <c r="M47" s="53" t="s">
        <v>95</v>
      </c>
      <c r="N47" s="51"/>
      <c r="O47" t="s">
        <v>110</v>
      </c>
      <c r="P47" t="s">
        <v>111</v>
      </c>
      <c r="Q47" t="b">
        <f t="shared" si="0"/>
        <v>1</v>
      </c>
    </row>
    <row r="48" spans="1:17">
      <c r="A48" s="51"/>
      <c r="B48" s="51" t="s">
        <v>94</v>
      </c>
      <c r="C48" s="51" t="s">
        <v>112</v>
      </c>
      <c r="D48" s="51" t="s">
        <v>113</v>
      </c>
      <c r="E48" s="79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80">
        <v>0</v>
      </c>
      <c r="L48" s="80"/>
      <c r="M48" s="53" t="s">
        <v>95</v>
      </c>
      <c r="N48" s="51"/>
      <c r="O48" t="s">
        <v>112</v>
      </c>
      <c r="P48" t="s">
        <v>113</v>
      </c>
      <c r="Q48" t="b">
        <f t="shared" si="0"/>
        <v>1</v>
      </c>
    </row>
    <row r="49" spans="1:17">
      <c r="A49" s="51"/>
      <c r="B49" s="51"/>
      <c r="C49" s="51" t="s">
        <v>952</v>
      </c>
      <c r="D49" s="51" t="s">
        <v>953</v>
      </c>
      <c r="E49" s="79">
        <v>42450000</v>
      </c>
      <c r="F49" s="52">
        <v>42450000</v>
      </c>
      <c r="G49" s="52">
        <v>0</v>
      </c>
      <c r="H49" s="52">
        <v>0</v>
      </c>
      <c r="I49" s="52">
        <v>0</v>
      </c>
      <c r="J49" s="52">
        <v>42450000</v>
      </c>
      <c r="K49" s="80">
        <v>0</v>
      </c>
      <c r="L49" s="80"/>
      <c r="M49" s="53"/>
      <c r="N49" s="51"/>
      <c r="O49" t="s">
        <v>952</v>
      </c>
      <c r="P49" t="s">
        <v>953</v>
      </c>
      <c r="Q49" t="b">
        <f t="shared" si="0"/>
        <v>1</v>
      </c>
    </row>
    <row r="50" spans="1:17">
      <c r="A50" s="51"/>
      <c r="B50" s="51" t="s">
        <v>94</v>
      </c>
      <c r="C50" s="51" t="s">
        <v>114</v>
      </c>
      <c r="D50" s="51" t="s">
        <v>115</v>
      </c>
      <c r="E50" s="79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80">
        <v>0</v>
      </c>
      <c r="L50" s="80"/>
      <c r="M50" s="53" t="s">
        <v>95</v>
      </c>
      <c r="N50" s="51"/>
      <c r="O50" t="s">
        <v>114</v>
      </c>
      <c r="P50" t="s">
        <v>115</v>
      </c>
      <c r="Q50" t="b">
        <f t="shared" si="0"/>
        <v>1</v>
      </c>
    </row>
    <row r="51" spans="1:17">
      <c r="A51" s="51"/>
      <c r="B51" s="51" t="s">
        <v>118</v>
      </c>
      <c r="C51" s="51" t="s">
        <v>116</v>
      </c>
      <c r="D51" s="51" t="s">
        <v>117</v>
      </c>
      <c r="E51" s="79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80">
        <v>0</v>
      </c>
      <c r="L51" s="80"/>
      <c r="M51" s="53" t="s">
        <v>117</v>
      </c>
      <c r="N51" s="51"/>
      <c r="O51" t="s">
        <v>116</v>
      </c>
      <c r="P51" t="s">
        <v>117</v>
      </c>
      <c r="Q51" t="b">
        <f t="shared" si="0"/>
        <v>1</v>
      </c>
    </row>
    <row r="52" spans="1:17">
      <c r="A52" s="51"/>
      <c r="B52" s="51" t="s">
        <v>118</v>
      </c>
      <c r="C52" s="51" t="s">
        <v>119</v>
      </c>
      <c r="D52" s="51" t="s">
        <v>120</v>
      </c>
      <c r="E52" s="79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80">
        <v>0</v>
      </c>
      <c r="L52" s="80"/>
      <c r="M52" s="53" t="s">
        <v>117</v>
      </c>
      <c r="N52" s="51"/>
      <c r="O52" t="s">
        <v>119</v>
      </c>
      <c r="P52" t="s">
        <v>120</v>
      </c>
      <c r="Q52" t="b">
        <f t="shared" si="0"/>
        <v>1</v>
      </c>
    </row>
    <row r="53" spans="1:17">
      <c r="A53" s="51"/>
      <c r="B53" s="51" t="s">
        <v>118</v>
      </c>
      <c r="C53" s="51" t="s">
        <v>121</v>
      </c>
      <c r="D53" s="51" t="s">
        <v>122</v>
      </c>
      <c r="E53" s="79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80">
        <v>0</v>
      </c>
      <c r="L53" s="80"/>
      <c r="M53" s="53" t="s">
        <v>117</v>
      </c>
      <c r="N53" s="51"/>
      <c r="O53" t="s">
        <v>121</v>
      </c>
      <c r="P53" t="s">
        <v>122</v>
      </c>
      <c r="Q53" t="b">
        <f t="shared" si="0"/>
        <v>1</v>
      </c>
    </row>
    <row r="54" spans="1:17">
      <c r="A54" s="51"/>
      <c r="B54" s="51" t="s">
        <v>118</v>
      </c>
      <c r="C54" s="51" t="s">
        <v>123</v>
      </c>
      <c r="D54" s="51" t="s">
        <v>124</v>
      </c>
      <c r="E54" s="79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80">
        <v>0</v>
      </c>
      <c r="L54" s="80"/>
      <c r="M54" s="53" t="s">
        <v>117</v>
      </c>
      <c r="N54" s="51"/>
      <c r="O54" t="s">
        <v>123</v>
      </c>
      <c r="P54" t="s">
        <v>124</v>
      </c>
      <c r="Q54" t="b">
        <f t="shared" si="0"/>
        <v>1</v>
      </c>
    </row>
    <row r="55" spans="1:17">
      <c r="A55" s="51"/>
      <c r="B55" s="81">
        <v>0</v>
      </c>
      <c r="C55" s="81">
        <v>0</v>
      </c>
      <c r="D55" s="82" t="s">
        <v>125</v>
      </c>
      <c r="E55" s="84">
        <v>23576668792</v>
      </c>
      <c r="F55" s="84">
        <v>49659331676</v>
      </c>
      <c r="G55" s="83"/>
      <c r="H55" s="83"/>
      <c r="I55" s="84"/>
      <c r="J55" s="84">
        <v>49659331676</v>
      </c>
      <c r="K55" s="84">
        <v>26082662884</v>
      </c>
      <c r="L55" s="84"/>
      <c r="M55" s="53" t="s">
        <v>66</v>
      </c>
      <c r="N55" s="51"/>
      <c r="O55">
        <v>0</v>
      </c>
      <c r="P55" t="s">
        <v>125</v>
      </c>
      <c r="Q55" t="b">
        <f t="shared" si="0"/>
        <v>1</v>
      </c>
    </row>
    <row r="56" spans="1:17">
      <c r="A56" s="51"/>
      <c r="B56" s="51" t="s">
        <v>128</v>
      </c>
      <c r="C56" s="51" t="s">
        <v>126</v>
      </c>
      <c r="D56" s="51" t="s">
        <v>127</v>
      </c>
      <c r="E56" s="79">
        <v>10242504190</v>
      </c>
      <c r="F56" s="52">
        <v>14540910314</v>
      </c>
      <c r="G56" s="52">
        <v>0</v>
      </c>
      <c r="H56" s="52">
        <v>0</v>
      </c>
      <c r="I56" s="52">
        <v>0</v>
      </c>
      <c r="J56" s="52">
        <v>14540910314</v>
      </c>
      <c r="K56" s="80">
        <v>4298406124</v>
      </c>
      <c r="L56" s="80"/>
      <c r="M56" s="53" t="s">
        <v>129</v>
      </c>
      <c r="N56" s="51"/>
      <c r="O56" t="s">
        <v>126</v>
      </c>
      <c r="P56" t="s">
        <v>127</v>
      </c>
      <c r="Q56" t="b">
        <f t="shared" si="0"/>
        <v>1</v>
      </c>
    </row>
    <row r="57" spans="1:17">
      <c r="A57" s="51"/>
      <c r="B57" s="51" t="s">
        <v>128</v>
      </c>
      <c r="C57" s="51" t="s">
        <v>130</v>
      </c>
      <c r="D57" s="51" t="s">
        <v>131</v>
      </c>
      <c r="E57" s="79">
        <v>10031774698</v>
      </c>
      <c r="F57" s="52">
        <v>19217775430</v>
      </c>
      <c r="G57" s="52">
        <v>0</v>
      </c>
      <c r="H57" s="52">
        <v>0</v>
      </c>
      <c r="I57" s="52">
        <v>0</v>
      </c>
      <c r="J57" s="52">
        <v>19217775430</v>
      </c>
      <c r="K57" s="80">
        <v>9186000732</v>
      </c>
      <c r="L57" s="80"/>
      <c r="M57" s="53" t="s">
        <v>129</v>
      </c>
      <c r="N57" s="51"/>
      <c r="O57" t="s">
        <v>130</v>
      </c>
      <c r="P57" t="s">
        <v>131</v>
      </c>
      <c r="Q57" t="b">
        <f t="shared" si="0"/>
        <v>1</v>
      </c>
    </row>
    <row r="58" spans="1:17">
      <c r="A58" s="51"/>
      <c r="B58" s="51" t="s">
        <v>128</v>
      </c>
      <c r="C58" s="51" t="s">
        <v>132</v>
      </c>
      <c r="D58" s="51" t="s">
        <v>133</v>
      </c>
      <c r="E58" s="79">
        <v>-1432627018</v>
      </c>
      <c r="F58" s="52">
        <v>-1727592015</v>
      </c>
      <c r="G58" s="52">
        <v>0</v>
      </c>
      <c r="H58" s="52">
        <v>0</v>
      </c>
      <c r="I58" s="52">
        <v>0</v>
      </c>
      <c r="J58" s="52">
        <v>-1727592015</v>
      </c>
      <c r="K58" s="80">
        <v>-294964997</v>
      </c>
      <c r="L58" s="80"/>
      <c r="M58" s="53" t="s">
        <v>129</v>
      </c>
      <c r="N58" s="51"/>
      <c r="O58" t="s">
        <v>132</v>
      </c>
      <c r="P58" t="s">
        <v>133</v>
      </c>
      <c r="Q58" t="b">
        <f t="shared" si="0"/>
        <v>1</v>
      </c>
    </row>
    <row r="59" spans="1:17">
      <c r="A59" s="51"/>
      <c r="B59" s="51" t="s">
        <v>128</v>
      </c>
      <c r="C59" s="51" t="s">
        <v>134</v>
      </c>
      <c r="D59" s="51" t="s">
        <v>135</v>
      </c>
      <c r="E59" s="79">
        <v>22700000</v>
      </c>
      <c r="F59" s="52">
        <v>257700000</v>
      </c>
      <c r="G59" s="52">
        <v>0</v>
      </c>
      <c r="H59" s="52">
        <v>0</v>
      </c>
      <c r="I59" s="52">
        <v>0</v>
      </c>
      <c r="J59" s="52">
        <v>257700000</v>
      </c>
      <c r="K59" s="80">
        <v>235000000</v>
      </c>
      <c r="L59" s="80"/>
      <c r="M59" s="53" t="s">
        <v>129</v>
      </c>
      <c r="N59" s="51"/>
      <c r="O59" t="s">
        <v>134</v>
      </c>
      <c r="P59" t="s">
        <v>135</v>
      </c>
      <c r="Q59" t="b">
        <f t="shared" si="0"/>
        <v>1</v>
      </c>
    </row>
    <row r="60" spans="1:17">
      <c r="A60" s="51"/>
      <c r="B60" s="51" t="s">
        <v>128</v>
      </c>
      <c r="C60" s="51" t="s">
        <v>136</v>
      </c>
      <c r="D60" s="51" t="s">
        <v>137</v>
      </c>
      <c r="E60" s="79">
        <v>-3171875</v>
      </c>
      <c r="F60" s="52">
        <v>-4353959</v>
      </c>
      <c r="G60" s="52">
        <v>0</v>
      </c>
      <c r="H60" s="52">
        <v>0</v>
      </c>
      <c r="I60" s="52">
        <v>0</v>
      </c>
      <c r="J60" s="52">
        <v>-4353959</v>
      </c>
      <c r="K60" s="80">
        <v>-1182084</v>
      </c>
      <c r="L60" s="80"/>
      <c r="M60" s="53" t="s">
        <v>129</v>
      </c>
      <c r="N60" s="51"/>
      <c r="O60" t="s">
        <v>136</v>
      </c>
      <c r="P60" t="s">
        <v>137</v>
      </c>
      <c r="Q60" t="b">
        <f t="shared" si="0"/>
        <v>1</v>
      </c>
    </row>
    <row r="61" spans="1:17">
      <c r="A61" s="51"/>
      <c r="B61" s="51" t="s">
        <v>128</v>
      </c>
      <c r="C61" s="51" t="s">
        <v>138</v>
      </c>
      <c r="D61" s="51" t="s">
        <v>139</v>
      </c>
      <c r="E61" s="79">
        <v>6503637671</v>
      </c>
      <c r="F61" s="52">
        <v>15320979207</v>
      </c>
      <c r="G61" s="52">
        <v>0</v>
      </c>
      <c r="H61" s="52">
        <v>0</v>
      </c>
      <c r="I61" s="52">
        <v>0</v>
      </c>
      <c r="J61" s="52">
        <v>15320979207</v>
      </c>
      <c r="K61" s="80">
        <v>8817341536</v>
      </c>
      <c r="L61" s="80"/>
      <c r="M61" s="53" t="s">
        <v>129</v>
      </c>
      <c r="N61" s="51"/>
      <c r="O61" t="s">
        <v>138</v>
      </c>
      <c r="P61" t="s">
        <v>139</v>
      </c>
      <c r="Q61" t="b">
        <f t="shared" si="0"/>
        <v>1</v>
      </c>
    </row>
    <row r="62" spans="1:17">
      <c r="A62" s="51"/>
      <c r="B62" s="51" t="s">
        <v>128</v>
      </c>
      <c r="C62" s="51" t="s">
        <v>140</v>
      </c>
      <c r="D62" s="51" t="s">
        <v>141</v>
      </c>
      <c r="E62" s="79">
        <v>-3140202769</v>
      </c>
      <c r="F62" s="52">
        <v>-3981680038</v>
      </c>
      <c r="G62" s="52">
        <v>0</v>
      </c>
      <c r="H62" s="52">
        <v>0</v>
      </c>
      <c r="I62" s="52">
        <v>0</v>
      </c>
      <c r="J62" s="52">
        <v>-3981680038</v>
      </c>
      <c r="K62" s="80">
        <v>-841477269</v>
      </c>
      <c r="L62" s="80"/>
      <c r="M62" s="53" t="s">
        <v>129</v>
      </c>
      <c r="N62" s="51"/>
      <c r="O62" t="s">
        <v>140</v>
      </c>
      <c r="P62" t="s">
        <v>141</v>
      </c>
      <c r="Q62" t="b">
        <f t="shared" si="0"/>
        <v>1</v>
      </c>
    </row>
    <row r="63" spans="1:17">
      <c r="A63" s="51"/>
      <c r="B63" s="51" t="s">
        <v>128</v>
      </c>
      <c r="C63" s="51" t="s">
        <v>142</v>
      </c>
      <c r="D63" s="51" t="s">
        <v>143</v>
      </c>
      <c r="E63" s="79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80">
        <v>0</v>
      </c>
      <c r="L63" s="80"/>
      <c r="M63" s="53" t="s">
        <v>129</v>
      </c>
      <c r="N63" s="51"/>
      <c r="O63" t="s">
        <v>142</v>
      </c>
      <c r="P63" t="s">
        <v>143</v>
      </c>
      <c r="Q63" t="b">
        <f t="shared" si="0"/>
        <v>1</v>
      </c>
    </row>
    <row r="64" spans="1:17">
      <c r="A64" s="51"/>
      <c r="B64" s="51" t="s">
        <v>128</v>
      </c>
      <c r="C64" s="51" t="s">
        <v>144</v>
      </c>
      <c r="D64" s="51" t="s">
        <v>145</v>
      </c>
      <c r="E64" s="79">
        <v>34420100</v>
      </c>
      <c r="F64" s="52">
        <v>125824402</v>
      </c>
      <c r="G64" s="52">
        <v>0</v>
      </c>
      <c r="H64" s="52">
        <v>0</v>
      </c>
      <c r="I64" s="52">
        <v>0</v>
      </c>
      <c r="J64" s="52">
        <v>125824402</v>
      </c>
      <c r="K64" s="80">
        <v>91404302</v>
      </c>
      <c r="L64" s="80"/>
      <c r="M64" s="53" t="s">
        <v>129</v>
      </c>
      <c r="N64" s="51"/>
      <c r="O64" t="s">
        <v>144</v>
      </c>
      <c r="P64" t="s">
        <v>145</v>
      </c>
      <c r="Q64" t="b">
        <f t="shared" si="0"/>
        <v>1</v>
      </c>
    </row>
    <row r="65" spans="1:17">
      <c r="A65" s="51"/>
      <c r="B65" s="51" t="s">
        <v>128</v>
      </c>
      <c r="C65" s="51" t="s">
        <v>146</v>
      </c>
      <c r="D65" s="51" t="s">
        <v>147</v>
      </c>
      <c r="E65" s="79">
        <v>-28363302</v>
      </c>
      <c r="F65" s="52">
        <v>-24557355</v>
      </c>
      <c r="G65" s="52">
        <v>0</v>
      </c>
      <c r="H65" s="52">
        <v>0</v>
      </c>
      <c r="I65" s="52">
        <v>0</v>
      </c>
      <c r="J65" s="52">
        <v>-24557355</v>
      </c>
      <c r="K65" s="80">
        <v>3805947</v>
      </c>
      <c r="L65" s="80"/>
      <c r="M65" s="53" t="s">
        <v>129</v>
      </c>
      <c r="N65" s="51"/>
      <c r="O65" t="s">
        <v>146</v>
      </c>
      <c r="P65" t="s">
        <v>147</v>
      </c>
      <c r="Q65" t="b">
        <f t="shared" si="0"/>
        <v>1</v>
      </c>
    </row>
    <row r="66" spans="1:17">
      <c r="A66" s="51"/>
      <c r="B66" s="51" t="s">
        <v>128</v>
      </c>
      <c r="C66" s="51" t="s">
        <v>148</v>
      </c>
      <c r="D66" s="51" t="s">
        <v>149</v>
      </c>
      <c r="E66" s="79">
        <v>201435000</v>
      </c>
      <c r="F66" s="52">
        <v>211935000</v>
      </c>
      <c r="G66" s="52">
        <v>0</v>
      </c>
      <c r="H66" s="52">
        <v>0</v>
      </c>
      <c r="I66" s="52">
        <v>0</v>
      </c>
      <c r="J66" s="52">
        <v>211935000</v>
      </c>
      <c r="K66" s="80">
        <v>10500000</v>
      </c>
      <c r="L66" s="80"/>
      <c r="M66" s="53" t="s">
        <v>129</v>
      </c>
      <c r="N66" s="51"/>
      <c r="O66" t="s">
        <v>148</v>
      </c>
      <c r="P66" t="s">
        <v>149</v>
      </c>
      <c r="Q66" t="b">
        <f t="shared" si="0"/>
        <v>1</v>
      </c>
    </row>
    <row r="67" spans="1:17">
      <c r="A67" s="51"/>
      <c r="B67" s="51" t="s">
        <v>128</v>
      </c>
      <c r="C67" s="51" t="s">
        <v>150</v>
      </c>
      <c r="D67" s="51" t="s">
        <v>151</v>
      </c>
      <c r="E67" s="79">
        <v>-151462155</v>
      </c>
      <c r="F67" s="52">
        <v>-171495917</v>
      </c>
      <c r="G67" s="52">
        <v>0</v>
      </c>
      <c r="H67" s="52">
        <v>0</v>
      </c>
      <c r="I67" s="52">
        <v>0</v>
      </c>
      <c r="J67" s="52">
        <v>-171495917</v>
      </c>
      <c r="K67" s="80">
        <v>-20033762</v>
      </c>
      <c r="L67" s="80"/>
      <c r="M67" s="53" t="s">
        <v>129</v>
      </c>
      <c r="N67" s="51"/>
      <c r="O67" t="s">
        <v>150</v>
      </c>
      <c r="P67" t="s">
        <v>151</v>
      </c>
      <c r="Q67" t="b">
        <f t="shared" si="0"/>
        <v>1</v>
      </c>
    </row>
    <row r="68" spans="1:17">
      <c r="A68" s="51"/>
      <c r="B68" s="51" t="s">
        <v>128</v>
      </c>
      <c r="C68" s="51" t="s">
        <v>152</v>
      </c>
      <c r="D68" s="51" t="s">
        <v>153</v>
      </c>
      <c r="E68" s="79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80">
        <v>0</v>
      </c>
      <c r="L68" s="80"/>
      <c r="M68" s="53" t="s">
        <v>129</v>
      </c>
      <c r="N68" s="51"/>
      <c r="O68" t="s">
        <v>152</v>
      </c>
      <c r="P68" t="s">
        <v>153</v>
      </c>
      <c r="Q68" t="b">
        <f t="shared" si="0"/>
        <v>1</v>
      </c>
    </row>
    <row r="69" spans="1:17">
      <c r="A69" s="51"/>
      <c r="B69" s="51" t="s">
        <v>128</v>
      </c>
      <c r="C69" s="51" t="s">
        <v>154</v>
      </c>
      <c r="D69" s="51" t="s">
        <v>155</v>
      </c>
      <c r="E69" s="79">
        <v>1266113371</v>
      </c>
      <c r="F69" s="52">
        <v>1782697655</v>
      </c>
      <c r="G69" s="52">
        <v>0</v>
      </c>
      <c r="H69" s="52">
        <v>0</v>
      </c>
      <c r="I69" s="52">
        <v>0</v>
      </c>
      <c r="J69" s="52">
        <v>1782697655</v>
      </c>
      <c r="K69" s="80">
        <v>516584284</v>
      </c>
      <c r="L69" s="80"/>
      <c r="M69" s="53" t="s">
        <v>129</v>
      </c>
      <c r="N69" s="51"/>
      <c r="O69" t="s">
        <v>154</v>
      </c>
      <c r="P69" t="s">
        <v>155</v>
      </c>
      <c r="Q69" t="b">
        <f t="shared" si="0"/>
        <v>1</v>
      </c>
    </row>
    <row r="70" spans="1:17">
      <c r="A70" s="51"/>
      <c r="B70" s="51" t="s">
        <v>128</v>
      </c>
      <c r="C70" s="51" t="s">
        <v>156</v>
      </c>
      <c r="D70" s="51" t="s">
        <v>157</v>
      </c>
      <c r="E70" s="79">
        <v>-906640681</v>
      </c>
      <c r="F70" s="52">
        <v>-1068922411</v>
      </c>
      <c r="G70" s="52">
        <v>0</v>
      </c>
      <c r="H70" s="52">
        <v>0</v>
      </c>
      <c r="I70" s="52">
        <v>0</v>
      </c>
      <c r="J70" s="52">
        <v>-1068922411</v>
      </c>
      <c r="K70" s="80">
        <v>-162281730</v>
      </c>
      <c r="L70" s="80"/>
      <c r="M70" s="53" t="s">
        <v>129</v>
      </c>
      <c r="N70" s="51"/>
      <c r="O70" t="s">
        <v>156</v>
      </c>
      <c r="P70" t="s">
        <v>157</v>
      </c>
      <c r="Q70" t="b">
        <f t="shared" si="0"/>
        <v>1</v>
      </c>
    </row>
    <row r="71" spans="1:17">
      <c r="A71" s="51"/>
      <c r="B71" s="51" t="s">
        <v>128</v>
      </c>
      <c r="C71" s="51" t="s">
        <v>158</v>
      </c>
      <c r="D71" s="51" t="s">
        <v>159</v>
      </c>
      <c r="E71" s="79">
        <v>346550000</v>
      </c>
      <c r="F71" s="52">
        <v>4219307334</v>
      </c>
      <c r="G71" s="52">
        <v>0</v>
      </c>
      <c r="H71" s="52">
        <v>0</v>
      </c>
      <c r="I71" s="52">
        <v>0</v>
      </c>
      <c r="J71" s="52">
        <v>4219307334</v>
      </c>
      <c r="K71" s="80">
        <v>3872757334</v>
      </c>
      <c r="L71" s="80"/>
      <c r="M71" s="53" t="s">
        <v>129</v>
      </c>
      <c r="N71" s="51"/>
      <c r="O71" t="s">
        <v>158</v>
      </c>
      <c r="P71" t="s">
        <v>159</v>
      </c>
      <c r="Q71" t="b">
        <f t="shared" ref="Q71:Q134" si="1">O71=C71</f>
        <v>1</v>
      </c>
    </row>
    <row r="72" spans="1:17">
      <c r="A72" s="51"/>
      <c r="B72" s="51" t="s">
        <v>128</v>
      </c>
      <c r="C72" s="51" t="s">
        <v>160</v>
      </c>
      <c r="D72" s="51" t="s">
        <v>161</v>
      </c>
      <c r="E72" s="79">
        <v>1687253723</v>
      </c>
      <c r="F72" s="52">
        <v>2038676723</v>
      </c>
      <c r="G72" s="52">
        <v>0</v>
      </c>
      <c r="H72" s="52">
        <v>0</v>
      </c>
      <c r="I72" s="52">
        <v>0</v>
      </c>
      <c r="J72" s="52">
        <v>2038676723</v>
      </c>
      <c r="K72" s="80">
        <v>351423000</v>
      </c>
      <c r="L72" s="80"/>
      <c r="M72" s="53" t="s">
        <v>129</v>
      </c>
      <c r="N72" s="51"/>
      <c r="O72" t="s">
        <v>160</v>
      </c>
      <c r="P72" t="s">
        <v>161</v>
      </c>
      <c r="Q72" t="b">
        <f t="shared" si="1"/>
        <v>1</v>
      </c>
    </row>
    <row r="73" spans="1:17">
      <c r="A73" s="51"/>
      <c r="B73" s="51" t="s">
        <v>128</v>
      </c>
      <c r="C73" s="51" t="s">
        <v>162</v>
      </c>
      <c r="D73" s="51" t="s">
        <v>163</v>
      </c>
      <c r="E73" s="79">
        <v>-1187465138</v>
      </c>
      <c r="F73" s="52">
        <v>-1418011609</v>
      </c>
      <c r="G73" s="52">
        <v>0</v>
      </c>
      <c r="H73" s="52">
        <v>0</v>
      </c>
      <c r="I73" s="52">
        <v>0</v>
      </c>
      <c r="J73" s="52">
        <v>-1418011609</v>
      </c>
      <c r="K73" s="80">
        <v>-230546471</v>
      </c>
      <c r="L73" s="80"/>
      <c r="M73" s="53" t="s">
        <v>129</v>
      </c>
      <c r="N73" s="51"/>
      <c r="O73" t="s">
        <v>162</v>
      </c>
      <c r="P73" t="s">
        <v>163</v>
      </c>
      <c r="Q73" t="b">
        <f t="shared" si="1"/>
        <v>1</v>
      </c>
    </row>
    <row r="74" spans="1:17">
      <c r="A74" s="51"/>
      <c r="B74" s="51" t="s">
        <v>128</v>
      </c>
      <c r="C74" s="51" t="s">
        <v>164</v>
      </c>
      <c r="D74" s="51" t="s">
        <v>165</v>
      </c>
      <c r="E74" s="79">
        <v>132069996</v>
      </c>
      <c r="F74" s="52">
        <v>458164559</v>
      </c>
      <c r="G74" s="52">
        <v>0</v>
      </c>
      <c r="H74" s="52">
        <v>0</v>
      </c>
      <c r="I74" s="52">
        <v>0</v>
      </c>
      <c r="J74" s="52">
        <v>458164559</v>
      </c>
      <c r="K74" s="80">
        <v>326094563</v>
      </c>
      <c r="L74" s="80"/>
      <c r="M74" s="53" t="s">
        <v>129</v>
      </c>
      <c r="N74" s="51"/>
      <c r="O74" t="s">
        <v>164</v>
      </c>
      <c r="P74" t="s">
        <v>165</v>
      </c>
      <c r="Q74" t="b">
        <f t="shared" si="1"/>
        <v>1</v>
      </c>
    </row>
    <row r="75" spans="1:17">
      <c r="A75" s="51"/>
      <c r="B75" s="51" t="s">
        <v>128</v>
      </c>
      <c r="C75" s="51" t="s">
        <v>166</v>
      </c>
      <c r="D75" s="51" t="s">
        <v>167</v>
      </c>
      <c r="E75" s="79">
        <v>-41857019</v>
      </c>
      <c r="F75" s="52">
        <v>-118025644</v>
      </c>
      <c r="G75" s="52">
        <v>0</v>
      </c>
      <c r="H75" s="52">
        <v>0</v>
      </c>
      <c r="I75" s="52">
        <v>0</v>
      </c>
      <c r="J75" s="52">
        <v>-118025644</v>
      </c>
      <c r="K75" s="80">
        <v>-76168625</v>
      </c>
      <c r="L75" s="80"/>
      <c r="M75" s="53" t="s">
        <v>129</v>
      </c>
      <c r="N75" s="51"/>
      <c r="O75" t="s">
        <v>166</v>
      </c>
      <c r="P75" t="s">
        <v>167</v>
      </c>
      <c r="Q75" t="b">
        <f t="shared" si="1"/>
        <v>1</v>
      </c>
    </row>
    <row r="76" spans="1:17">
      <c r="A76" s="51"/>
      <c r="B76" s="81">
        <v>0</v>
      </c>
      <c r="C76" s="81">
        <v>0</v>
      </c>
      <c r="D76" s="82" t="s">
        <v>168</v>
      </c>
      <c r="E76" s="84">
        <v>304889405</v>
      </c>
      <c r="F76" s="84">
        <v>250089092</v>
      </c>
      <c r="G76" s="84"/>
      <c r="H76" s="84"/>
      <c r="I76" s="84"/>
      <c r="J76" s="84">
        <v>250089092</v>
      </c>
      <c r="K76" s="84">
        <v>-54800313</v>
      </c>
      <c r="L76" s="84"/>
      <c r="M76" s="53" t="s">
        <v>66</v>
      </c>
      <c r="N76" s="51"/>
      <c r="O76">
        <v>0</v>
      </c>
      <c r="P76" t="s">
        <v>168</v>
      </c>
      <c r="Q76" t="b">
        <f t="shared" si="1"/>
        <v>1</v>
      </c>
    </row>
    <row r="77" spans="1:17">
      <c r="A77" s="51"/>
      <c r="B77" s="51" t="s">
        <v>171</v>
      </c>
      <c r="C77" s="51" t="s">
        <v>169</v>
      </c>
      <c r="D77" s="51" t="s">
        <v>170</v>
      </c>
      <c r="E77" s="79">
        <v>0</v>
      </c>
      <c r="F77" s="52">
        <v>0</v>
      </c>
      <c r="G77" s="52">
        <v>0</v>
      </c>
      <c r="H77" s="52">
        <v>0</v>
      </c>
      <c r="I77" s="52">
        <v>0</v>
      </c>
      <c r="J77" s="52">
        <v>0</v>
      </c>
      <c r="K77" s="80">
        <v>0</v>
      </c>
      <c r="L77" s="80"/>
      <c r="M77" s="53" t="s">
        <v>172</v>
      </c>
      <c r="N77" s="51"/>
      <c r="O77" t="s">
        <v>169</v>
      </c>
      <c r="P77" t="s">
        <v>170</v>
      </c>
      <c r="Q77" t="b">
        <f t="shared" si="1"/>
        <v>1</v>
      </c>
    </row>
    <row r="78" spans="1:17">
      <c r="A78" s="51"/>
      <c r="B78" s="51" t="s">
        <v>171</v>
      </c>
      <c r="C78" s="51" t="s">
        <v>173</v>
      </c>
      <c r="D78" s="51" t="s">
        <v>174</v>
      </c>
      <c r="E78" s="79">
        <v>120423562</v>
      </c>
      <c r="F78" s="52">
        <v>144014402</v>
      </c>
      <c r="G78" s="52">
        <v>0</v>
      </c>
      <c r="H78" s="52">
        <v>0</v>
      </c>
      <c r="I78" s="52">
        <v>0</v>
      </c>
      <c r="J78" s="52">
        <v>144014402</v>
      </c>
      <c r="K78" s="80">
        <v>23590840</v>
      </c>
      <c r="L78" s="80"/>
      <c r="M78" s="53" t="s">
        <v>172</v>
      </c>
      <c r="N78" s="51"/>
      <c r="O78" t="s">
        <v>173</v>
      </c>
      <c r="P78" t="s">
        <v>174</v>
      </c>
      <c r="Q78" t="b">
        <f t="shared" si="1"/>
        <v>1</v>
      </c>
    </row>
    <row r="79" spans="1:17">
      <c r="A79" s="51"/>
      <c r="B79" s="51" t="s">
        <v>171</v>
      </c>
      <c r="C79" s="51" t="s">
        <v>847</v>
      </c>
      <c r="D79" s="51" t="s">
        <v>848</v>
      </c>
      <c r="E79" s="79">
        <v>-104068596</v>
      </c>
      <c r="F79" s="52">
        <v>-111469829</v>
      </c>
      <c r="G79" s="52"/>
      <c r="H79" s="52"/>
      <c r="I79" s="52"/>
      <c r="J79" s="52">
        <v>-111469829</v>
      </c>
      <c r="K79" s="80">
        <v>-7401233</v>
      </c>
      <c r="L79" s="80"/>
      <c r="M79" s="53"/>
      <c r="N79" s="51"/>
      <c r="O79" t="s">
        <v>847</v>
      </c>
      <c r="P79" t="s">
        <v>848</v>
      </c>
      <c r="Q79" t="b">
        <f t="shared" si="1"/>
        <v>1</v>
      </c>
    </row>
    <row r="80" spans="1:17">
      <c r="A80" s="51"/>
      <c r="B80" s="51" t="s">
        <v>171</v>
      </c>
      <c r="C80" s="51" t="s">
        <v>175</v>
      </c>
      <c r="D80" s="51" t="s">
        <v>176</v>
      </c>
      <c r="E80" s="79">
        <v>455258699</v>
      </c>
      <c r="F80" s="52">
        <v>455258699</v>
      </c>
      <c r="G80" s="52">
        <v>0</v>
      </c>
      <c r="H80" s="52">
        <v>0</v>
      </c>
      <c r="I80" s="52">
        <v>0</v>
      </c>
      <c r="J80" s="52">
        <v>455258699</v>
      </c>
      <c r="K80" s="80">
        <v>0</v>
      </c>
      <c r="L80" s="80"/>
      <c r="M80" s="53" t="s">
        <v>172</v>
      </c>
      <c r="N80" s="51"/>
      <c r="O80" t="s">
        <v>175</v>
      </c>
      <c r="P80" t="s">
        <v>176</v>
      </c>
      <c r="Q80" t="b">
        <f t="shared" si="1"/>
        <v>1</v>
      </c>
    </row>
    <row r="81" spans="1:17">
      <c r="A81" s="51"/>
      <c r="B81" s="51" t="s">
        <v>171</v>
      </c>
      <c r="C81" s="51" t="s">
        <v>849</v>
      </c>
      <c r="D81" s="51" t="s">
        <v>850</v>
      </c>
      <c r="E81" s="79">
        <v>-339194260</v>
      </c>
      <c r="F81" s="52">
        <v>-410184180</v>
      </c>
      <c r="G81" s="52">
        <v>0</v>
      </c>
      <c r="H81" s="52">
        <v>0</v>
      </c>
      <c r="I81" s="52">
        <v>0</v>
      </c>
      <c r="J81" s="52">
        <v>-410184180</v>
      </c>
      <c r="K81" s="80">
        <v>-70989920</v>
      </c>
      <c r="L81" s="80"/>
      <c r="M81" s="53"/>
      <c r="N81" s="51"/>
      <c r="O81" t="s">
        <v>849</v>
      </c>
      <c r="P81" t="s">
        <v>850</v>
      </c>
      <c r="Q81" t="b">
        <f t="shared" si="1"/>
        <v>1</v>
      </c>
    </row>
    <row r="82" spans="1:17">
      <c r="A82" s="51"/>
      <c r="B82" s="51" t="s">
        <v>171</v>
      </c>
      <c r="C82" s="51" t="s">
        <v>177</v>
      </c>
      <c r="D82" s="51" t="s">
        <v>178</v>
      </c>
      <c r="E82" s="79">
        <v>172470000</v>
      </c>
      <c r="F82" s="52">
        <v>172470000</v>
      </c>
      <c r="G82" s="52">
        <v>0</v>
      </c>
      <c r="H82" s="52">
        <v>0</v>
      </c>
      <c r="I82" s="52">
        <v>0</v>
      </c>
      <c r="J82" s="52">
        <v>172470000</v>
      </c>
      <c r="K82" s="80">
        <v>0</v>
      </c>
      <c r="L82" s="80"/>
      <c r="M82" s="53" t="s">
        <v>172</v>
      </c>
      <c r="N82" s="51"/>
      <c r="O82" t="s">
        <v>177</v>
      </c>
      <c r="P82" t="s">
        <v>178</v>
      </c>
      <c r="Q82" t="b">
        <f t="shared" si="1"/>
        <v>1</v>
      </c>
    </row>
    <row r="83" spans="1:17">
      <c r="A83" s="51"/>
      <c r="B83" s="51" t="s">
        <v>171</v>
      </c>
      <c r="C83" s="51" t="s">
        <v>179</v>
      </c>
      <c r="D83" s="51" t="s">
        <v>180</v>
      </c>
      <c r="E83" s="79">
        <v>0</v>
      </c>
      <c r="F83" s="52">
        <v>0</v>
      </c>
      <c r="G83" s="52">
        <v>0</v>
      </c>
      <c r="H83" s="52">
        <v>0</v>
      </c>
      <c r="I83" s="52">
        <v>0</v>
      </c>
      <c r="J83" s="52">
        <v>0</v>
      </c>
      <c r="K83" s="80">
        <v>0</v>
      </c>
      <c r="L83" s="80"/>
      <c r="M83" s="53" t="s">
        <v>172</v>
      </c>
      <c r="N83" s="51"/>
      <c r="O83" t="s">
        <v>179</v>
      </c>
      <c r="P83" t="s">
        <v>180</v>
      </c>
      <c r="Q83" t="b">
        <f t="shared" si="1"/>
        <v>1</v>
      </c>
    </row>
    <row r="84" spans="1:17">
      <c r="A84" s="51"/>
      <c r="B84" s="51" t="s">
        <v>171</v>
      </c>
      <c r="C84" s="51" t="s">
        <v>181</v>
      </c>
      <c r="D84" s="51" t="s">
        <v>182</v>
      </c>
      <c r="E84" s="79">
        <v>0</v>
      </c>
      <c r="F84" s="52">
        <v>0</v>
      </c>
      <c r="G84" s="52">
        <v>0</v>
      </c>
      <c r="H84" s="52">
        <v>0</v>
      </c>
      <c r="I84" s="52">
        <v>0</v>
      </c>
      <c r="J84" s="52">
        <v>0</v>
      </c>
      <c r="K84" s="80">
        <v>0</v>
      </c>
      <c r="L84" s="80"/>
      <c r="M84" s="53" t="s">
        <v>172</v>
      </c>
      <c r="N84" s="51"/>
      <c r="O84" t="s">
        <v>181</v>
      </c>
      <c r="P84" t="s">
        <v>182</v>
      </c>
      <c r="Q84" t="b">
        <f t="shared" si="1"/>
        <v>1</v>
      </c>
    </row>
    <row r="85" spans="1:17">
      <c r="A85" s="51"/>
      <c r="B85" s="81" t="s">
        <v>184</v>
      </c>
      <c r="C85" s="81" t="s">
        <v>183</v>
      </c>
      <c r="D85" s="82" t="s">
        <v>65</v>
      </c>
      <c r="E85" s="79">
        <v>0</v>
      </c>
      <c r="F85" s="84">
        <v>0</v>
      </c>
      <c r="G85" s="84">
        <v>0</v>
      </c>
      <c r="H85" s="84">
        <v>0</v>
      </c>
      <c r="I85" s="84">
        <v>0</v>
      </c>
      <c r="J85" s="84">
        <v>0</v>
      </c>
      <c r="K85" s="84">
        <v>0</v>
      </c>
      <c r="L85" s="84"/>
      <c r="M85" s="53" t="s">
        <v>65</v>
      </c>
      <c r="N85" s="51"/>
      <c r="O85" t="s">
        <v>183</v>
      </c>
      <c r="P85" t="s">
        <v>65</v>
      </c>
      <c r="Q85" t="b">
        <f t="shared" si="1"/>
        <v>1</v>
      </c>
    </row>
    <row r="86" spans="1:17">
      <c r="A86" s="51"/>
      <c r="B86" s="74">
        <v>0</v>
      </c>
      <c r="C86" s="75" t="s">
        <v>15</v>
      </c>
      <c r="D86" s="75" t="s">
        <v>185</v>
      </c>
      <c r="E86" s="76">
        <v>130831360570</v>
      </c>
      <c r="F86" s="76">
        <v>713556418854</v>
      </c>
      <c r="G86" s="77"/>
      <c r="H86" s="77"/>
      <c r="I86" s="76"/>
      <c r="J86" s="76">
        <v>853440063781</v>
      </c>
      <c r="K86" s="76">
        <v>722608703211</v>
      </c>
      <c r="L86" s="78"/>
      <c r="M86" s="53" t="s">
        <v>66</v>
      </c>
      <c r="N86" s="51"/>
      <c r="O86" t="s">
        <v>15</v>
      </c>
      <c r="P86" t="s">
        <v>185</v>
      </c>
      <c r="Q86" t="b">
        <f t="shared" si="1"/>
        <v>1</v>
      </c>
    </row>
    <row r="87" spans="1:17">
      <c r="A87" s="51"/>
      <c r="B87" s="74">
        <v>0</v>
      </c>
      <c r="C87" s="75" t="s">
        <v>15</v>
      </c>
      <c r="D87" s="75" t="s">
        <v>186</v>
      </c>
      <c r="E87" s="76"/>
      <c r="F87" s="76">
        <v>0</v>
      </c>
      <c r="G87" s="77"/>
      <c r="H87" s="77"/>
      <c r="I87" s="77"/>
      <c r="J87" s="76"/>
      <c r="K87" s="78"/>
      <c r="L87" s="78"/>
      <c r="M87" s="53" t="s">
        <v>66</v>
      </c>
      <c r="N87" s="51"/>
      <c r="O87" t="s">
        <v>15</v>
      </c>
      <c r="P87" t="s">
        <v>186</v>
      </c>
      <c r="Q87" t="b">
        <f t="shared" si="1"/>
        <v>1</v>
      </c>
    </row>
    <row r="88" spans="1:17">
      <c r="A88" s="51"/>
      <c r="B88" s="74">
        <v>0</v>
      </c>
      <c r="C88" s="75" t="s">
        <v>15</v>
      </c>
      <c r="D88" s="75" t="s">
        <v>187</v>
      </c>
      <c r="E88" s="78">
        <v>16883199986</v>
      </c>
      <c r="F88" s="78">
        <v>184052799455</v>
      </c>
      <c r="G88" s="77"/>
      <c r="H88" s="77"/>
      <c r="I88" s="78"/>
      <c r="J88" s="78">
        <v>183912319615</v>
      </c>
      <c r="K88" s="78">
        <v>167029119629</v>
      </c>
      <c r="L88" s="78"/>
      <c r="M88" s="53" t="s">
        <v>66</v>
      </c>
      <c r="N88" s="51"/>
      <c r="O88" t="s">
        <v>15</v>
      </c>
      <c r="P88" t="s">
        <v>187</v>
      </c>
      <c r="Q88" t="b">
        <f t="shared" si="1"/>
        <v>1</v>
      </c>
    </row>
    <row r="89" spans="1:17">
      <c r="A89" s="51"/>
      <c r="B89" s="51" t="s">
        <v>190</v>
      </c>
      <c r="C89" s="51" t="s">
        <v>188</v>
      </c>
      <c r="D89" s="51" t="s">
        <v>189</v>
      </c>
      <c r="E89" s="79">
        <v>2315989588</v>
      </c>
      <c r="F89" s="52">
        <v>29810884706</v>
      </c>
      <c r="G89" s="52">
        <v>140479840</v>
      </c>
      <c r="H89" s="52">
        <v>0</v>
      </c>
      <c r="I89" s="52">
        <v>-140479840</v>
      </c>
      <c r="J89" s="52">
        <v>29670404866</v>
      </c>
      <c r="K89" s="80">
        <v>27354415278</v>
      </c>
      <c r="L89" s="80"/>
      <c r="M89" s="53" t="s">
        <v>191</v>
      </c>
      <c r="N89" s="51"/>
      <c r="O89" t="s">
        <v>188</v>
      </c>
      <c r="P89" t="s">
        <v>189</v>
      </c>
      <c r="Q89" t="b">
        <f t="shared" si="1"/>
        <v>1</v>
      </c>
    </row>
    <row r="90" spans="1:17">
      <c r="A90" s="51"/>
      <c r="B90" s="51" t="s">
        <v>190</v>
      </c>
      <c r="C90" s="51" t="s">
        <v>192</v>
      </c>
      <c r="D90" s="51" t="s">
        <v>193</v>
      </c>
      <c r="E90" s="79">
        <v>0</v>
      </c>
      <c r="F90" s="52">
        <v>0</v>
      </c>
      <c r="G90" s="52">
        <v>0</v>
      </c>
      <c r="H90" s="52">
        <v>0</v>
      </c>
      <c r="I90" s="52">
        <v>0</v>
      </c>
      <c r="J90" s="52">
        <v>0</v>
      </c>
      <c r="K90" s="80">
        <v>0</v>
      </c>
      <c r="L90" s="80"/>
      <c r="M90" s="53" t="s">
        <v>191</v>
      </c>
      <c r="N90" s="51"/>
      <c r="O90" t="s">
        <v>192</v>
      </c>
      <c r="P90" t="s">
        <v>193</v>
      </c>
      <c r="Q90" t="b">
        <f t="shared" si="1"/>
        <v>1</v>
      </c>
    </row>
    <row r="91" spans="1:17">
      <c r="A91" s="51"/>
      <c r="B91" s="51" t="s">
        <v>196</v>
      </c>
      <c r="C91" s="51" t="s">
        <v>194</v>
      </c>
      <c r="D91" s="51" t="s">
        <v>195</v>
      </c>
      <c r="E91" s="79">
        <v>818042447</v>
      </c>
      <c r="F91" s="52">
        <v>3067370458</v>
      </c>
      <c r="G91" s="52">
        <v>0</v>
      </c>
      <c r="H91" s="52">
        <v>0</v>
      </c>
      <c r="I91" s="52">
        <v>0</v>
      </c>
      <c r="J91" s="52">
        <v>3067370458</v>
      </c>
      <c r="K91" s="80">
        <v>2249328011</v>
      </c>
      <c r="L91" s="80"/>
      <c r="M91" s="53" t="s">
        <v>197</v>
      </c>
      <c r="N91" s="51"/>
      <c r="O91" t="s">
        <v>194</v>
      </c>
      <c r="P91" t="s">
        <v>195</v>
      </c>
      <c r="Q91" t="b">
        <f t="shared" si="1"/>
        <v>1</v>
      </c>
    </row>
    <row r="92" spans="1:17">
      <c r="A92" s="51"/>
      <c r="B92" s="51" t="s">
        <v>196</v>
      </c>
      <c r="C92" s="51" t="s">
        <v>198</v>
      </c>
      <c r="D92" s="51" t="s">
        <v>199</v>
      </c>
      <c r="E92" s="79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80">
        <v>0</v>
      </c>
      <c r="L92" s="80"/>
      <c r="M92" s="53" t="s">
        <v>197</v>
      </c>
      <c r="N92" s="51"/>
      <c r="O92" t="s">
        <v>198</v>
      </c>
      <c r="P92" t="s">
        <v>199</v>
      </c>
      <c r="Q92" t="b">
        <f t="shared" si="1"/>
        <v>1</v>
      </c>
    </row>
    <row r="93" spans="1:17">
      <c r="A93" s="51"/>
      <c r="B93" s="51" t="s">
        <v>202</v>
      </c>
      <c r="C93" s="51" t="s">
        <v>200</v>
      </c>
      <c r="D93" s="51" t="s">
        <v>201</v>
      </c>
      <c r="E93" s="79">
        <v>92240620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80">
        <v>-92240620</v>
      </c>
      <c r="L93" s="80"/>
      <c r="M93" s="53" t="s">
        <v>203</v>
      </c>
      <c r="N93" s="51"/>
      <c r="O93" t="s">
        <v>200</v>
      </c>
      <c r="P93" t="s">
        <v>201</v>
      </c>
      <c r="Q93" t="b">
        <f t="shared" si="1"/>
        <v>1</v>
      </c>
    </row>
    <row r="94" spans="1:17">
      <c r="A94" s="51"/>
      <c r="B94" s="51"/>
      <c r="C94" s="51" t="s">
        <v>954</v>
      </c>
      <c r="D94" s="51" t="s">
        <v>955</v>
      </c>
      <c r="E94" s="79"/>
      <c r="F94" s="52">
        <v>8095212856</v>
      </c>
      <c r="G94" s="52">
        <v>0</v>
      </c>
      <c r="H94" s="52">
        <v>0</v>
      </c>
      <c r="I94" s="52">
        <v>0</v>
      </c>
      <c r="J94" s="52">
        <v>8095212856</v>
      </c>
      <c r="K94" s="80">
        <v>8095212856</v>
      </c>
      <c r="L94" s="80"/>
      <c r="M94" s="53"/>
      <c r="N94" s="51"/>
      <c r="O94" t="s">
        <v>954</v>
      </c>
      <c r="P94" t="s">
        <v>955</v>
      </c>
      <c r="Q94" t="b">
        <f t="shared" si="1"/>
        <v>1</v>
      </c>
    </row>
    <row r="95" spans="1:17">
      <c r="A95" s="51"/>
      <c r="B95" s="51" t="s">
        <v>196</v>
      </c>
      <c r="C95" s="51" t="s">
        <v>851</v>
      </c>
      <c r="D95" s="51" t="s">
        <v>852</v>
      </c>
      <c r="E95" s="79">
        <v>5756000</v>
      </c>
      <c r="F95" s="52">
        <v>2159272</v>
      </c>
      <c r="G95" s="52">
        <v>0</v>
      </c>
      <c r="H95" s="52">
        <v>0</v>
      </c>
      <c r="I95" s="52">
        <v>0</v>
      </c>
      <c r="J95" s="52">
        <v>2159272</v>
      </c>
      <c r="K95" s="80">
        <v>-3596728</v>
      </c>
      <c r="L95" s="80"/>
      <c r="M95" s="53"/>
      <c r="N95" s="51"/>
      <c r="O95" t="s">
        <v>851</v>
      </c>
      <c r="P95" t="s">
        <v>852</v>
      </c>
      <c r="Q95" t="b">
        <f t="shared" si="1"/>
        <v>1</v>
      </c>
    </row>
    <row r="96" spans="1:17">
      <c r="A96" s="51"/>
      <c r="B96" s="51"/>
      <c r="C96" s="51" t="s">
        <v>956</v>
      </c>
      <c r="D96" s="51" t="s">
        <v>957</v>
      </c>
      <c r="E96" s="79"/>
      <c r="F96" s="52">
        <v>420000000</v>
      </c>
      <c r="G96" s="52">
        <v>0</v>
      </c>
      <c r="H96" s="52">
        <v>0</v>
      </c>
      <c r="I96" s="52">
        <v>0</v>
      </c>
      <c r="J96" s="52">
        <v>420000000</v>
      </c>
      <c r="K96" s="80">
        <v>420000000</v>
      </c>
      <c r="L96" s="80"/>
      <c r="M96" s="53"/>
      <c r="N96" s="51"/>
      <c r="O96" t="s">
        <v>956</v>
      </c>
      <c r="P96" t="s">
        <v>957</v>
      </c>
      <c r="Q96" t="b">
        <f t="shared" si="1"/>
        <v>1</v>
      </c>
    </row>
    <row r="97" spans="1:17">
      <c r="A97" s="51"/>
      <c r="B97" s="51" t="s">
        <v>202</v>
      </c>
      <c r="C97" s="51" t="s">
        <v>204</v>
      </c>
      <c r="D97" s="51" t="s">
        <v>205</v>
      </c>
      <c r="E97" s="79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80">
        <v>0</v>
      </c>
      <c r="L97" s="80"/>
      <c r="M97" s="53" t="s">
        <v>203</v>
      </c>
      <c r="N97" s="51"/>
      <c r="O97" t="s">
        <v>204</v>
      </c>
      <c r="P97" t="s">
        <v>205</v>
      </c>
      <c r="Q97" t="b">
        <f t="shared" si="1"/>
        <v>1</v>
      </c>
    </row>
    <row r="98" spans="1:17">
      <c r="A98" s="51"/>
      <c r="B98" s="51" t="s">
        <v>202</v>
      </c>
      <c r="C98" s="51" t="s">
        <v>853</v>
      </c>
      <c r="D98" s="51" t="s">
        <v>854</v>
      </c>
      <c r="E98" s="79">
        <v>0</v>
      </c>
      <c r="F98" s="52">
        <v>0</v>
      </c>
      <c r="G98" s="52">
        <v>0</v>
      </c>
      <c r="H98" s="52">
        <v>0</v>
      </c>
      <c r="I98" s="52">
        <v>0</v>
      </c>
      <c r="J98" s="52">
        <v>0</v>
      </c>
      <c r="K98" s="80">
        <v>0</v>
      </c>
      <c r="L98" s="80"/>
      <c r="M98" s="53"/>
      <c r="N98" s="51"/>
      <c r="O98" t="s">
        <v>853</v>
      </c>
      <c r="P98" t="s">
        <v>854</v>
      </c>
      <c r="Q98" t="b">
        <f t="shared" si="1"/>
        <v>1</v>
      </c>
    </row>
    <row r="99" spans="1:17">
      <c r="A99" s="51"/>
      <c r="B99" s="51" t="s">
        <v>208</v>
      </c>
      <c r="C99" s="51" t="s">
        <v>206</v>
      </c>
      <c r="D99" s="51" t="s">
        <v>207</v>
      </c>
      <c r="E99" s="79">
        <v>284270337</v>
      </c>
      <c r="F99" s="52">
        <v>575376334</v>
      </c>
      <c r="G99" s="52">
        <v>0</v>
      </c>
      <c r="H99" s="52">
        <v>0</v>
      </c>
      <c r="I99" s="52">
        <v>0</v>
      </c>
      <c r="J99" s="52">
        <v>575376334</v>
      </c>
      <c r="K99" s="80">
        <v>291105997</v>
      </c>
      <c r="L99" s="80"/>
      <c r="M99" s="53" t="s">
        <v>207</v>
      </c>
      <c r="N99" s="51"/>
      <c r="O99" t="s">
        <v>206</v>
      </c>
      <c r="P99" t="s">
        <v>207</v>
      </c>
      <c r="Q99" t="b">
        <f t="shared" si="1"/>
        <v>1</v>
      </c>
    </row>
    <row r="100" spans="1:17">
      <c r="A100" s="51"/>
      <c r="B100" s="51" t="s">
        <v>211</v>
      </c>
      <c r="C100" s="51" t="s">
        <v>209</v>
      </c>
      <c r="D100" s="51" t="s">
        <v>210</v>
      </c>
      <c r="E100" s="79">
        <v>12000000000</v>
      </c>
      <c r="F100" s="52">
        <v>0</v>
      </c>
      <c r="G100" s="52">
        <v>0</v>
      </c>
      <c r="H100" s="52">
        <v>0</v>
      </c>
      <c r="I100" s="52">
        <v>0</v>
      </c>
      <c r="J100" s="52">
        <v>0</v>
      </c>
      <c r="K100" s="80">
        <v>-12000000000</v>
      </c>
      <c r="L100" s="80"/>
      <c r="M100" s="53" t="s">
        <v>212</v>
      </c>
      <c r="N100" s="51"/>
      <c r="O100" t="s">
        <v>209</v>
      </c>
      <c r="P100" t="s">
        <v>210</v>
      </c>
      <c r="Q100" t="b">
        <f t="shared" si="1"/>
        <v>1</v>
      </c>
    </row>
    <row r="101" spans="1:17">
      <c r="A101" s="51"/>
      <c r="B101" s="51" t="s">
        <v>215</v>
      </c>
      <c r="C101" s="51" t="s">
        <v>213</v>
      </c>
      <c r="D101" s="51" t="s">
        <v>214</v>
      </c>
      <c r="E101" s="79">
        <v>964956210</v>
      </c>
      <c r="F101" s="52">
        <v>139102800790</v>
      </c>
      <c r="G101" s="52">
        <v>0</v>
      </c>
      <c r="H101" s="52">
        <v>0</v>
      </c>
      <c r="I101" s="52">
        <v>0</v>
      </c>
      <c r="J101" s="52">
        <v>139102800790</v>
      </c>
      <c r="K101" s="80">
        <v>138137844580</v>
      </c>
      <c r="L101" s="80"/>
      <c r="M101" s="53" t="s">
        <v>216</v>
      </c>
      <c r="N101" s="51"/>
      <c r="O101" t="s">
        <v>213</v>
      </c>
      <c r="P101" t="s">
        <v>214</v>
      </c>
      <c r="Q101" t="b">
        <f t="shared" si="1"/>
        <v>1</v>
      </c>
    </row>
    <row r="102" spans="1:17">
      <c r="A102" s="51"/>
      <c r="B102" s="51" t="s">
        <v>202</v>
      </c>
      <c r="C102" s="51" t="s">
        <v>217</v>
      </c>
      <c r="D102" s="51" t="s">
        <v>218</v>
      </c>
      <c r="E102" s="79">
        <v>177318330</v>
      </c>
      <c r="F102" s="52">
        <v>2589237419</v>
      </c>
      <c r="G102" s="52">
        <v>0</v>
      </c>
      <c r="H102" s="52">
        <v>0</v>
      </c>
      <c r="I102" s="52">
        <v>0</v>
      </c>
      <c r="J102" s="52">
        <v>2589237419</v>
      </c>
      <c r="K102" s="80">
        <v>2411919089</v>
      </c>
      <c r="L102" s="80"/>
      <c r="M102" s="53" t="s">
        <v>203</v>
      </c>
      <c r="N102" s="51"/>
      <c r="O102" t="s">
        <v>217</v>
      </c>
      <c r="P102" t="s">
        <v>218</v>
      </c>
      <c r="Q102" t="b">
        <f t="shared" si="1"/>
        <v>1</v>
      </c>
    </row>
    <row r="103" spans="1:17">
      <c r="A103" s="51"/>
      <c r="B103" s="51" t="s">
        <v>211</v>
      </c>
      <c r="C103" s="51" t="s">
        <v>219</v>
      </c>
      <c r="D103" s="51" t="s">
        <v>220</v>
      </c>
      <c r="E103" s="79">
        <v>0</v>
      </c>
      <c r="F103" s="52">
        <v>0</v>
      </c>
      <c r="G103" s="52">
        <v>0</v>
      </c>
      <c r="H103" s="52">
        <v>0</v>
      </c>
      <c r="I103" s="52">
        <v>0</v>
      </c>
      <c r="J103" s="52">
        <v>0</v>
      </c>
      <c r="K103" s="80">
        <v>0</v>
      </c>
      <c r="L103" s="80"/>
      <c r="M103" s="53" t="s">
        <v>212</v>
      </c>
      <c r="N103" s="51"/>
      <c r="O103" t="s">
        <v>219</v>
      </c>
      <c r="P103" t="s">
        <v>220</v>
      </c>
      <c r="Q103" t="b">
        <f t="shared" si="1"/>
        <v>1</v>
      </c>
    </row>
    <row r="104" spans="1:17">
      <c r="A104" s="51"/>
      <c r="B104" s="51" t="s">
        <v>202</v>
      </c>
      <c r="C104" s="51" t="s">
        <v>221</v>
      </c>
      <c r="D104" s="51" t="s">
        <v>222</v>
      </c>
      <c r="E104" s="79">
        <v>182945958</v>
      </c>
      <c r="F104" s="52">
        <v>251936857</v>
      </c>
      <c r="G104" s="52">
        <v>0</v>
      </c>
      <c r="H104" s="52">
        <v>0</v>
      </c>
      <c r="I104" s="52">
        <v>0</v>
      </c>
      <c r="J104" s="52">
        <v>251936857</v>
      </c>
      <c r="K104" s="80">
        <v>68990899</v>
      </c>
      <c r="L104" s="80"/>
      <c r="M104" s="53" t="s">
        <v>203</v>
      </c>
      <c r="N104" s="51"/>
      <c r="O104" t="s">
        <v>221</v>
      </c>
      <c r="P104" t="s">
        <v>222</v>
      </c>
      <c r="Q104" t="b">
        <f t="shared" si="1"/>
        <v>1</v>
      </c>
    </row>
    <row r="105" spans="1:17">
      <c r="A105" s="51"/>
      <c r="B105" s="51" t="s">
        <v>225</v>
      </c>
      <c r="C105" s="51" t="s">
        <v>223</v>
      </c>
      <c r="D105" s="51" t="s">
        <v>224</v>
      </c>
      <c r="E105" s="79">
        <v>43536000</v>
      </c>
      <c r="F105" s="52">
        <v>152695680</v>
      </c>
      <c r="G105" s="52">
        <v>0</v>
      </c>
      <c r="H105" s="52">
        <v>0</v>
      </c>
      <c r="I105" s="52">
        <v>0</v>
      </c>
      <c r="J105" s="52">
        <v>152695680</v>
      </c>
      <c r="K105" s="80">
        <v>109159680</v>
      </c>
      <c r="L105" s="80"/>
      <c r="M105" s="53" t="s">
        <v>224</v>
      </c>
      <c r="N105" s="51"/>
      <c r="O105" t="s">
        <v>223</v>
      </c>
      <c r="P105" t="s">
        <v>224</v>
      </c>
      <c r="Q105" t="b">
        <f t="shared" si="1"/>
        <v>1</v>
      </c>
    </row>
    <row r="106" spans="1:17">
      <c r="A106" s="51"/>
      <c r="B106" s="51" t="s">
        <v>225</v>
      </c>
      <c r="C106" s="51" t="s">
        <v>226</v>
      </c>
      <c r="D106" s="51" t="s">
        <v>227</v>
      </c>
      <c r="E106" s="79">
        <v>-1855504</v>
      </c>
      <c r="F106" s="52">
        <v>-14874917</v>
      </c>
      <c r="G106" s="52">
        <v>0</v>
      </c>
      <c r="H106" s="52">
        <v>0</v>
      </c>
      <c r="I106" s="52">
        <v>0</v>
      </c>
      <c r="J106" s="52">
        <v>-14874917</v>
      </c>
      <c r="K106" s="80">
        <v>-13019413</v>
      </c>
      <c r="L106" s="80"/>
      <c r="M106" s="53" t="s">
        <v>224</v>
      </c>
      <c r="N106" s="51"/>
      <c r="O106" t="s">
        <v>226</v>
      </c>
      <c r="P106" t="s">
        <v>227</v>
      </c>
      <c r="Q106" t="b">
        <f t="shared" si="1"/>
        <v>1</v>
      </c>
    </row>
    <row r="107" spans="1:17">
      <c r="A107" s="51"/>
      <c r="B107" s="51" t="s">
        <v>196</v>
      </c>
      <c r="C107" s="51" t="s">
        <v>508</v>
      </c>
      <c r="D107" s="51" t="s">
        <v>509</v>
      </c>
      <c r="E107" s="79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80">
        <v>0</v>
      </c>
      <c r="L107" s="80"/>
      <c r="M107" s="53" t="s">
        <v>197</v>
      </c>
      <c r="N107" s="51"/>
      <c r="O107" t="s">
        <v>508</v>
      </c>
      <c r="P107" t="s">
        <v>509</v>
      </c>
      <c r="Q107" t="b">
        <f t="shared" si="1"/>
        <v>1</v>
      </c>
    </row>
    <row r="108" spans="1:17">
      <c r="A108" s="51"/>
      <c r="B108" s="86">
        <v>0</v>
      </c>
      <c r="C108" s="87" t="s">
        <v>15</v>
      </c>
      <c r="D108" s="87" t="s">
        <v>228</v>
      </c>
      <c r="E108" s="88">
        <v>3385810398</v>
      </c>
      <c r="F108" s="88">
        <v>3520748500</v>
      </c>
      <c r="G108" s="89"/>
      <c r="H108" s="89"/>
      <c r="I108" s="89"/>
      <c r="J108" s="88">
        <v>30997250984</v>
      </c>
      <c r="K108" s="88">
        <v>27611440586</v>
      </c>
      <c r="L108" s="90"/>
      <c r="M108" s="53" t="s">
        <v>66</v>
      </c>
      <c r="N108" s="51"/>
      <c r="O108" t="s">
        <v>15</v>
      </c>
      <c r="P108" t="s">
        <v>228</v>
      </c>
      <c r="Q108" t="b">
        <f t="shared" si="1"/>
        <v>1</v>
      </c>
    </row>
    <row r="109" spans="1:17">
      <c r="A109" s="51"/>
      <c r="B109" s="51" t="s">
        <v>231</v>
      </c>
      <c r="C109" s="51" t="s">
        <v>229</v>
      </c>
      <c r="D109" s="51" t="s">
        <v>230</v>
      </c>
      <c r="E109" s="79">
        <v>0</v>
      </c>
      <c r="F109" s="52">
        <v>0</v>
      </c>
      <c r="G109" s="52">
        <v>0</v>
      </c>
      <c r="H109" s="52">
        <v>0</v>
      </c>
      <c r="I109" s="52">
        <v>0</v>
      </c>
      <c r="J109" s="52">
        <v>0</v>
      </c>
      <c r="K109" s="52">
        <v>0</v>
      </c>
      <c r="L109" s="52">
        <v>0</v>
      </c>
      <c r="M109" s="52">
        <v>0</v>
      </c>
      <c r="N109" s="52">
        <v>0</v>
      </c>
      <c r="O109" t="s">
        <v>229</v>
      </c>
      <c r="P109" t="s">
        <v>230</v>
      </c>
      <c r="Q109" t="b">
        <f t="shared" si="1"/>
        <v>1</v>
      </c>
    </row>
    <row r="110" spans="1:17">
      <c r="A110" s="51"/>
      <c r="B110" s="51" t="s">
        <v>235</v>
      </c>
      <c r="C110" s="51" t="s">
        <v>233</v>
      </c>
      <c r="D110" s="51" t="s">
        <v>234</v>
      </c>
      <c r="E110" s="79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80">
        <v>0</v>
      </c>
      <c r="L110" s="80"/>
      <c r="M110" s="53" t="s">
        <v>236</v>
      </c>
      <c r="N110" s="51"/>
      <c r="O110" t="s">
        <v>233</v>
      </c>
      <c r="P110" t="s">
        <v>234</v>
      </c>
      <c r="Q110" t="b">
        <f t="shared" si="1"/>
        <v>1</v>
      </c>
    </row>
    <row r="111" spans="1:17">
      <c r="A111" s="51"/>
      <c r="B111" s="51" t="s">
        <v>239</v>
      </c>
      <c r="C111" s="51" t="s">
        <v>237</v>
      </c>
      <c r="D111" s="51" t="s">
        <v>238</v>
      </c>
      <c r="E111" s="79">
        <v>5000000</v>
      </c>
      <c r="F111" s="52">
        <v>0</v>
      </c>
      <c r="G111" s="52">
        <v>0</v>
      </c>
      <c r="H111" s="52">
        <v>0</v>
      </c>
      <c r="I111" s="52">
        <v>0</v>
      </c>
      <c r="J111" s="52">
        <v>0</v>
      </c>
      <c r="K111" s="80">
        <v>-5000000</v>
      </c>
      <c r="L111" s="80"/>
      <c r="M111" s="53" t="s">
        <v>240</v>
      </c>
      <c r="N111" s="51"/>
      <c r="O111" t="s">
        <v>237</v>
      </c>
      <c r="P111" t="s">
        <v>238</v>
      </c>
      <c r="Q111" t="b">
        <f t="shared" si="1"/>
        <v>1</v>
      </c>
    </row>
    <row r="112" spans="1:17">
      <c r="A112" s="51"/>
      <c r="B112" s="51" t="s">
        <v>512</v>
      </c>
      <c r="C112" s="51" t="s">
        <v>510</v>
      </c>
      <c r="D112" s="51" t="s">
        <v>511</v>
      </c>
      <c r="E112" s="79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80">
        <v>0</v>
      </c>
      <c r="L112" s="80"/>
      <c r="M112" s="53" t="s">
        <v>513</v>
      </c>
      <c r="N112" s="51"/>
      <c r="O112" t="s">
        <v>510</v>
      </c>
      <c r="P112" t="s">
        <v>511</v>
      </c>
      <c r="Q112" t="b">
        <f t="shared" si="1"/>
        <v>1</v>
      </c>
    </row>
    <row r="113" spans="1:17">
      <c r="A113" s="51"/>
      <c r="B113" s="51" t="s">
        <v>239</v>
      </c>
      <c r="C113" s="51" t="s">
        <v>241</v>
      </c>
      <c r="D113" s="51" t="s">
        <v>242</v>
      </c>
      <c r="E113" s="79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80">
        <v>0</v>
      </c>
      <c r="L113" s="80"/>
      <c r="M113" s="53" t="s">
        <v>240</v>
      </c>
      <c r="N113" s="51"/>
      <c r="O113" t="s">
        <v>241</v>
      </c>
      <c r="P113" t="s">
        <v>242</v>
      </c>
      <c r="Q113" t="b">
        <f t="shared" si="1"/>
        <v>1</v>
      </c>
    </row>
    <row r="114" spans="1:17">
      <c r="A114" s="51"/>
      <c r="B114" s="51" t="s">
        <v>245</v>
      </c>
      <c r="C114" s="51" t="s">
        <v>243</v>
      </c>
      <c r="D114" s="51" t="s">
        <v>244</v>
      </c>
      <c r="E114" s="79">
        <v>25303266</v>
      </c>
      <c r="F114" s="52">
        <v>31747682</v>
      </c>
      <c r="G114" s="52">
        <v>0</v>
      </c>
      <c r="H114" s="52">
        <v>0</v>
      </c>
      <c r="I114" s="52">
        <v>0</v>
      </c>
      <c r="J114" s="52">
        <v>31747682</v>
      </c>
      <c r="K114" s="80">
        <v>6444416</v>
      </c>
      <c r="L114" s="80"/>
      <c r="M114" s="53" t="s">
        <v>246</v>
      </c>
      <c r="N114" s="51"/>
      <c r="O114" t="s">
        <v>243</v>
      </c>
      <c r="P114" t="s">
        <v>244</v>
      </c>
      <c r="Q114" t="b">
        <f t="shared" si="1"/>
        <v>1</v>
      </c>
    </row>
    <row r="115" spans="1:17">
      <c r="A115" s="51"/>
      <c r="B115" s="51" t="s">
        <v>249</v>
      </c>
      <c r="C115" s="51" t="s">
        <v>247</v>
      </c>
      <c r="D115" s="51" t="s">
        <v>248</v>
      </c>
      <c r="E115" s="79">
        <v>50916000</v>
      </c>
      <c r="F115" s="52">
        <v>213917520</v>
      </c>
      <c r="G115" s="52">
        <v>0</v>
      </c>
      <c r="H115" s="52">
        <v>0</v>
      </c>
      <c r="I115" s="52">
        <v>0</v>
      </c>
      <c r="J115" s="52">
        <v>213917520</v>
      </c>
      <c r="K115" s="80">
        <v>163001520</v>
      </c>
      <c r="L115" s="80"/>
      <c r="M115" s="53" t="s">
        <v>248</v>
      </c>
      <c r="N115" s="51"/>
      <c r="O115" t="s">
        <v>247</v>
      </c>
      <c r="P115" t="s">
        <v>248</v>
      </c>
      <c r="Q115" t="b">
        <f t="shared" si="1"/>
        <v>1</v>
      </c>
    </row>
    <row r="116" spans="1:17">
      <c r="A116" s="51"/>
      <c r="B116" s="51" t="s">
        <v>249</v>
      </c>
      <c r="C116" s="51" t="s">
        <v>250</v>
      </c>
      <c r="D116" s="51" t="s">
        <v>251</v>
      </c>
      <c r="E116" s="79">
        <v>-1340414</v>
      </c>
      <c r="F116" s="52">
        <v>-7302942</v>
      </c>
      <c r="G116" s="52">
        <v>0</v>
      </c>
      <c r="H116" s="52">
        <v>0</v>
      </c>
      <c r="I116" s="52">
        <v>0</v>
      </c>
      <c r="J116" s="52">
        <v>-7302942</v>
      </c>
      <c r="K116" s="80">
        <v>-5962528</v>
      </c>
      <c r="L116" s="80"/>
      <c r="M116" s="53" t="s">
        <v>248</v>
      </c>
      <c r="N116" s="51"/>
      <c r="O116" t="s">
        <v>250</v>
      </c>
      <c r="P116" t="s">
        <v>251</v>
      </c>
      <c r="Q116" t="b">
        <f t="shared" si="1"/>
        <v>1</v>
      </c>
    </row>
    <row r="117" spans="1:17">
      <c r="A117" s="51"/>
      <c r="B117" s="51" t="s">
        <v>905</v>
      </c>
      <c r="C117" s="51" t="s">
        <v>906</v>
      </c>
      <c r="D117" s="51" t="s">
        <v>908</v>
      </c>
      <c r="E117" s="79">
        <v>3305931546</v>
      </c>
      <c r="F117" s="52">
        <v>3282386240</v>
      </c>
      <c r="G117" s="52">
        <v>-82736044</v>
      </c>
      <c r="H117" s="52">
        <v>27393766440</v>
      </c>
      <c r="I117" s="52">
        <v>27476502484</v>
      </c>
      <c r="J117" s="52">
        <v>30758888724</v>
      </c>
      <c r="K117" s="80">
        <v>27452957178</v>
      </c>
      <c r="L117" s="80"/>
      <c r="M117" s="53"/>
      <c r="N117" s="51"/>
      <c r="O117" t="s">
        <v>906</v>
      </c>
      <c r="P117" t="s">
        <v>908</v>
      </c>
      <c r="Q117" t="b">
        <f t="shared" si="1"/>
        <v>1</v>
      </c>
    </row>
    <row r="118" spans="1:17">
      <c r="A118" s="51"/>
      <c r="B118" s="86">
        <v>0</v>
      </c>
      <c r="C118" s="87" t="s">
        <v>15</v>
      </c>
      <c r="D118" s="87" t="s">
        <v>252</v>
      </c>
      <c r="E118" s="90">
        <v>20269010384</v>
      </c>
      <c r="F118" s="90">
        <v>187573547955</v>
      </c>
      <c r="G118" s="89"/>
      <c r="H118" s="89"/>
      <c r="I118" s="89"/>
      <c r="J118" s="90">
        <v>214909570599</v>
      </c>
      <c r="K118" s="90">
        <v>194640560215</v>
      </c>
      <c r="L118" s="90"/>
      <c r="M118" s="53" t="s">
        <v>66</v>
      </c>
      <c r="N118" s="51"/>
      <c r="O118" t="s">
        <v>15</v>
      </c>
      <c r="P118" t="s">
        <v>252</v>
      </c>
      <c r="Q118" t="b">
        <f t="shared" si="1"/>
        <v>1</v>
      </c>
    </row>
    <row r="119" spans="1:17">
      <c r="A119" s="51"/>
      <c r="B119" s="86">
        <v>0</v>
      </c>
      <c r="C119" s="87" t="s">
        <v>15</v>
      </c>
      <c r="D119" s="87" t="s">
        <v>253</v>
      </c>
      <c r="E119" s="91"/>
      <c r="F119" s="91"/>
      <c r="G119" s="89"/>
      <c r="H119" s="89"/>
      <c r="I119" s="89"/>
      <c r="J119" s="91"/>
      <c r="K119" s="90"/>
      <c r="L119" s="90"/>
      <c r="M119" s="53" t="s">
        <v>66</v>
      </c>
      <c r="N119" s="51"/>
      <c r="O119" t="s">
        <v>15</v>
      </c>
      <c r="P119" t="s">
        <v>253</v>
      </c>
      <c r="Q119" t="b">
        <f t="shared" si="1"/>
        <v>1</v>
      </c>
    </row>
    <row r="120" spans="1:17">
      <c r="A120" s="51"/>
      <c r="B120" s="86">
        <v>0</v>
      </c>
      <c r="C120" s="92" t="s">
        <v>15</v>
      </c>
      <c r="D120" s="87" t="s">
        <v>254</v>
      </c>
      <c r="E120" s="90">
        <v>110562350186</v>
      </c>
      <c r="F120" s="90">
        <v>525982870899</v>
      </c>
      <c r="G120" s="89"/>
      <c r="H120" s="89"/>
      <c r="I120" s="89"/>
      <c r="J120" s="90">
        <v>638530493182</v>
      </c>
      <c r="K120" s="90">
        <v>527968142996</v>
      </c>
      <c r="L120" s="90"/>
      <c r="M120" s="53" t="s">
        <v>66</v>
      </c>
      <c r="N120" s="51"/>
      <c r="O120" t="s">
        <v>15</v>
      </c>
      <c r="P120" t="s">
        <v>254</v>
      </c>
      <c r="Q120" t="b">
        <f t="shared" si="1"/>
        <v>1</v>
      </c>
    </row>
    <row r="121" spans="1:17">
      <c r="A121" s="51"/>
      <c r="B121" s="74">
        <v>0</v>
      </c>
      <c r="C121" s="74">
        <v>0</v>
      </c>
      <c r="D121" s="75" t="s">
        <v>255</v>
      </c>
      <c r="E121" s="78">
        <v>2923626500</v>
      </c>
      <c r="F121" s="78">
        <v>2929525130</v>
      </c>
      <c r="G121" s="77"/>
      <c r="H121" s="77"/>
      <c r="I121" s="77"/>
      <c r="J121" s="78">
        <v>2923626500</v>
      </c>
      <c r="K121" s="78">
        <v>0</v>
      </c>
      <c r="L121" s="78"/>
      <c r="M121" s="53" t="s">
        <v>66</v>
      </c>
      <c r="N121" s="51"/>
      <c r="O121">
        <v>0</v>
      </c>
      <c r="P121" t="s">
        <v>255</v>
      </c>
      <c r="Q121" t="b">
        <f t="shared" si="1"/>
        <v>1</v>
      </c>
    </row>
    <row r="122" spans="1:17">
      <c r="A122" s="51"/>
      <c r="B122" s="51" t="s">
        <v>258</v>
      </c>
      <c r="C122" s="51" t="s">
        <v>256</v>
      </c>
      <c r="D122" s="51" t="s">
        <v>257</v>
      </c>
      <c r="E122" s="79">
        <v>2923626500</v>
      </c>
      <c r="F122" s="52">
        <v>2929525130</v>
      </c>
      <c r="G122" s="52">
        <v>5898630</v>
      </c>
      <c r="H122" s="52">
        <v>0</v>
      </c>
      <c r="I122" s="52">
        <v>-5898630</v>
      </c>
      <c r="J122" s="52">
        <v>2923626500</v>
      </c>
      <c r="K122" s="80">
        <v>0</v>
      </c>
      <c r="L122" s="80"/>
      <c r="M122" s="53" t="s">
        <v>259</v>
      </c>
      <c r="N122" s="93">
        <v>5184791500</v>
      </c>
      <c r="O122" t="s">
        <v>256</v>
      </c>
      <c r="P122" t="s">
        <v>257</v>
      </c>
      <c r="Q122" t="b">
        <f t="shared" si="1"/>
        <v>1</v>
      </c>
    </row>
    <row r="123" spans="1:17">
      <c r="A123" s="51"/>
      <c r="B123" s="74">
        <v>0</v>
      </c>
      <c r="C123" s="74">
        <v>0</v>
      </c>
      <c r="D123" s="75" t="s">
        <v>260</v>
      </c>
      <c r="E123" s="78">
        <v>55731835040</v>
      </c>
      <c r="F123" s="78">
        <v>57451762423</v>
      </c>
      <c r="G123" s="77"/>
      <c r="H123" s="77"/>
      <c r="I123" s="77"/>
      <c r="J123" s="78">
        <v>55731835040</v>
      </c>
      <c r="K123" s="78">
        <v>0</v>
      </c>
      <c r="L123" s="78"/>
      <c r="M123" s="53" t="s">
        <v>66</v>
      </c>
      <c r="N123" s="51"/>
      <c r="O123">
        <v>0</v>
      </c>
      <c r="P123" t="s">
        <v>260</v>
      </c>
      <c r="Q123" t="b">
        <f t="shared" si="1"/>
        <v>1</v>
      </c>
    </row>
    <row r="124" spans="1:17">
      <c r="A124" s="51"/>
      <c r="B124" s="51" t="s">
        <v>263</v>
      </c>
      <c r="C124" s="51" t="s">
        <v>261</v>
      </c>
      <c r="D124" s="51" t="s">
        <v>262</v>
      </c>
      <c r="E124" s="79">
        <v>55731835040</v>
      </c>
      <c r="F124" s="52">
        <v>57451762423</v>
      </c>
      <c r="G124" s="52">
        <v>1719927383</v>
      </c>
      <c r="H124" s="52">
        <v>0</v>
      </c>
      <c r="I124" s="52">
        <v>-1719927383</v>
      </c>
      <c r="J124" s="52">
        <v>55731835040</v>
      </c>
      <c r="K124" s="80">
        <v>0</v>
      </c>
      <c r="L124" s="80"/>
      <c r="M124" s="53" t="s">
        <v>264</v>
      </c>
      <c r="N124" s="51"/>
      <c r="O124" t="s">
        <v>261</v>
      </c>
      <c r="P124" t="s">
        <v>262</v>
      </c>
      <c r="Q124" t="b">
        <f t="shared" si="1"/>
        <v>1</v>
      </c>
    </row>
    <row r="125" spans="1:17">
      <c r="A125" s="51"/>
      <c r="B125" s="51" t="s">
        <v>263</v>
      </c>
      <c r="C125" s="51" t="s">
        <v>265</v>
      </c>
      <c r="D125" s="51" t="s">
        <v>266</v>
      </c>
      <c r="E125" s="79">
        <v>0</v>
      </c>
      <c r="F125" s="52">
        <v>0</v>
      </c>
      <c r="G125" s="52">
        <v>0</v>
      </c>
      <c r="H125" s="52">
        <v>0</v>
      </c>
      <c r="I125" s="52">
        <v>0</v>
      </c>
      <c r="J125" s="52">
        <v>0</v>
      </c>
      <c r="K125" s="80">
        <v>0</v>
      </c>
      <c r="L125" s="80"/>
      <c r="M125" s="53" t="s">
        <v>264</v>
      </c>
      <c r="N125" s="51"/>
      <c r="O125" t="s">
        <v>265</v>
      </c>
      <c r="P125" t="s">
        <v>266</v>
      </c>
      <c r="Q125" t="b">
        <f t="shared" si="1"/>
        <v>1</v>
      </c>
    </row>
    <row r="126" spans="1:17">
      <c r="A126" s="51"/>
      <c r="B126" s="51" t="s">
        <v>263</v>
      </c>
      <c r="C126" s="51" t="s">
        <v>267</v>
      </c>
      <c r="D126" s="51" t="s">
        <v>268</v>
      </c>
      <c r="E126" s="79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80">
        <v>0</v>
      </c>
      <c r="L126" s="80"/>
      <c r="M126" s="53" t="s">
        <v>264</v>
      </c>
      <c r="N126" s="51"/>
      <c r="O126" t="s">
        <v>267</v>
      </c>
      <c r="P126" t="s">
        <v>268</v>
      </c>
      <c r="Q126" t="b">
        <f t="shared" si="1"/>
        <v>1</v>
      </c>
    </row>
    <row r="127" spans="1:17">
      <c r="A127" s="51"/>
      <c r="B127" s="74">
        <v>0</v>
      </c>
      <c r="C127" s="74">
        <v>0</v>
      </c>
      <c r="D127" s="75" t="s">
        <v>269</v>
      </c>
      <c r="E127" s="78">
        <v>0</v>
      </c>
      <c r="F127" s="78">
        <v>348063905</v>
      </c>
      <c r="G127" s="77"/>
      <c r="H127" s="77"/>
      <c r="I127" s="77"/>
      <c r="J127" s="78">
        <v>348063905</v>
      </c>
      <c r="K127" s="78">
        <v>348063905</v>
      </c>
      <c r="L127" s="78"/>
      <c r="M127" s="53" t="s">
        <v>66</v>
      </c>
      <c r="N127" s="51"/>
      <c r="O127">
        <v>0</v>
      </c>
      <c r="P127" t="s">
        <v>269</v>
      </c>
      <c r="Q127" t="b">
        <f t="shared" si="1"/>
        <v>1</v>
      </c>
    </row>
    <row r="128" spans="1:17">
      <c r="A128" s="51"/>
      <c r="B128" s="51" t="s">
        <v>272</v>
      </c>
      <c r="C128" s="51" t="s">
        <v>270</v>
      </c>
      <c r="D128" s="51" t="s">
        <v>271</v>
      </c>
      <c r="E128" s="79">
        <v>0</v>
      </c>
      <c r="F128" s="52">
        <v>348063905</v>
      </c>
      <c r="G128" s="52">
        <v>0</v>
      </c>
      <c r="H128" s="52">
        <v>0</v>
      </c>
      <c r="I128" s="52">
        <v>0</v>
      </c>
      <c r="J128" s="52">
        <v>348063905</v>
      </c>
      <c r="K128" s="80">
        <v>348063905</v>
      </c>
      <c r="L128" s="80"/>
      <c r="M128" s="53" t="s">
        <v>273</v>
      </c>
      <c r="N128" s="51"/>
      <c r="O128" t="s">
        <v>270</v>
      </c>
      <c r="P128" t="s">
        <v>271</v>
      </c>
      <c r="Q128" t="b">
        <f t="shared" si="1"/>
        <v>1</v>
      </c>
    </row>
    <row r="129" spans="1:17">
      <c r="A129" s="51"/>
      <c r="B129" s="51" t="e">
        <v>#N/A</v>
      </c>
      <c r="C129" s="51"/>
      <c r="D129" s="51">
        <v>0</v>
      </c>
      <c r="E129" s="79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80">
        <v>0</v>
      </c>
      <c r="L129" s="80"/>
      <c r="M129" s="53" t="s">
        <v>66</v>
      </c>
      <c r="N129" s="51"/>
      <c r="P129">
        <v>0</v>
      </c>
      <c r="Q129" t="b">
        <f t="shared" si="1"/>
        <v>1</v>
      </c>
    </row>
    <row r="130" spans="1:17">
      <c r="A130" s="51"/>
      <c r="B130" s="74">
        <v>0</v>
      </c>
      <c r="C130" s="74">
        <v>0</v>
      </c>
      <c r="D130" s="75" t="s">
        <v>274</v>
      </c>
      <c r="E130" s="78">
        <v>-83876269</v>
      </c>
      <c r="F130" s="78">
        <v>-10623822</v>
      </c>
      <c r="G130" s="77"/>
      <c r="H130" s="77"/>
      <c r="I130" s="77"/>
      <c r="J130" s="78">
        <v>-688020016</v>
      </c>
      <c r="K130" s="78">
        <v>-604143747</v>
      </c>
      <c r="L130" s="78"/>
      <c r="M130" s="53" t="s">
        <v>66</v>
      </c>
      <c r="N130" s="51"/>
      <c r="O130">
        <v>0</v>
      </c>
      <c r="P130" t="s">
        <v>274</v>
      </c>
      <c r="Q130" t="b">
        <f t="shared" si="1"/>
        <v>1</v>
      </c>
    </row>
    <row r="131" spans="1:17">
      <c r="A131" s="51"/>
      <c r="B131" s="51" t="s">
        <v>277</v>
      </c>
      <c r="C131" s="51" t="s">
        <v>275</v>
      </c>
      <c r="D131" s="51" t="s">
        <v>276</v>
      </c>
      <c r="E131" s="79">
        <v>-62668107</v>
      </c>
      <c r="F131" s="52">
        <v>0</v>
      </c>
      <c r="G131" s="95">
        <v>298003401</v>
      </c>
      <c r="H131" s="95">
        <v>-379392793</v>
      </c>
      <c r="I131" s="52">
        <v>-677396194</v>
      </c>
      <c r="J131" s="96">
        <v>-677396194</v>
      </c>
      <c r="K131" s="80">
        <v>-614728087</v>
      </c>
      <c r="L131" s="80"/>
      <c r="M131" s="53" t="s">
        <v>278</v>
      </c>
      <c r="N131" s="51"/>
      <c r="O131" t="s">
        <v>275</v>
      </c>
      <c r="P131" t="s">
        <v>276</v>
      </c>
      <c r="Q131" t="b">
        <f t="shared" si="1"/>
        <v>1</v>
      </c>
    </row>
    <row r="132" spans="1:17">
      <c r="A132" s="51"/>
      <c r="B132" s="51" t="s">
        <v>277</v>
      </c>
      <c r="C132" s="51" t="s">
        <v>279</v>
      </c>
      <c r="D132" s="51" t="s">
        <v>280</v>
      </c>
      <c r="E132" s="79">
        <v>-21208162</v>
      </c>
      <c r="F132" s="52">
        <v>-10623822</v>
      </c>
      <c r="G132" s="95">
        <v>0</v>
      </c>
      <c r="H132" s="95">
        <v>0</v>
      </c>
      <c r="I132" s="52">
        <v>0</v>
      </c>
      <c r="J132" s="80">
        <v>-10623822</v>
      </c>
      <c r="K132" s="80">
        <v>10584340</v>
      </c>
      <c r="L132" s="80"/>
      <c r="M132" s="53" t="s">
        <v>278</v>
      </c>
      <c r="N132" s="51"/>
      <c r="O132" t="s">
        <v>279</v>
      </c>
      <c r="P132" t="s">
        <v>280</v>
      </c>
      <c r="Q132" t="b">
        <f t="shared" si="1"/>
        <v>1</v>
      </c>
    </row>
    <row r="133" spans="1:17">
      <c r="A133" s="51"/>
      <c r="B133" s="51" t="s">
        <v>277</v>
      </c>
      <c r="C133" s="51" t="s">
        <v>281</v>
      </c>
      <c r="D133" s="51" t="s">
        <v>282</v>
      </c>
      <c r="E133" s="79">
        <v>0</v>
      </c>
      <c r="F133" s="52">
        <v>0</v>
      </c>
      <c r="G133" s="52">
        <v>0</v>
      </c>
      <c r="H133" s="52">
        <v>0</v>
      </c>
      <c r="I133" s="52">
        <v>0</v>
      </c>
      <c r="J133" s="52">
        <v>0</v>
      </c>
      <c r="K133" s="80">
        <v>0</v>
      </c>
      <c r="L133" s="80"/>
      <c r="M133" s="53" t="s">
        <v>278</v>
      </c>
      <c r="N133" s="51"/>
      <c r="O133" t="s">
        <v>281</v>
      </c>
      <c r="P133" t="s">
        <v>282</v>
      </c>
      <c r="Q133" t="b">
        <f t="shared" si="1"/>
        <v>1</v>
      </c>
    </row>
    <row r="134" spans="1:17">
      <c r="A134" s="51"/>
      <c r="B134" s="51" t="s">
        <v>277</v>
      </c>
      <c r="C134" s="51" t="s">
        <v>855</v>
      </c>
      <c r="D134" s="51" t="s">
        <v>856</v>
      </c>
      <c r="E134" s="79">
        <v>0</v>
      </c>
      <c r="F134" s="52">
        <v>0</v>
      </c>
      <c r="G134" s="52">
        <v>0</v>
      </c>
      <c r="H134" s="52">
        <v>0</v>
      </c>
      <c r="I134" s="52">
        <v>0</v>
      </c>
      <c r="J134" s="52">
        <v>0</v>
      </c>
      <c r="K134" s="80">
        <v>0</v>
      </c>
      <c r="L134" s="80"/>
      <c r="M134" s="53"/>
      <c r="N134" s="51"/>
      <c r="O134" t="s">
        <v>855</v>
      </c>
      <c r="P134" t="s">
        <v>856</v>
      </c>
      <c r="Q134" t="b">
        <f t="shared" si="1"/>
        <v>1</v>
      </c>
    </row>
    <row r="135" spans="1:17">
      <c r="A135" s="51"/>
      <c r="B135" s="74">
        <v>0</v>
      </c>
      <c r="C135" s="74">
        <v>0</v>
      </c>
      <c r="D135" s="75" t="s">
        <v>283</v>
      </c>
      <c r="E135" s="78">
        <v>51990764915</v>
      </c>
      <c r="F135" s="78">
        <v>465264143263</v>
      </c>
      <c r="G135" s="77"/>
      <c r="H135" s="77"/>
      <c r="I135" s="77"/>
      <c r="J135" s="78">
        <v>580214987753</v>
      </c>
      <c r="K135" s="78">
        <v>528224222838</v>
      </c>
      <c r="L135" s="78"/>
      <c r="M135" s="53" t="s">
        <v>66</v>
      </c>
      <c r="N135" s="51"/>
      <c r="O135">
        <v>0</v>
      </c>
      <c r="P135" t="s">
        <v>283</v>
      </c>
      <c r="Q135" t="b">
        <f t="shared" ref="Q135:Q198" si="2">O135=C135</f>
        <v>1</v>
      </c>
    </row>
    <row r="136" spans="1:17">
      <c r="A136" s="51"/>
      <c r="B136" s="51" t="s">
        <v>286</v>
      </c>
      <c r="C136" s="51" t="s">
        <v>284</v>
      </c>
      <c r="D136" s="51" t="s">
        <v>285</v>
      </c>
      <c r="E136" s="79">
        <v>265000000</v>
      </c>
      <c r="F136" s="52">
        <v>265000000</v>
      </c>
      <c r="G136" s="52">
        <v>0</v>
      </c>
      <c r="H136" s="52">
        <v>0</v>
      </c>
      <c r="I136" s="52">
        <v>0</v>
      </c>
      <c r="J136" s="52">
        <v>265000000</v>
      </c>
      <c r="K136" s="80">
        <v>0</v>
      </c>
      <c r="L136" s="80"/>
      <c r="M136" s="53" t="s">
        <v>287</v>
      </c>
      <c r="N136" s="51"/>
      <c r="O136" t="s">
        <v>284</v>
      </c>
      <c r="P136" t="s">
        <v>285</v>
      </c>
      <c r="Q136" t="b">
        <f t="shared" si="2"/>
        <v>1</v>
      </c>
    </row>
    <row r="137" spans="1:17">
      <c r="A137" s="51"/>
      <c r="B137" s="51" t="s">
        <v>286</v>
      </c>
      <c r="C137" s="51" t="s">
        <v>514</v>
      </c>
      <c r="D137" s="51" t="s">
        <v>515</v>
      </c>
      <c r="E137" s="79">
        <v>-241627</v>
      </c>
      <c r="F137" s="52">
        <v>0</v>
      </c>
      <c r="G137" s="95">
        <v>4078488</v>
      </c>
      <c r="H137" s="95">
        <v>-785109</v>
      </c>
      <c r="I137" s="52">
        <v>-4863597</v>
      </c>
      <c r="J137" s="52">
        <v>-4863597</v>
      </c>
      <c r="K137" s="80">
        <v>-4621970</v>
      </c>
      <c r="L137" s="80"/>
      <c r="M137" s="53" t="s">
        <v>287</v>
      </c>
      <c r="N137" s="51"/>
      <c r="O137" t="s">
        <v>514</v>
      </c>
      <c r="P137" t="s">
        <v>515</v>
      </c>
      <c r="Q137" t="b">
        <f t="shared" si="2"/>
        <v>1</v>
      </c>
    </row>
    <row r="138" spans="1:17">
      <c r="A138" s="51"/>
      <c r="B138" s="51" t="s">
        <v>286</v>
      </c>
      <c r="C138" s="51" t="s">
        <v>288</v>
      </c>
      <c r="D138" s="51" t="s">
        <v>289</v>
      </c>
      <c r="E138" s="79">
        <v>0</v>
      </c>
      <c r="F138" s="52">
        <v>0</v>
      </c>
      <c r="G138" s="95">
        <v>0</v>
      </c>
      <c r="H138" s="95">
        <v>0</v>
      </c>
      <c r="I138" s="52">
        <v>0</v>
      </c>
      <c r="J138" s="52">
        <v>0</v>
      </c>
      <c r="K138" s="80">
        <v>0</v>
      </c>
      <c r="L138" s="80"/>
      <c r="M138" s="53" t="s">
        <v>287</v>
      </c>
      <c r="N138" s="51"/>
      <c r="O138" t="s">
        <v>288</v>
      </c>
      <c r="P138" t="s">
        <v>289</v>
      </c>
      <c r="Q138" t="b">
        <f t="shared" si="2"/>
        <v>1</v>
      </c>
    </row>
    <row r="139" spans="1:17">
      <c r="A139" s="51"/>
      <c r="B139" s="51" t="s">
        <v>286</v>
      </c>
      <c r="C139" s="51" t="s">
        <v>292</v>
      </c>
      <c r="D139" s="51" t="s">
        <v>293</v>
      </c>
      <c r="E139" s="79">
        <v>31113182716</v>
      </c>
      <c r="F139" s="52">
        <v>51884940132</v>
      </c>
      <c r="G139" s="95">
        <v>-21660869</v>
      </c>
      <c r="H139" s="95">
        <v>-180594459</v>
      </c>
      <c r="I139" s="52">
        <v>-158933590</v>
      </c>
      <c r="J139" s="52">
        <v>51726006542</v>
      </c>
      <c r="K139" s="80">
        <v>20612823826</v>
      </c>
      <c r="L139" s="80"/>
      <c r="M139" s="53" t="s">
        <v>287</v>
      </c>
      <c r="N139" s="51"/>
      <c r="O139" t="s">
        <v>292</v>
      </c>
      <c r="P139" t="s">
        <v>293</v>
      </c>
      <c r="Q139" t="b">
        <f t="shared" si="2"/>
        <v>1</v>
      </c>
    </row>
    <row r="140" spans="1:17">
      <c r="A140" s="51"/>
      <c r="B140" s="51" t="s">
        <v>286</v>
      </c>
      <c r="C140" s="51" t="s">
        <v>290</v>
      </c>
      <c r="D140" s="51" t="s">
        <v>291</v>
      </c>
      <c r="E140" s="79">
        <v>20612823826</v>
      </c>
      <c r="F140" s="52">
        <v>413114203131</v>
      </c>
      <c r="G140" s="95">
        <v>27783368338</v>
      </c>
      <c r="H140" s="95">
        <v>142898010015</v>
      </c>
      <c r="I140" s="52">
        <v>115114641677</v>
      </c>
      <c r="J140" s="52">
        <v>528228844808</v>
      </c>
      <c r="K140" s="80">
        <v>507616020982</v>
      </c>
      <c r="L140" s="80"/>
      <c r="M140" s="53" t="s">
        <v>287</v>
      </c>
      <c r="N140" s="51"/>
      <c r="O140" t="s">
        <v>290</v>
      </c>
      <c r="P140" t="s">
        <v>291</v>
      </c>
      <c r="Q140" t="b">
        <f t="shared" si="2"/>
        <v>1</v>
      </c>
    </row>
    <row r="141" spans="1:17">
      <c r="A141" s="51"/>
      <c r="B141" s="74">
        <v>0</v>
      </c>
      <c r="C141" s="74" t="s">
        <v>15</v>
      </c>
      <c r="D141" s="75" t="s">
        <v>531</v>
      </c>
      <c r="E141" s="78">
        <v>0</v>
      </c>
      <c r="F141" s="78">
        <v>0</v>
      </c>
      <c r="G141" s="77"/>
      <c r="H141" s="77"/>
      <c r="I141" s="77"/>
      <c r="J141" s="78">
        <v>0</v>
      </c>
      <c r="K141" s="78">
        <v>0</v>
      </c>
      <c r="L141" s="78"/>
      <c r="M141" s="53" t="s">
        <v>66</v>
      </c>
      <c r="N141" s="51"/>
      <c r="O141" t="s">
        <v>15</v>
      </c>
      <c r="P141" t="s">
        <v>531</v>
      </c>
      <c r="Q141" t="b">
        <f t="shared" si="2"/>
        <v>1</v>
      </c>
    </row>
    <row r="142" spans="1:17">
      <c r="A142" s="51"/>
      <c r="B142" s="51" t="s">
        <v>297</v>
      </c>
      <c r="C142" s="51" t="s">
        <v>295</v>
      </c>
      <c r="D142" s="51" t="s">
        <v>296</v>
      </c>
      <c r="E142" s="79">
        <v>0</v>
      </c>
      <c r="F142" s="52">
        <v>0</v>
      </c>
      <c r="G142" s="95">
        <v>0</v>
      </c>
      <c r="H142" s="95">
        <v>0</v>
      </c>
      <c r="I142" s="52">
        <v>0</v>
      </c>
      <c r="J142" s="52">
        <v>0</v>
      </c>
      <c r="K142" s="80">
        <v>0</v>
      </c>
      <c r="L142" s="80"/>
      <c r="M142" s="53" t="s">
        <v>294</v>
      </c>
      <c r="N142" s="51"/>
      <c r="O142" t="s">
        <v>295</v>
      </c>
      <c r="P142" t="s">
        <v>296</v>
      </c>
      <c r="Q142" t="b">
        <f t="shared" si="2"/>
        <v>1</v>
      </c>
    </row>
    <row r="143" spans="1:17">
      <c r="A143" s="51"/>
      <c r="B143" s="51" t="s">
        <v>297</v>
      </c>
      <c r="C143" s="51" t="s">
        <v>298</v>
      </c>
      <c r="D143" s="51" t="s">
        <v>299</v>
      </c>
      <c r="E143" s="79">
        <v>0</v>
      </c>
      <c r="F143" s="52">
        <v>0</v>
      </c>
      <c r="G143" s="95">
        <v>0</v>
      </c>
      <c r="H143" s="95">
        <v>0</v>
      </c>
      <c r="I143" s="52">
        <v>0</v>
      </c>
      <c r="J143" s="52">
        <v>0</v>
      </c>
      <c r="K143" s="80">
        <v>0</v>
      </c>
      <c r="L143" s="80"/>
      <c r="M143" s="53" t="s">
        <v>294</v>
      </c>
      <c r="N143" s="51"/>
      <c r="O143" t="s">
        <v>298</v>
      </c>
      <c r="P143" t="s">
        <v>299</v>
      </c>
      <c r="Q143" t="b">
        <f t="shared" si="2"/>
        <v>1</v>
      </c>
    </row>
    <row r="144" spans="1:17">
      <c r="A144" s="51"/>
      <c r="B144" s="51" t="s">
        <v>297</v>
      </c>
      <c r="C144" s="51" t="s">
        <v>300</v>
      </c>
      <c r="D144" s="51" t="s">
        <v>301</v>
      </c>
      <c r="E144" s="79">
        <v>0</v>
      </c>
      <c r="F144" s="52">
        <v>0</v>
      </c>
      <c r="G144" s="95">
        <v>0</v>
      </c>
      <c r="H144" s="95">
        <v>0</v>
      </c>
      <c r="I144" s="52">
        <v>0</v>
      </c>
      <c r="J144" s="52">
        <v>0</v>
      </c>
      <c r="K144" s="80">
        <v>0</v>
      </c>
      <c r="L144" s="80"/>
      <c r="M144" s="53" t="s">
        <v>294</v>
      </c>
      <c r="N144" s="51"/>
      <c r="O144" t="s">
        <v>300</v>
      </c>
      <c r="P144" t="s">
        <v>301</v>
      </c>
      <c r="Q144" t="b">
        <f t="shared" si="2"/>
        <v>1</v>
      </c>
    </row>
    <row r="145" spans="1:17">
      <c r="A145" s="51"/>
      <c r="B145" s="51" t="s">
        <v>297</v>
      </c>
      <c r="C145" s="51" t="s">
        <v>302</v>
      </c>
      <c r="D145" s="51" t="s">
        <v>303</v>
      </c>
      <c r="E145" s="79">
        <v>0</v>
      </c>
      <c r="F145" s="52">
        <v>0</v>
      </c>
      <c r="G145" s="95">
        <v>0</v>
      </c>
      <c r="H145" s="95">
        <v>0</v>
      </c>
      <c r="I145" s="52">
        <v>0</v>
      </c>
      <c r="J145" s="52">
        <v>0</v>
      </c>
      <c r="K145" s="80">
        <v>0</v>
      </c>
      <c r="L145" s="80"/>
      <c r="M145" s="53" t="s">
        <v>294</v>
      </c>
      <c r="N145" s="51"/>
      <c r="O145" t="s">
        <v>302</v>
      </c>
      <c r="P145" t="s">
        <v>303</v>
      </c>
      <c r="Q145" t="b">
        <f t="shared" si="2"/>
        <v>1</v>
      </c>
    </row>
    <row r="146" spans="1:17">
      <c r="A146" s="51"/>
      <c r="B146" s="74">
        <v>0</v>
      </c>
      <c r="C146" s="74" t="s">
        <v>15</v>
      </c>
      <c r="D146" s="75" t="s">
        <v>304</v>
      </c>
      <c r="E146" s="78">
        <v>110562350186</v>
      </c>
      <c r="F146" s="78">
        <v>525982870899</v>
      </c>
      <c r="G146" s="77"/>
      <c r="H146" s="77"/>
      <c r="I146" s="77"/>
      <c r="J146" s="78">
        <v>638530493182</v>
      </c>
      <c r="K146" s="78">
        <v>527968142996</v>
      </c>
      <c r="L146" s="78"/>
      <c r="M146" s="53" t="s">
        <v>66</v>
      </c>
      <c r="N146" s="51"/>
      <c r="O146" t="s">
        <v>15</v>
      </c>
      <c r="P146" t="s">
        <v>304</v>
      </c>
      <c r="Q146" t="b">
        <f t="shared" si="2"/>
        <v>1</v>
      </c>
    </row>
    <row r="147" spans="1:17">
      <c r="A147" s="51"/>
      <c r="B147" s="74">
        <v>0</v>
      </c>
      <c r="C147" s="74" t="s">
        <v>15</v>
      </c>
      <c r="D147" s="75" t="s">
        <v>305</v>
      </c>
      <c r="E147" s="78">
        <v>130831360570</v>
      </c>
      <c r="F147" s="78">
        <v>713556418854</v>
      </c>
      <c r="G147" s="77"/>
      <c r="H147" s="77"/>
      <c r="I147" s="77"/>
      <c r="J147" s="78">
        <v>853440063781</v>
      </c>
      <c r="K147" s="78">
        <v>722608703211</v>
      </c>
      <c r="L147" s="78"/>
      <c r="M147" s="53" t="s">
        <v>66</v>
      </c>
      <c r="N147" s="51"/>
      <c r="O147" t="s">
        <v>15</v>
      </c>
      <c r="P147" t="s">
        <v>305</v>
      </c>
      <c r="Q147" t="b">
        <f t="shared" si="2"/>
        <v>1</v>
      </c>
    </row>
    <row r="148" spans="1:17">
      <c r="A148" s="51"/>
      <c r="B148" s="55"/>
      <c r="C148" s="55"/>
      <c r="D148" s="51"/>
      <c r="E148" s="97">
        <v>0</v>
      </c>
      <c r="F148" s="97">
        <v>0</v>
      </c>
      <c r="G148" s="28">
        <v>0</v>
      </c>
      <c r="H148" s="28">
        <v>0</v>
      </c>
      <c r="I148" s="28">
        <v>0</v>
      </c>
      <c r="J148" s="85">
        <v>0</v>
      </c>
      <c r="K148" s="28">
        <v>0</v>
      </c>
      <c r="L148" s="80"/>
      <c r="M148" s="53" t="s">
        <v>66</v>
      </c>
      <c r="N148" s="51"/>
      <c r="Q148" t="b">
        <f t="shared" si="2"/>
        <v>1</v>
      </c>
    </row>
    <row r="149" spans="1:17">
      <c r="A149" s="51"/>
      <c r="B149" s="55"/>
      <c r="C149" s="55"/>
      <c r="D149" s="51"/>
      <c r="E149" s="98"/>
      <c r="F149" s="52"/>
      <c r="G149" s="52"/>
      <c r="H149" s="52"/>
      <c r="I149" s="52"/>
      <c r="J149" s="52"/>
      <c r="K149" s="80"/>
      <c r="L149" s="99"/>
      <c r="M149" s="53" t="s">
        <v>66</v>
      </c>
      <c r="N149" s="51"/>
      <c r="Q149" t="b">
        <f t="shared" si="2"/>
        <v>1</v>
      </c>
    </row>
    <row r="150" spans="1:17">
      <c r="A150" s="51"/>
      <c r="B150" s="74">
        <v>0</v>
      </c>
      <c r="C150" s="74">
        <v>0</v>
      </c>
      <c r="D150" s="75" t="s">
        <v>307</v>
      </c>
      <c r="E150" s="78">
        <v>40047496797</v>
      </c>
      <c r="F150" s="78">
        <v>631831846895</v>
      </c>
      <c r="G150" s="77"/>
      <c r="H150" s="77"/>
      <c r="I150" s="77"/>
      <c r="J150" s="78">
        <v>631504544796</v>
      </c>
      <c r="K150" s="78">
        <v>591457047999</v>
      </c>
      <c r="L150" s="78"/>
      <c r="M150" s="53" t="s">
        <v>66</v>
      </c>
      <c r="N150" s="51"/>
      <c r="O150">
        <v>0</v>
      </c>
      <c r="P150" t="s">
        <v>307</v>
      </c>
      <c r="Q150" t="b">
        <f t="shared" si="2"/>
        <v>1</v>
      </c>
    </row>
    <row r="151" spans="1:17">
      <c r="A151" s="51"/>
      <c r="B151" s="51" t="s">
        <v>310</v>
      </c>
      <c r="C151" s="51" t="s">
        <v>308</v>
      </c>
      <c r="D151" s="51" t="s">
        <v>309</v>
      </c>
      <c r="E151" s="52">
        <v>4315353600</v>
      </c>
      <c r="F151" s="52">
        <v>5327936106</v>
      </c>
      <c r="G151" s="52">
        <v>327302099</v>
      </c>
      <c r="H151" s="52">
        <v>0</v>
      </c>
      <c r="I151" s="52">
        <v>-327302099</v>
      </c>
      <c r="J151" s="52">
        <v>5000634007</v>
      </c>
      <c r="K151" s="80">
        <v>685280407</v>
      </c>
      <c r="L151" s="80"/>
      <c r="M151" s="53" t="s">
        <v>311</v>
      </c>
      <c r="N151" s="51"/>
      <c r="O151" t="s">
        <v>308</v>
      </c>
      <c r="P151" t="s">
        <v>309</v>
      </c>
      <c r="Q151" t="b">
        <f t="shared" si="2"/>
        <v>1</v>
      </c>
    </row>
    <row r="152" spans="1:17">
      <c r="A152" s="51"/>
      <c r="B152" s="51" t="s">
        <v>310</v>
      </c>
      <c r="C152" s="51" t="s">
        <v>312</v>
      </c>
      <c r="D152" s="51" t="s">
        <v>313</v>
      </c>
      <c r="E152" s="52">
        <v>0</v>
      </c>
      <c r="F152" s="52">
        <v>0</v>
      </c>
      <c r="G152" s="52">
        <v>0</v>
      </c>
      <c r="H152" s="52">
        <v>0</v>
      </c>
      <c r="I152" s="52">
        <v>0</v>
      </c>
      <c r="J152" s="52">
        <v>0</v>
      </c>
      <c r="K152" s="80">
        <v>0</v>
      </c>
      <c r="L152" s="80"/>
      <c r="M152" s="53" t="s">
        <v>311</v>
      </c>
      <c r="N152" s="51"/>
      <c r="O152" t="s">
        <v>312</v>
      </c>
      <c r="P152" t="s">
        <v>313</v>
      </c>
      <c r="Q152" t="b">
        <f t="shared" si="2"/>
        <v>1</v>
      </c>
    </row>
    <row r="153" spans="1:17">
      <c r="A153" s="51"/>
      <c r="B153" s="51" t="s">
        <v>310</v>
      </c>
      <c r="C153" s="51" t="s">
        <v>314</v>
      </c>
      <c r="D153" s="51" t="s">
        <v>315</v>
      </c>
      <c r="E153" s="52">
        <v>12989432722</v>
      </c>
      <c r="F153" s="52">
        <v>476679888950</v>
      </c>
      <c r="G153" s="52">
        <v>0</v>
      </c>
      <c r="H153" s="52">
        <v>0</v>
      </c>
      <c r="I153" s="52">
        <v>0</v>
      </c>
      <c r="J153" s="52">
        <v>476679888950</v>
      </c>
      <c r="K153" s="80">
        <v>463690456228</v>
      </c>
      <c r="L153" s="80"/>
      <c r="M153" s="53" t="s">
        <v>311</v>
      </c>
      <c r="N153" s="51"/>
      <c r="O153" t="s">
        <v>314</v>
      </c>
      <c r="P153" t="s">
        <v>315</v>
      </c>
      <c r="Q153" t="b">
        <f t="shared" si="2"/>
        <v>1</v>
      </c>
    </row>
    <row r="154" spans="1:17">
      <c r="A154" s="51"/>
      <c r="B154" s="51" t="s">
        <v>310</v>
      </c>
      <c r="C154" s="51" t="s">
        <v>316</v>
      </c>
      <c r="D154" s="51" t="s">
        <v>317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80">
        <v>0</v>
      </c>
      <c r="L154" s="80"/>
      <c r="M154" s="53" t="s">
        <v>311</v>
      </c>
      <c r="N154" s="51"/>
      <c r="O154" t="s">
        <v>316</v>
      </c>
      <c r="P154" t="s">
        <v>317</v>
      </c>
      <c r="Q154" t="b">
        <f t="shared" si="2"/>
        <v>1</v>
      </c>
    </row>
    <row r="155" spans="1:17">
      <c r="A155" s="51"/>
      <c r="B155" s="51" t="s">
        <v>310</v>
      </c>
      <c r="C155" s="51" t="s">
        <v>318</v>
      </c>
      <c r="D155" s="51" t="s">
        <v>319</v>
      </c>
      <c r="E155" s="52">
        <v>19270145150</v>
      </c>
      <c r="F155" s="52">
        <v>144661967012</v>
      </c>
      <c r="G155" s="52">
        <v>0</v>
      </c>
      <c r="H155" s="52">
        <v>0</v>
      </c>
      <c r="I155" s="52">
        <v>0</v>
      </c>
      <c r="J155" s="52">
        <v>144661967012</v>
      </c>
      <c r="K155" s="80">
        <v>125391821862</v>
      </c>
      <c r="L155" s="80"/>
      <c r="M155" s="53" t="s">
        <v>311</v>
      </c>
      <c r="N155" s="51"/>
      <c r="O155" t="s">
        <v>318</v>
      </c>
      <c r="P155" t="s">
        <v>319</v>
      </c>
      <c r="Q155" t="b">
        <f t="shared" si="2"/>
        <v>1</v>
      </c>
    </row>
    <row r="156" spans="1:17">
      <c r="A156" s="51"/>
      <c r="B156" s="51" t="s">
        <v>310</v>
      </c>
      <c r="C156" s="51" t="s">
        <v>320</v>
      </c>
      <c r="D156" s="51" t="s">
        <v>321</v>
      </c>
      <c r="E156" s="52">
        <v>0</v>
      </c>
      <c r="F156" s="52">
        <v>0</v>
      </c>
      <c r="G156" s="52">
        <v>0</v>
      </c>
      <c r="H156" s="52">
        <v>0</v>
      </c>
      <c r="I156" s="52">
        <v>0</v>
      </c>
      <c r="J156" s="52">
        <v>0</v>
      </c>
      <c r="K156" s="80">
        <v>0</v>
      </c>
      <c r="L156" s="80"/>
      <c r="M156" s="53" t="s">
        <v>311</v>
      </c>
      <c r="N156" s="51"/>
      <c r="O156" t="s">
        <v>320</v>
      </c>
      <c r="P156" t="s">
        <v>321</v>
      </c>
      <c r="Q156" t="b">
        <f t="shared" si="2"/>
        <v>1</v>
      </c>
    </row>
    <row r="157" spans="1:17">
      <c r="A157" s="51"/>
      <c r="B157" s="51" t="s">
        <v>310</v>
      </c>
      <c r="C157" s="51" t="s">
        <v>857</v>
      </c>
      <c r="D157" s="51" t="s">
        <v>858</v>
      </c>
      <c r="E157" s="52">
        <v>503625190</v>
      </c>
      <c r="F157" s="52">
        <v>450394577</v>
      </c>
      <c r="G157" s="52">
        <v>0</v>
      </c>
      <c r="H157" s="52">
        <v>0</v>
      </c>
      <c r="I157" s="52">
        <v>0</v>
      </c>
      <c r="J157" s="52">
        <v>450394577</v>
      </c>
      <c r="K157" s="80">
        <v>-53230613</v>
      </c>
      <c r="L157" s="80"/>
      <c r="M157" s="53" t="s">
        <v>311</v>
      </c>
      <c r="N157" s="51"/>
      <c r="O157" t="s">
        <v>857</v>
      </c>
      <c r="P157" t="s">
        <v>858</v>
      </c>
      <c r="Q157" t="b">
        <f t="shared" si="2"/>
        <v>1</v>
      </c>
    </row>
    <row r="158" spans="1:17">
      <c r="A158" s="51"/>
      <c r="B158" s="51" t="s">
        <v>310</v>
      </c>
      <c r="C158" s="51" t="s">
        <v>859</v>
      </c>
      <c r="D158" s="51" t="s">
        <v>860</v>
      </c>
      <c r="E158" s="52">
        <v>539596245</v>
      </c>
      <c r="F158" s="52">
        <v>2754054096</v>
      </c>
      <c r="G158" s="52">
        <v>0</v>
      </c>
      <c r="H158" s="52">
        <v>0</v>
      </c>
      <c r="I158" s="52">
        <v>0</v>
      </c>
      <c r="J158" s="52">
        <v>2754054096</v>
      </c>
      <c r="K158" s="80">
        <v>2214457851</v>
      </c>
      <c r="L158" s="80"/>
      <c r="M158" s="53" t="s">
        <v>311</v>
      </c>
      <c r="N158" s="51"/>
      <c r="O158" t="s">
        <v>859</v>
      </c>
      <c r="P158" t="s">
        <v>860</v>
      </c>
      <c r="Q158" t="b">
        <f t="shared" si="2"/>
        <v>1</v>
      </c>
    </row>
    <row r="159" spans="1:17">
      <c r="A159" s="51"/>
      <c r="B159" s="51" t="s">
        <v>310</v>
      </c>
      <c r="C159" s="51" t="s">
        <v>516</v>
      </c>
      <c r="D159" s="51" t="s">
        <v>517</v>
      </c>
      <c r="E159" s="52">
        <v>2280919890</v>
      </c>
      <c r="F159" s="52">
        <v>1949056154</v>
      </c>
      <c r="G159" s="52">
        <v>0</v>
      </c>
      <c r="H159" s="52">
        <v>0</v>
      </c>
      <c r="I159" s="52">
        <v>0</v>
      </c>
      <c r="J159" s="52">
        <v>1949056154</v>
      </c>
      <c r="K159" s="80">
        <v>-331863736</v>
      </c>
      <c r="L159" s="80"/>
      <c r="M159" s="53" t="s">
        <v>311</v>
      </c>
      <c r="N159" s="51"/>
      <c r="O159" t="s">
        <v>516</v>
      </c>
      <c r="P159" t="s">
        <v>517</v>
      </c>
      <c r="Q159" t="b">
        <f t="shared" si="2"/>
        <v>1</v>
      </c>
    </row>
    <row r="160" spans="1:17">
      <c r="A160" s="51"/>
      <c r="B160" s="51" t="s">
        <v>310</v>
      </c>
      <c r="C160" s="51" t="s">
        <v>902</v>
      </c>
      <c r="D160" s="51" t="s">
        <v>903</v>
      </c>
      <c r="E160" s="52">
        <v>148424000</v>
      </c>
      <c r="F160" s="52">
        <v>8550000</v>
      </c>
      <c r="G160" s="52">
        <v>0</v>
      </c>
      <c r="H160" s="52">
        <v>0</v>
      </c>
      <c r="I160" s="52">
        <v>0</v>
      </c>
      <c r="J160" s="52">
        <v>8550000</v>
      </c>
      <c r="K160" s="80">
        <v>-139874000</v>
      </c>
      <c r="L160" s="80"/>
      <c r="M160" s="53" t="s">
        <v>311</v>
      </c>
      <c r="N160" s="51"/>
      <c r="O160" t="s">
        <v>902</v>
      </c>
      <c r="P160" t="s">
        <v>903</v>
      </c>
      <c r="Q160" t="b">
        <f t="shared" si="2"/>
        <v>1</v>
      </c>
    </row>
    <row r="161" spans="1:17">
      <c r="A161" s="51"/>
      <c r="B161" s="74">
        <v>0</v>
      </c>
      <c r="C161" s="74">
        <v>0</v>
      </c>
      <c r="D161" s="75" t="s">
        <v>322</v>
      </c>
      <c r="E161" s="78">
        <v>21326660406</v>
      </c>
      <c r="F161" s="78">
        <v>52211371546</v>
      </c>
      <c r="G161" s="77"/>
      <c r="H161" s="77"/>
      <c r="I161" s="77"/>
      <c r="J161" s="78">
        <v>51924708377</v>
      </c>
      <c r="K161" s="78">
        <v>30598047971</v>
      </c>
      <c r="L161" s="78"/>
      <c r="M161" s="53" t="s">
        <v>66</v>
      </c>
      <c r="N161" s="51"/>
      <c r="O161">
        <v>0</v>
      </c>
      <c r="P161" t="s">
        <v>322</v>
      </c>
      <c r="Q161" t="b">
        <f t="shared" si="2"/>
        <v>1</v>
      </c>
    </row>
    <row r="162" spans="1:17">
      <c r="A162" s="51"/>
      <c r="B162" s="51" t="s">
        <v>325</v>
      </c>
      <c r="C162" s="51" t="s">
        <v>323</v>
      </c>
      <c r="D162" s="51" t="s">
        <v>324</v>
      </c>
      <c r="E162" s="52">
        <v>4613583087</v>
      </c>
      <c r="F162" s="52">
        <v>4558474841</v>
      </c>
      <c r="G162" s="52">
        <v>40638930</v>
      </c>
      <c r="H162" s="52">
        <v>327302099</v>
      </c>
      <c r="I162" s="52">
        <v>-286663169</v>
      </c>
      <c r="J162" s="52">
        <v>4271811672</v>
      </c>
      <c r="K162" s="80">
        <v>-341771415</v>
      </c>
      <c r="L162" s="80"/>
      <c r="M162" s="53" t="s">
        <v>326</v>
      </c>
      <c r="N162" s="51"/>
      <c r="O162" t="s">
        <v>323</v>
      </c>
      <c r="P162" t="s">
        <v>324</v>
      </c>
      <c r="Q162" t="b">
        <f t="shared" si="2"/>
        <v>1</v>
      </c>
    </row>
    <row r="163" spans="1:17">
      <c r="A163" s="51"/>
      <c r="B163" s="51" t="s">
        <v>325</v>
      </c>
      <c r="C163" s="51" t="s">
        <v>327</v>
      </c>
      <c r="D163" s="51" t="s">
        <v>328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0</v>
      </c>
      <c r="K163" s="80">
        <v>0</v>
      </c>
      <c r="L163" s="80"/>
      <c r="M163" s="53" t="s">
        <v>326</v>
      </c>
      <c r="N163" s="51"/>
      <c r="O163" t="s">
        <v>327</v>
      </c>
      <c r="P163" t="s">
        <v>328</v>
      </c>
      <c r="Q163" t="b">
        <f t="shared" si="2"/>
        <v>1</v>
      </c>
    </row>
    <row r="164" spans="1:17">
      <c r="A164" s="51"/>
      <c r="B164" s="51" t="s">
        <v>325</v>
      </c>
      <c r="C164" s="51" t="s">
        <v>329</v>
      </c>
      <c r="D164" s="51" t="s">
        <v>330</v>
      </c>
      <c r="E164" s="52">
        <v>16259635096</v>
      </c>
      <c r="F164" s="52">
        <v>46790942280</v>
      </c>
      <c r="G164" s="52">
        <v>0</v>
      </c>
      <c r="H164" s="52">
        <v>0</v>
      </c>
      <c r="I164" s="52">
        <v>0</v>
      </c>
      <c r="J164" s="52">
        <v>46790942280</v>
      </c>
      <c r="K164" s="80">
        <v>30531307184</v>
      </c>
      <c r="L164" s="80"/>
      <c r="M164" s="53" t="s">
        <v>326</v>
      </c>
      <c r="N164" s="51"/>
      <c r="O164" t="s">
        <v>329</v>
      </c>
      <c r="P164" t="s">
        <v>330</v>
      </c>
      <c r="Q164" t="b">
        <f t="shared" si="2"/>
        <v>1</v>
      </c>
    </row>
    <row r="165" spans="1:17">
      <c r="A165" s="51"/>
      <c r="B165" s="51" t="s">
        <v>325</v>
      </c>
      <c r="C165" s="51" t="s">
        <v>331</v>
      </c>
      <c r="D165" s="51" t="s">
        <v>332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80">
        <v>0</v>
      </c>
      <c r="L165" s="80"/>
      <c r="M165" s="53" t="s">
        <v>326</v>
      </c>
      <c r="N165" s="51"/>
      <c r="O165" t="s">
        <v>331</v>
      </c>
      <c r="P165" t="s">
        <v>332</v>
      </c>
      <c r="Q165" t="b">
        <f t="shared" si="2"/>
        <v>1</v>
      </c>
    </row>
    <row r="166" spans="1:17">
      <c r="A166" s="51"/>
      <c r="B166" s="51" t="s">
        <v>325</v>
      </c>
      <c r="C166" s="51" t="s">
        <v>518</v>
      </c>
      <c r="D166" s="51" t="s">
        <v>519</v>
      </c>
      <c r="E166" s="52">
        <v>0</v>
      </c>
      <c r="F166" s="52">
        <v>0</v>
      </c>
      <c r="G166" s="52">
        <v>0</v>
      </c>
      <c r="H166" s="52">
        <v>0</v>
      </c>
      <c r="I166" s="52">
        <v>0</v>
      </c>
      <c r="J166" s="52">
        <v>0</v>
      </c>
      <c r="K166" s="80">
        <v>0</v>
      </c>
      <c r="L166" s="80"/>
      <c r="M166" s="53" t="s">
        <v>326</v>
      </c>
      <c r="N166" s="51"/>
      <c r="O166" t="s">
        <v>518</v>
      </c>
      <c r="P166" t="s">
        <v>519</v>
      </c>
      <c r="Q166" t="b">
        <f t="shared" si="2"/>
        <v>1</v>
      </c>
    </row>
    <row r="167" spans="1:17">
      <c r="A167" s="51"/>
      <c r="B167" s="51" t="s">
        <v>325</v>
      </c>
      <c r="C167" s="51" t="s">
        <v>520</v>
      </c>
      <c r="D167" s="51" t="s">
        <v>521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80">
        <v>0</v>
      </c>
      <c r="L167" s="80"/>
      <c r="M167" s="53" t="s">
        <v>326</v>
      </c>
      <c r="N167" s="51"/>
      <c r="O167" t="s">
        <v>520</v>
      </c>
      <c r="P167" t="s">
        <v>521</v>
      </c>
      <c r="Q167" t="b">
        <f t="shared" si="2"/>
        <v>1</v>
      </c>
    </row>
    <row r="168" spans="1:17">
      <c r="A168" s="51"/>
      <c r="B168" s="51" t="s">
        <v>325</v>
      </c>
      <c r="C168" s="51" t="s">
        <v>907</v>
      </c>
      <c r="D168" s="51" t="s">
        <v>523</v>
      </c>
      <c r="E168" s="52">
        <v>453442223</v>
      </c>
      <c r="F168" s="52">
        <v>861954425</v>
      </c>
      <c r="G168" s="52">
        <v>0</v>
      </c>
      <c r="H168" s="52">
        <v>0</v>
      </c>
      <c r="I168" s="52">
        <v>0</v>
      </c>
      <c r="J168" s="52">
        <v>861954425</v>
      </c>
      <c r="K168" s="80">
        <v>408512202</v>
      </c>
      <c r="L168" s="80"/>
      <c r="M168" s="53" t="s">
        <v>326</v>
      </c>
      <c r="N168" s="51"/>
      <c r="O168" t="s">
        <v>907</v>
      </c>
      <c r="P168" t="s">
        <v>523</v>
      </c>
      <c r="Q168" t="b">
        <f t="shared" si="2"/>
        <v>1</v>
      </c>
    </row>
    <row r="169" spans="1:17">
      <c r="A169" s="51"/>
      <c r="B169" s="74">
        <v>0</v>
      </c>
      <c r="C169" s="74">
        <v>0</v>
      </c>
      <c r="D169" s="75" t="s">
        <v>333</v>
      </c>
      <c r="E169" s="78">
        <v>18720836391</v>
      </c>
      <c r="F169" s="78">
        <v>579620475349</v>
      </c>
      <c r="G169" s="77"/>
      <c r="H169" s="77"/>
      <c r="I169" s="77"/>
      <c r="J169" s="78">
        <v>579579836419</v>
      </c>
      <c r="K169" s="78">
        <v>560859000028</v>
      </c>
      <c r="L169" s="78"/>
      <c r="M169" s="53" t="s">
        <v>66</v>
      </c>
      <c r="N169" s="51"/>
      <c r="O169">
        <v>0</v>
      </c>
      <c r="P169" t="s">
        <v>333</v>
      </c>
      <c r="Q169" t="b">
        <f t="shared" si="2"/>
        <v>1</v>
      </c>
    </row>
    <row r="170" spans="1:17">
      <c r="A170" s="51"/>
      <c r="B170" s="74">
        <v>0</v>
      </c>
      <c r="C170" s="74">
        <v>0</v>
      </c>
      <c r="D170" s="75" t="s">
        <v>334</v>
      </c>
      <c r="E170" s="78">
        <v>8792855549</v>
      </c>
      <c r="F170" s="78">
        <v>21548866600</v>
      </c>
      <c r="G170" s="77"/>
      <c r="H170" s="77"/>
      <c r="I170" s="77"/>
      <c r="J170" s="78">
        <v>21548866600</v>
      </c>
      <c r="K170" s="78">
        <v>12756011051</v>
      </c>
      <c r="L170" s="78"/>
      <c r="M170" s="53" t="s">
        <v>66</v>
      </c>
      <c r="N170" s="51"/>
      <c r="O170">
        <v>0</v>
      </c>
      <c r="P170" t="s">
        <v>334</v>
      </c>
      <c r="Q170" t="b">
        <f t="shared" si="2"/>
        <v>1</v>
      </c>
    </row>
    <row r="171" spans="1:17">
      <c r="A171" s="51"/>
      <c r="B171" s="51" t="s">
        <v>337</v>
      </c>
      <c r="C171" s="51" t="s">
        <v>335</v>
      </c>
      <c r="D171" s="51" t="s">
        <v>336</v>
      </c>
      <c r="E171" s="52">
        <v>2229226723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80">
        <v>-2229226723</v>
      </c>
      <c r="L171" s="52"/>
      <c r="M171" s="53" t="s">
        <v>338</v>
      </c>
      <c r="N171" s="51"/>
      <c r="O171" t="s">
        <v>335</v>
      </c>
      <c r="P171" t="s">
        <v>336</v>
      </c>
      <c r="Q171" t="b">
        <f t="shared" si="2"/>
        <v>1</v>
      </c>
    </row>
    <row r="172" spans="1:17">
      <c r="A172" s="51"/>
      <c r="B172" s="51" t="s">
        <v>337</v>
      </c>
      <c r="C172" s="51" t="s">
        <v>339</v>
      </c>
      <c r="D172" s="51" t="s">
        <v>340</v>
      </c>
      <c r="E172" s="52">
        <v>45316293</v>
      </c>
      <c r="F172" s="52">
        <v>6021849996</v>
      </c>
      <c r="G172" s="52">
        <v>0</v>
      </c>
      <c r="H172" s="52">
        <v>0</v>
      </c>
      <c r="I172" s="52">
        <v>0</v>
      </c>
      <c r="J172" s="52">
        <v>6021849996</v>
      </c>
      <c r="K172" s="80">
        <v>5976533703</v>
      </c>
      <c r="L172" s="52"/>
      <c r="M172" s="53" t="s">
        <v>338</v>
      </c>
      <c r="N172" s="51"/>
      <c r="O172" t="s">
        <v>339</v>
      </c>
      <c r="P172" t="s">
        <v>340</v>
      </c>
      <c r="Q172" t="b">
        <f t="shared" si="2"/>
        <v>1</v>
      </c>
    </row>
    <row r="173" spans="1:17">
      <c r="A173" s="51"/>
      <c r="B173" s="51" t="s">
        <v>337</v>
      </c>
      <c r="C173" s="51" t="s">
        <v>341</v>
      </c>
      <c r="D173" s="51" t="s">
        <v>342</v>
      </c>
      <c r="E173" s="52">
        <v>186543860</v>
      </c>
      <c r="F173" s="52">
        <v>261127438</v>
      </c>
      <c r="G173" s="52">
        <v>0</v>
      </c>
      <c r="H173" s="52">
        <v>0</v>
      </c>
      <c r="I173" s="52">
        <v>0</v>
      </c>
      <c r="J173" s="52">
        <v>261127438</v>
      </c>
      <c r="K173" s="80">
        <v>74583578</v>
      </c>
      <c r="L173" s="52"/>
      <c r="M173" s="53" t="s">
        <v>338</v>
      </c>
      <c r="N173" s="51"/>
      <c r="O173" t="s">
        <v>341</v>
      </c>
      <c r="P173" t="s">
        <v>342</v>
      </c>
      <c r="Q173" t="b">
        <f t="shared" si="2"/>
        <v>1</v>
      </c>
    </row>
    <row r="174" spans="1:17">
      <c r="A174" s="51"/>
      <c r="B174" s="51" t="s">
        <v>337</v>
      </c>
      <c r="C174" s="51" t="s">
        <v>343</v>
      </c>
      <c r="D174" s="51" t="s">
        <v>344</v>
      </c>
      <c r="E174" s="52">
        <v>513457569</v>
      </c>
      <c r="F174" s="52">
        <v>762727893</v>
      </c>
      <c r="G174" s="52">
        <v>0</v>
      </c>
      <c r="H174" s="52">
        <v>0</v>
      </c>
      <c r="I174" s="52">
        <v>0</v>
      </c>
      <c r="J174" s="52">
        <v>762727893</v>
      </c>
      <c r="K174" s="80">
        <v>249270324</v>
      </c>
      <c r="L174" s="52"/>
      <c r="M174" s="53" t="s">
        <v>338</v>
      </c>
      <c r="N174" s="51"/>
      <c r="O174" t="s">
        <v>343</v>
      </c>
      <c r="P174" t="s">
        <v>344</v>
      </c>
      <c r="Q174" t="b">
        <f t="shared" si="2"/>
        <v>1</v>
      </c>
    </row>
    <row r="175" spans="1:17">
      <c r="A175" s="51"/>
      <c r="B175" s="51" t="s">
        <v>337</v>
      </c>
      <c r="C175" s="51" t="s">
        <v>345</v>
      </c>
      <c r="D175" s="51" t="s">
        <v>346</v>
      </c>
      <c r="E175" s="52">
        <v>445874098</v>
      </c>
      <c r="F175" s="52">
        <v>132522645</v>
      </c>
      <c r="G175" s="52">
        <v>0</v>
      </c>
      <c r="H175" s="52">
        <v>0</v>
      </c>
      <c r="I175" s="52">
        <v>0</v>
      </c>
      <c r="J175" s="52">
        <v>132522645</v>
      </c>
      <c r="K175" s="80">
        <v>-313351453</v>
      </c>
      <c r="L175" s="52"/>
      <c r="M175" s="53" t="s">
        <v>338</v>
      </c>
      <c r="N175" s="51"/>
      <c r="O175" t="s">
        <v>345</v>
      </c>
      <c r="P175" t="s">
        <v>346</v>
      </c>
      <c r="Q175" t="b">
        <f t="shared" si="2"/>
        <v>1</v>
      </c>
    </row>
    <row r="176" spans="1:17">
      <c r="A176" s="51"/>
      <c r="B176" s="51" t="s">
        <v>337</v>
      </c>
      <c r="C176" s="51" t="s">
        <v>347</v>
      </c>
      <c r="D176" s="51" t="s">
        <v>348</v>
      </c>
      <c r="E176" s="52">
        <v>63613797</v>
      </c>
      <c r="F176" s="52">
        <v>25946393</v>
      </c>
      <c r="G176" s="52">
        <v>0</v>
      </c>
      <c r="H176" s="52">
        <v>0</v>
      </c>
      <c r="I176" s="52">
        <v>0</v>
      </c>
      <c r="J176" s="52">
        <v>25946393</v>
      </c>
      <c r="K176" s="80">
        <v>-37667404</v>
      </c>
      <c r="L176" s="52"/>
      <c r="M176" s="53" t="s">
        <v>338</v>
      </c>
      <c r="N176" s="51"/>
      <c r="O176" t="s">
        <v>347</v>
      </c>
      <c r="P176" t="s">
        <v>348</v>
      </c>
      <c r="Q176" t="b">
        <f t="shared" si="2"/>
        <v>1</v>
      </c>
    </row>
    <row r="177" spans="1:17">
      <c r="A177" s="51"/>
      <c r="B177" s="51" t="s">
        <v>337</v>
      </c>
      <c r="C177" s="51" t="s">
        <v>349</v>
      </c>
      <c r="D177" s="51" t="s">
        <v>350</v>
      </c>
      <c r="E177" s="52">
        <v>21667313</v>
      </c>
      <c r="F177" s="52">
        <v>56879614</v>
      </c>
      <c r="G177" s="52">
        <v>0</v>
      </c>
      <c r="H177" s="52">
        <v>0</v>
      </c>
      <c r="I177" s="52">
        <v>0</v>
      </c>
      <c r="J177" s="52">
        <v>56879614</v>
      </c>
      <c r="K177" s="80">
        <v>35212301</v>
      </c>
      <c r="L177" s="52"/>
      <c r="M177" s="53" t="s">
        <v>338</v>
      </c>
      <c r="N177" s="51"/>
      <c r="O177" t="s">
        <v>349</v>
      </c>
      <c r="P177" t="s">
        <v>350</v>
      </c>
      <c r="Q177" t="b">
        <f t="shared" si="2"/>
        <v>1</v>
      </c>
    </row>
    <row r="178" spans="1:17">
      <c r="A178" s="51"/>
      <c r="B178" s="51" t="s">
        <v>337</v>
      </c>
      <c r="C178" s="51" t="s">
        <v>351</v>
      </c>
      <c r="D178" s="51" t="s">
        <v>352</v>
      </c>
      <c r="E178" s="52">
        <v>93528947</v>
      </c>
      <c r="F178" s="52">
        <v>104327084</v>
      </c>
      <c r="G178" s="52">
        <v>0</v>
      </c>
      <c r="H178" s="52">
        <v>0</v>
      </c>
      <c r="I178" s="52">
        <v>0</v>
      </c>
      <c r="J178" s="52">
        <v>104327084</v>
      </c>
      <c r="K178" s="80">
        <v>10798137</v>
      </c>
      <c r="L178" s="52"/>
      <c r="M178" s="53" t="s">
        <v>338</v>
      </c>
      <c r="N178" s="51"/>
      <c r="O178" t="s">
        <v>351</v>
      </c>
      <c r="P178" t="s">
        <v>352</v>
      </c>
      <c r="Q178" t="b">
        <f t="shared" si="2"/>
        <v>1</v>
      </c>
    </row>
    <row r="179" spans="1:17">
      <c r="A179" s="51"/>
      <c r="B179" s="51" t="s">
        <v>337</v>
      </c>
      <c r="C179" s="51" t="s">
        <v>353</v>
      </c>
      <c r="D179" s="51" t="s">
        <v>354</v>
      </c>
      <c r="E179" s="52">
        <v>30880580</v>
      </c>
      <c r="F179" s="52">
        <v>45456868</v>
      </c>
      <c r="G179" s="52">
        <v>0</v>
      </c>
      <c r="H179" s="52">
        <v>0</v>
      </c>
      <c r="I179" s="52">
        <v>0</v>
      </c>
      <c r="J179" s="52">
        <v>45456868</v>
      </c>
      <c r="K179" s="80">
        <v>14576288</v>
      </c>
      <c r="L179" s="52"/>
      <c r="M179" s="53" t="s">
        <v>338</v>
      </c>
      <c r="N179" s="51"/>
      <c r="O179" t="s">
        <v>353</v>
      </c>
      <c r="P179" t="s">
        <v>354</v>
      </c>
      <c r="Q179" t="b">
        <f t="shared" si="2"/>
        <v>1</v>
      </c>
    </row>
    <row r="180" spans="1:17">
      <c r="A180" s="51"/>
      <c r="B180" s="51" t="s">
        <v>337</v>
      </c>
      <c r="C180" s="51" t="s">
        <v>355</v>
      </c>
      <c r="D180" s="51" t="s">
        <v>356</v>
      </c>
      <c r="E180" s="52">
        <v>161693134</v>
      </c>
      <c r="F180" s="52">
        <v>214947955</v>
      </c>
      <c r="G180" s="52">
        <v>0</v>
      </c>
      <c r="H180" s="52">
        <v>0</v>
      </c>
      <c r="I180" s="52">
        <v>0</v>
      </c>
      <c r="J180" s="52">
        <v>214947955</v>
      </c>
      <c r="K180" s="80">
        <v>53254821</v>
      </c>
      <c r="L180" s="52"/>
      <c r="M180" s="53" t="s">
        <v>338</v>
      </c>
      <c r="N180" s="51"/>
      <c r="O180" t="s">
        <v>355</v>
      </c>
      <c r="P180" t="s">
        <v>356</v>
      </c>
      <c r="Q180" t="b">
        <f t="shared" si="2"/>
        <v>1</v>
      </c>
    </row>
    <row r="181" spans="1:17">
      <c r="A181" s="51"/>
      <c r="B181" s="51" t="s">
        <v>337</v>
      </c>
      <c r="C181" s="51" t="s">
        <v>357</v>
      </c>
      <c r="D181" s="51" t="s">
        <v>358</v>
      </c>
      <c r="E181" s="52">
        <v>38170794</v>
      </c>
      <c r="F181" s="52">
        <v>102444721</v>
      </c>
      <c r="G181" s="52">
        <v>0</v>
      </c>
      <c r="H181" s="52">
        <v>0</v>
      </c>
      <c r="I181" s="52">
        <v>0</v>
      </c>
      <c r="J181" s="52">
        <v>102444721</v>
      </c>
      <c r="K181" s="80">
        <v>64273927</v>
      </c>
      <c r="L181" s="52"/>
      <c r="M181" s="53" t="s">
        <v>338</v>
      </c>
      <c r="N181" s="51"/>
      <c r="O181" t="s">
        <v>357</v>
      </c>
      <c r="P181" t="s">
        <v>358</v>
      </c>
      <c r="Q181" t="b">
        <f t="shared" si="2"/>
        <v>1</v>
      </c>
    </row>
    <row r="182" spans="1:17">
      <c r="A182" s="51"/>
      <c r="B182" s="51" t="s">
        <v>337</v>
      </c>
      <c r="C182" s="51" t="s">
        <v>359</v>
      </c>
      <c r="D182" s="51" t="s">
        <v>360</v>
      </c>
      <c r="E182" s="52">
        <v>13845182</v>
      </c>
      <c r="F182" s="52">
        <v>14440551</v>
      </c>
      <c r="G182" s="52">
        <v>0</v>
      </c>
      <c r="H182" s="52">
        <v>0</v>
      </c>
      <c r="I182" s="52">
        <v>0</v>
      </c>
      <c r="J182" s="52">
        <v>14440551</v>
      </c>
      <c r="K182" s="80">
        <v>595369</v>
      </c>
      <c r="L182" s="52"/>
      <c r="M182" s="53" t="s">
        <v>338</v>
      </c>
      <c r="N182" s="51"/>
      <c r="O182" t="s">
        <v>359</v>
      </c>
      <c r="P182" t="s">
        <v>360</v>
      </c>
      <c r="Q182" t="b">
        <f t="shared" si="2"/>
        <v>1</v>
      </c>
    </row>
    <row r="183" spans="1:17">
      <c r="A183" s="51"/>
      <c r="B183" s="51" t="s">
        <v>337</v>
      </c>
      <c r="C183" s="51" t="s">
        <v>361</v>
      </c>
      <c r="D183" s="51" t="s">
        <v>362</v>
      </c>
      <c r="E183" s="52">
        <v>17479552</v>
      </c>
      <c r="F183" s="52">
        <v>92971106</v>
      </c>
      <c r="G183" s="52">
        <v>0</v>
      </c>
      <c r="H183" s="52">
        <v>0</v>
      </c>
      <c r="I183" s="52">
        <v>0</v>
      </c>
      <c r="J183" s="52">
        <v>92971106</v>
      </c>
      <c r="K183" s="80">
        <v>75491554</v>
      </c>
      <c r="L183" s="52"/>
      <c r="M183" s="53" t="s">
        <v>338</v>
      </c>
      <c r="N183" s="51"/>
      <c r="O183" t="s">
        <v>361</v>
      </c>
      <c r="P183" t="s">
        <v>362</v>
      </c>
      <c r="Q183" t="b">
        <f t="shared" si="2"/>
        <v>1</v>
      </c>
    </row>
    <row r="184" spans="1:17">
      <c r="A184" s="51"/>
      <c r="B184" s="51" t="s">
        <v>337</v>
      </c>
      <c r="C184" s="51" t="s">
        <v>363</v>
      </c>
      <c r="D184" s="51" t="s">
        <v>364</v>
      </c>
      <c r="E184" s="52">
        <v>4258388</v>
      </c>
      <c r="F184" s="52">
        <v>11302447</v>
      </c>
      <c r="G184" s="52">
        <v>0</v>
      </c>
      <c r="H184" s="52">
        <v>0</v>
      </c>
      <c r="I184" s="52">
        <v>0</v>
      </c>
      <c r="J184" s="52">
        <v>11302447</v>
      </c>
      <c r="K184" s="80">
        <v>7044059</v>
      </c>
      <c r="L184" s="52"/>
      <c r="M184" s="53" t="s">
        <v>338</v>
      </c>
      <c r="N184" s="51"/>
      <c r="O184" t="s">
        <v>363</v>
      </c>
      <c r="P184" t="s">
        <v>364</v>
      </c>
      <c r="Q184" t="b">
        <f t="shared" si="2"/>
        <v>1</v>
      </c>
    </row>
    <row r="185" spans="1:17">
      <c r="A185" s="51"/>
      <c r="B185" s="51" t="s">
        <v>337</v>
      </c>
      <c r="C185" s="51" t="s">
        <v>365</v>
      </c>
      <c r="D185" s="51" t="s">
        <v>366</v>
      </c>
      <c r="E185" s="52">
        <v>3627783613</v>
      </c>
      <c r="F185" s="52">
        <v>7612483103</v>
      </c>
      <c r="G185" s="52">
        <v>0</v>
      </c>
      <c r="H185" s="52">
        <v>0</v>
      </c>
      <c r="I185" s="52">
        <v>0</v>
      </c>
      <c r="J185" s="52">
        <v>7612483103</v>
      </c>
      <c r="K185" s="80">
        <v>3984699490</v>
      </c>
      <c r="L185" s="52"/>
      <c r="M185" s="53" t="s">
        <v>338</v>
      </c>
      <c r="N185" s="51"/>
      <c r="O185" t="s">
        <v>365</v>
      </c>
      <c r="P185" t="s">
        <v>366</v>
      </c>
      <c r="Q185" t="b">
        <f t="shared" si="2"/>
        <v>1</v>
      </c>
    </row>
    <row r="186" spans="1:17">
      <c r="A186" s="51"/>
      <c r="B186" s="51" t="s">
        <v>337</v>
      </c>
      <c r="C186" s="51" t="s">
        <v>367</v>
      </c>
      <c r="D186" s="51" t="s">
        <v>368</v>
      </c>
      <c r="E186" s="52">
        <v>0</v>
      </c>
      <c r="F186" s="52">
        <v>0</v>
      </c>
      <c r="G186" s="52">
        <v>0</v>
      </c>
      <c r="H186" s="52">
        <v>0</v>
      </c>
      <c r="I186" s="52">
        <v>0</v>
      </c>
      <c r="J186" s="52">
        <v>0</v>
      </c>
      <c r="K186" s="80">
        <v>0</v>
      </c>
      <c r="L186" s="52"/>
      <c r="M186" s="53" t="s">
        <v>338</v>
      </c>
      <c r="N186" s="51"/>
      <c r="O186" t="s">
        <v>367</v>
      </c>
      <c r="P186" t="s">
        <v>368</v>
      </c>
      <c r="Q186" t="b">
        <f t="shared" si="2"/>
        <v>1</v>
      </c>
    </row>
    <row r="187" spans="1:17">
      <c r="A187" s="51"/>
      <c r="B187" s="51" t="s">
        <v>337</v>
      </c>
      <c r="C187" s="51" t="s">
        <v>369</v>
      </c>
      <c r="D187" s="51" t="s">
        <v>370</v>
      </c>
      <c r="E187" s="52">
        <v>87048410</v>
      </c>
      <c r="F187" s="52">
        <v>204497282</v>
      </c>
      <c r="G187" s="52">
        <v>0</v>
      </c>
      <c r="H187" s="52">
        <v>0</v>
      </c>
      <c r="I187" s="52">
        <v>0</v>
      </c>
      <c r="J187" s="52">
        <v>204497282</v>
      </c>
      <c r="K187" s="80">
        <v>117448872</v>
      </c>
      <c r="L187" s="52"/>
      <c r="M187" s="53" t="s">
        <v>338</v>
      </c>
      <c r="N187" s="51"/>
      <c r="O187" t="s">
        <v>369</v>
      </c>
      <c r="P187" t="s">
        <v>370</v>
      </c>
      <c r="Q187" t="b">
        <f t="shared" si="2"/>
        <v>1</v>
      </c>
    </row>
    <row r="188" spans="1:17">
      <c r="A188" s="51"/>
      <c r="B188" s="51" t="s">
        <v>337</v>
      </c>
      <c r="C188" s="51" t="s">
        <v>371</v>
      </c>
      <c r="D188" s="51" t="s">
        <v>372</v>
      </c>
      <c r="E188" s="52">
        <v>0</v>
      </c>
      <c r="F188" s="52">
        <v>0</v>
      </c>
      <c r="G188" s="52">
        <v>0</v>
      </c>
      <c r="H188" s="52">
        <v>0</v>
      </c>
      <c r="I188" s="52">
        <v>0</v>
      </c>
      <c r="J188" s="52">
        <v>0</v>
      </c>
      <c r="K188" s="80">
        <v>0</v>
      </c>
      <c r="L188" s="52"/>
      <c r="M188" s="53" t="s">
        <v>338</v>
      </c>
      <c r="N188" s="51"/>
      <c r="O188" t="s">
        <v>371</v>
      </c>
      <c r="P188" t="s">
        <v>372</v>
      </c>
      <c r="Q188" t="b">
        <f t="shared" si="2"/>
        <v>1</v>
      </c>
    </row>
    <row r="189" spans="1:17">
      <c r="A189" s="51"/>
      <c r="B189" s="51" t="s">
        <v>337</v>
      </c>
      <c r="C189" s="51" t="s">
        <v>373</v>
      </c>
      <c r="D189" s="51" t="s">
        <v>374</v>
      </c>
      <c r="E189" s="52">
        <v>10974599</v>
      </c>
      <c r="F189" s="52">
        <v>15164684</v>
      </c>
      <c r="G189" s="52">
        <v>0</v>
      </c>
      <c r="H189" s="52">
        <v>0</v>
      </c>
      <c r="I189" s="52">
        <v>0</v>
      </c>
      <c r="J189" s="52">
        <v>15164684</v>
      </c>
      <c r="K189" s="80">
        <v>4190085</v>
      </c>
      <c r="L189" s="52"/>
      <c r="M189" s="53" t="s">
        <v>338</v>
      </c>
      <c r="N189" s="51"/>
      <c r="O189" t="s">
        <v>373</v>
      </c>
      <c r="P189" t="s">
        <v>374</v>
      </c>
      <c r="Q189" t="b">
        <f t="shared" si="2"/>
        <v>1</v>
      </c>
    </row>
    <row r="190" spans="1:17">
      <c r="A190" s="51"/>
      <c r="B190" s="51" t="s">
        <v>337</v>
      </c>
      <c r="C190" s="51" t="s">
        <v>375</v>
      </c>
      <c r="D190" s="51" t="s">
        <v>376</v>
      </c>
      <c r="E190" s="52">
        <v>8119905</v>
      </c>
      <c r="F190" s="52">
        <v>6774980</v>
      </c>
      <c r="G190" s="52">
        <v>0</v>
      </c>
      <c r="H190" s="52">
        <v>0</v>
      </c>
      <c r="I190" s="52">
        <v>0</v>
      </c>
      <c r="J190" s="52">
        <v>6774980</v>
      </c>
      <c r="K190" s="80">
        <v>-1344925</v>
      </c>
      <c r="L190" s="52"/>
      <c r="M190" s="53" t="s">
        <v>338</v>
      </c>
      <c r="N190" s="51"/>
      <c r="O190" t="s">
        <v>375</v>
      </c>
      <c r="P190" t="s">
        <v>376</v>
      </c>
      <c r="Q190" t="b">
        <f t="shared" si="2"/>
        <v>1</v>
      </c>
    </row>
    <row r="191" spans="1:17">
      <c r="A191" s="51"/>
      <c r="B191" s="51" t="s">
        <v>337</v>
      </c>
      <c r="C191" s="51" t="s">
        <v>377</v>
      </c>
      <c r="D191" s="51" t="s">
        <v>378</v>
      </c>
      <c r="E191" s="52">
        <v>69415658</v>
      </c>
      <c r="F191" s="52">
        <v>204783549</v>
      </c>
      <c r="G191" s="52">
        <v>0</v>
      </c>
      <c r="H191" s="52">
        <v>0</v>
      </c>
      <c r="I191" s="52">
        <v>0</v>
      </c>
      <c r="J191" s="52">
        <v>204783549</v>
      </c>
      <c r="K191" s="80">
        <v>135367891</v>
      </c>
      <c r="L191" s="52"/>
      <c r="M191" s="53" t="s">
        <v>338</v>
      </c>
      <c r="N191" s="51"/>
      <c r="O191" t="s">
        <v>377</v>
      </c>
      <c r="P191" t="s">
        <v>378</v>
      </c>
      <c r="Q191" t="b">
        <f t="shared" si="2"/>
        <v>1</v>
      </c>
    </row>
    <row r="192" spans="1:17">
      <c r="A192" s="51"/>
      <c r="B192" s="51" t="s">
        <v>337</v>
      </c>
      <c r="C192" s="51" t="s">
        <v>379</v>
      </c>
      <c r="D192" s="51" t="s">
        <v>380</v>
      </c>
      <c r="E192" s="52">
        <v>0</v>
      </c>
      <c r="F192" s="52">
        <v>0</v>
      </c>
      <c r="G192" s="52">
        <v>0</v>
      </c>
      <c r="H192" s="52">
        <v>0</v>
      </c>
      <c r="I192" s="52">
        <v>0</v>
      </c>
      <c r="J192" s="52">
        <v>0</v>
      </c>
      <c r="K192" s="80">
        <v>0</v>
      </c>
      <c r="L192" s="52"/>
      <c r="M192" s="53" t="s">
        <v>338</v>
      </c>
      <c r="N192" s="51"/>
      <c r="O192" t="s">
        <v>379</v>
      </c>
      <c r="P192" t="s">
        <v>380</v>
      </c>
      <c r="Q192" t="b">
        <f t="shared" si="2"/>
        <v>1</v>
      </c>
    </row>
    <row r="193" spans="1:17">
      <c r="A193" s="51"/>
      <c r="B193" s="51" t="s">
        <v>337</v>
      </c>
      <c r="C193" s="51" t="s">
        <v>381</v>
      </c>
      <c r="D193" s="51" t="s">
        <v>382</v>
      </c>
      <c r="E193" s="52">
        <v>848428442</v>
      </c>
      <c r="F193" s="52">
        <v>2135752506</v>
      </c>
      <c r="G193" s="52">
        <v>0</v>
      </c>
      <c r="H193" s="52">
        <v>0</v>
      </c>
      <c r="I193" s="52">
        <v>0</v>
      </c>
      <c r="J193" s="52">
        <v>2135752506</v>
      </c>
      <c r="K193" s="80">
        <v>1287324064</v>
      </c>
      <c r="L193" s="52"/>
      <c r="M193" s="53" t="s">
        <v>338</v>
      </c>
      <c r="N193" s="51"/>
      <c r="O193" t="s">
        <v>381</v>
      </c>
      <c r="P193" t="s">
        <v>382</v>
      </c>
      <c r="Q193" t="b">
        <f t="shared" si="2"/>
        <v>1</v>
      </c>
    </row>
    <row r="194" spans="1:17">
      <c r="A194" s="51"/>
      <c r="B194" s="51" t="s">
        <v>337</v>
      </c>
      <c r="C194" s="51" t="s">
        <v>383</v>
      </c>
      <c r="D194" s="51" t="s">
        <v>384</v>
      </c>
      <c r="E194" s="52">
        <v>0</v>
      </c>
      <c r="F194" s="52">
        <v>0</v>
      </c>
      <c r="G194" s="52">
        <v>0</v>
      </c>
      <c r="H194" s="52">
        <v>0</v>
      </c>
      <c r="I194" s="52">
        <v>0</v>
      </c>
      <c r="J194" s="52">
        <v>0</v>
      </c>
      <c r="K194" s="80">
        <v>0</v>
      </c>
      <c r="L194" s="52"/>
      <c r="M194" s="53" t="s">
        <v>338</v>
      </c>
      <c r="N194" s="51"/>
      <c r="O194" t="s">
        <v>383</v>
      </c>
      <c r="P194" t="s">
        <v>384</v>
      </c>
      <c r="Q194" t="b">
        <f t="shared" si="2"/>
        <v>1</v>
      </c>
    </row>
    <row r="195" spans="1:17">
      <c r="A195" s="51"/>
      <c r="B195" s="51" t="s">
        <v>337</v>
      </c>
      <c r="C195" s="51" t="s">
        <v>385</v>
      </c>
      <c r="D195" s="51" t="s">
        <v>386</v>
      </c>
      <c r="E195" s="52">
        <v>354144883</v>
      </c>
      <c r="F195" s="52">
        <v>540126666</v>
      </c>
      <c r="G195" s="52">
        <v>0</v>
      </c>
      <c r="H195" s="52">
        <v>0</v>
      </c>
      <c r="I195" s="52">
        <v>0</v>
      </c>
      <c r="J195" s="52">
        <v>540126666</v>
      </c>
      <c r="K195" s="80">
        <v>185981783</v>
      </c>
      <c r="L195" s="52"/>
      <c r="M195" s="53" t="s">
        <v>338</v>
      </c>
      <c r="N195" s="51"/>
      <c r="O195" t="s">
        <v>385</v>
      </c>
      <c r="P195" t="s">
        <v>386</v>
      </c>
      <c r="Q195" t="b">
        <f t="shared" si="2"/>
        <v>1</v>
      </c>
    </row>
    <row r="196" spans="1:17">
      <c r="A196" s="51"/>
      <c r="B196" s="51" t="s">
        <v>337</v>
      </c>
      <c r="C196" s="51" t="s">
        <v>387</v>
      </c>
      <c r="D196" s="51" t="s">
        <v>388</v>
      </c>
      <c r="E196" s="52">
        <v>0</v>
      </c>
      <c r="F196" s="52">
        <v>0</v>
      </c>
      <c r="G196" s="52">
        <v>0</v>
      </c>
      <c r="H196" s="52">
        <v>0</v>
      </c>
      <c r="I196" s="52">
        <v>0</v>
      </c>
      <c r="J196" s="52">
        <v>0</v>
      </c>
      <c r="K196" s="80">
        <v>0</v>
      </c>
      <c r="L196" s="52"/>
      <c r="M196" s="53" t="s">
        <v>338</v>
      </c>
      <c r="N196" s="51"/>
      <c r="O196" t="s">
        <v>387</v>
      </c>
      <c r="P196" t="s">
        <v>388</v>
      </c>
      <c r="Q196" t="b">
        <f t="shared" si="2"/>
        <v>1</v>
      </c>
    </row>
    <row r="197" spans="1:17">
      <c r="A197" s="51"/>
      <c r="B197" s="51" t="s">
        <v>337</v>
      </c>
      <c r="C197" s="51" t="s">
        <v>389</v>
      </c>
      <c r="D197" s="51" t="s">
        <v>390</v>
      </c>
      <c r="E197" s="52">
        <v>-180015648</v>
      </c>
      <c r="F197" s="52">
        <v>470162695</v>
      </c>
      <c r="G197" s="52">
        <v>0</v>
      </c>
      <c r="H197" s="52">
        <v>0</v>
      </c>
      <c r="I197" s="52">
        <v>0</v>
      </c>
      <c r="J197" s="52">
        <v>470162695</v>
      </c>
      <c r="K197" s="80">
        <v>650178343</v>
      </c>
      <c r="L197" s="52"/>
      <c r="M197" s="53" t="s">
        <v>338</v>
      </c>
      <c r="N197" s="51"/>
      <c r="O197" t="s">
        <v>389</v>
      </c>
      <c r="P197" t="s">
        <v>390</v>
      </c>
      <c r="Q197" t="b">
        <f t="shared" si="2"/>
        <v>1</v>
      </c>
    </row>
    <row r="198" spans="1:17">
      <c r="A198" s="51"/>
      <c r="B198" s="51" t="s">
        <v>337</v>
      </c>
      <c r="C198" s="51" t="s">
        <v>391</v>
      </c>
      <c r="D198" s="51" t="s">
        <v>392</v>
      </c>
      <c r="E198" s="52">
        <v>12374900</v>
      </c>
      <c r="F198" s="52">
        <v>2066488400</v>
      </c>
      <c r="G198" s="52">
        <v>0</v>
      </c>
      <c r="H198" s="52">
        <v>0</v>
      </c>
      <c r="I198" s="52">
        <v>0</v>
      </c>
      <c r="J198" s="52">
        <v>2066488400</v>
      </c>
      <c r="K198" s="80">
        <v>2054113500</v>
      </c>
      <c r="L198" s="52"/>
      <c r="M198" s="53" t="s">
        <v>338</v>
      </c>
      <c r="N198" s="51"/>
      <c r="O198" t="s">
        <v>391</v>
      </c>
      <c r="P198" t="s">
        <v>392</v>
      </c>
      <c r="Q198" t="b">
        <f t="shared" si="2"/>
        <v>1</v>
      </c>
    </row>
    <row r="199" spans="1:17">
      <c r="A199" s="51"/>
      <c r="B199" s="51" t="s">
        <v>337</v>
      </c>
      <c r="C199" s="51" t="s">
        <v>393</v>
      </c>
      <c r="D199" s="51" t="s">
        <v>394</v>
      </c>
      <c r="E199" s="52">
        <v>0</v>
      </c>
      <c r="F199" s="52">
        <v>0</v>
      </c>
      <c r="G199" s="52">
        <v>0</v>
      </c>
      <c r="H199" s="52">
        <v>0</v>
      </c>
      <c r="I199" s="52">
        <v>0</v>
      </c>
      <c r="J199" s="52">
        <v>0</v>
      </c>
      <c r="K199" s="80">
        <v>0</v>
      </c>
      <c r="L199" s="52"/>
      <c r="M199" s="53" t="s">
        <v>338</v>
      </c>
      <c r="N199" s="51"/>
      <c r="O199" t="s">
        <v>393</v>
      </c>
      <c r="P199" t="s">
        <v>394</v>
      </c>
      <c r="Q199" t="b">
        <f t="shared" ref="Q199:Q257" si="3">O199=C199</f>
        <v>1</v>
      </c>
    </row>
    <row r="200" spans="1:17">
      <c r="A200" s="51"/>
      <c r="B200" s="51" t="s">
        <v>337</v>
      </c>
      <c r="C200" s="51" t="s">
        <v>395</v>
      </c>
      <c r="D200" s="51" t="s">
        <v>396</v>
      </c>
      <c r="E200" s="52">
        <v>83718565</v>
      </c>
      <c r="F200" s="52">
        <v>78391153</v>
      </c>
      <c r="G200" s="52">
        <v>0</v>
      </c>
      <c r="H200" s="52">
        <v>0</v>
      </c>
      <c r="I200" s="52">
        <v>0</v>
      </c>
      <c r="J200" s="52">
        <v>78391153</v>
      </c>
      <c r="K200" s="80">
        <v>-5327412</v>
      </c>
      <c r="L200" s="52"/>
      <c r="M200" s="53" t="s">
        <v>338</v>
      </c>
      <c r="N200" s="51"/>
      <c r="O200" t="s">
        <v>395</v>
      </c>
      <c r="P200" t="s">
        <v>396</v>
      </c>
      <c r="Q200" t="b">
        <f t="shared" si="3"/>
        <v>1</v>
      </c>
    </row>
    <row r="201" spans="1:17">
      <c r="A201" s="51"/>
      <c r="B201" s="51" t="s">
        <v>337</v>
      </c>
      <c r="C201" s="51" t="s">
        <v>397</v>
      </c>
      <c r="D201" s="51" t="s">
        <v>398</v>
      </c>
      <c r="E201" s="52">
        <v>47792</v>
      </c>
      <c r="F201" s="52">
        <v>0</v>
      </c>
      <c r="G201" s="52">
        <v>0</v>
      </c>
      <c r="H201" s="52">
        <v>0</v>
      </c>
      <c r="I201" s="52">
        <v>0</v>
      </c>
      <c r="J201" s="52">
        <v>0</v>
      </c>
      <c r="K201" s="80">
        <v>-47792</v>
      </c>
      <c r="L201" s="52"/>
      <c r="M201" s="53" t="s">
        <v>338</v>
      </c>
      <c r="N201" s="51"/>
      <c r="O201" t="s">
        <v>397</v>
      </c>
      <c r="P201" t="s">
        <v>398</v>
      </c>
      <c r="Q201" t="b">
        <f t="shared" si="3"/>
        <v>1</v>
      </c>
    </row>
    <row r="202" spans="1:17">
      <c r="A202" s="51"/>
      <c r="B202" s="51" t="s">
        <v>337</v>
      </c>
      <c r="C202" s="51" t="s">
        <v>399</v>
      </c>
      <c r="D202" s="51" t="s">
        <v>400</v>
      </c>
      <c r="E202" s="52">
        <v>0</v>
      </c>
      <c r="F202" s="52">
        <v>348063905</v>
      </c>
      <c r="G202" s="52">
        <v>0</v>
      </c>
      <c r="H202" s="52">
        <v>0</v>
      </c>
      <c r="I202" s="52">
        <v>0</v>
      </c>
      <c r="J202" s="52">
        <v>348063905</v>
      </c>
      <c r="K202" s="80">
        <v>348063905</v>
      </c>
      <c r="L202" s="52"/>
      <c r="M202" s="53" t="s">
        <v>338</v>
      </c>
      <c r="N202" s="51"/>
      <c r="O202" t="s">
        <v>399</v>
      </c>
      <c r="P202" t="s">
        <v>400</v>
      </c>
      <c r="Q202" t="b">
        <f t="shared" si="3"/>
        <v>1</v>
      </c>
    </row>
    <row r="203" spans="1:17">
      <c r="A203" s="51"/>
      <c r="B203" s="51" t="s">
        <v>337</v>
      </c>
      <c r="C203" s="51" t="s">
        <v>861</v>
      </c>
      <c r="D203" s="51" t="s">
        <v>862</v>
      </c>
      <c r="E203" s="52">
        <v>5258200</v>
      </c>
      <c r="F203" s="52">
        <v>19232966</v>
      </c>
      <c r="G203" s="52">
        <v>0</v>
      </c>
      <c r="H203" s="52">
        <v>0</v>
      </c>
      <c r="I203" s="52">
        <v>0</v>
      </c>
      <c r="J203" s="52">
        <v>19232966</v>
      </c>
      <c r="K203" s="80">
        <v>13974766</v>
      </c>
      <c r="L203" s="52"/>
      <c r="M203" s="53"/>
      <c r="N203" s="51"/>
      <c r="O203" t="s">
        <v>861</v>
      </c>
      <c r="P203" t="s">
        <v>862</v>
      </c>
      <c r="Q203" t="b">
        <f t="shared" si="3"/>
        <v>1</v>
      </c>
    </row>
    <row r="204" spans="1:17">
      <c r="A204" s="51"/>
      <c r="B204" s="74">
        <v>0</v>
      </c>
      <c r="C204" s="74">
        <v>0</v>
      </c>
      <c r="D204" s="75" t="s">
        <v>401</v>
      </c>
      <c r="E204" s="78">
        <v>9927980842</v>
      </c>
      <c r="F204" s="78">
        <v>558071608749</v>
      </c>
      <c r="G204" s="77"/>
      <c r="H204" s="77"/>
      <c r="I204" s="77"/>
      <c r="J204" s="78">
        <v>558030969819</v>
      </c>
      <c r="K204" s="78">
        <v>548102988977</v>
      </c>
      <c r="L204" s="78"/>
      <c r="M204" s="53" t="s">
        <v>66</v>
      </c>
      <c r="N204" s="51"/>
      <c r="O204">
        <v>0</v>
      </c>
      <c r="P204" t="s">
        <v>401</v>
      </c>
      <c r="Q204" t="b">
        <f t="shared" si="3"/>
        <v>1</v>
      </c>
    </row>
    <row r="205" spans="1:17">
      <c r="A205" s="51"/>
      <c r="B205" s="74">
        <v>0</v>
      </c>
      <c r="C205" s="74">
        <v>0</v>
      </c>
      <c r="D205" s="75" t="s">
        <v>402</v>
      </c>
      <c r="E205" s="78">
        <v>16812064360</v>
      </c>
      <c r="F205" s="78">
        <v>596502421</v>
      </c>
      <c r="G205" s="77"/>
      <c r="H205" s="77"/>
      <c r="I205" s="77"/>
      <c r="J205" s="78">
        <v>596502421</v>
      </c>
      <c r="K205" s="78">
        <v>-16215561939</v>
      </c>
      <c r="L205" s="78"/>
      <c r="M205" s="53" t="s">
        <v>66</v>
      </c>
      <c r="N205" s="51"/>
      <c r="O205">
        <v>0</v>
      </c>
      <c r="P205" t="s">
        <v>402</v>
      </c>
      <c r="Q205" t="b">
        <f t="shared" si="3"/>
        <v>1</v>
      </c>
    </row>
    <row r="206" spans="1:17">
      <c r="A206" s="51"/>
      <c r="B206" s="51" t="s">
        <v>405</v>
      </c>
      <c r="C206" s="51" t="s">
        <v>403</v>
      </c>
      <c r="D206" s="51" t="s">
        <v>404</v>
      </c>
      <c r="E206" s="52">
        <v>0</v>
      </c>
      <c r="F206" s="52">
        <v>0</v>
      </c>
      <c r="G206" s="52">
        <v>0</v>
      </c>
      <c r="H206" s="52">
        <v>0</v>
      </c>
      <c r="I206" s="52">
        <v>0</v>
      </c>
      <c r="J206" s="52">
        <v>0</v>
      </c>
      <c r="K206" s="80">
        <v>0</v>
      </c>
      <c r="L206" s="80"/>
      <c r="M206" s="53" t="s">
        <v>406</v>
      </c>
      <c r="N206" s="51"/>
      <c r="O206" t="s">
        <v>403</v>
      </c>
      <c r="P206" t="s">
        <v>404</v>
      </c>
      <c r="Q206" t="b">
        <f t="shared" si="3"/>
        <v>1</v>
      </c>
    </row>
    <row r="207" spans="1:17">
      <c r="A207" s="51"/>
      <c r="B207" s="51" t="s">
        <v>405</v>
      </c>
      <c r="C207" s="51" t="s">
        <v>863</v>
      </c>
      <c r="D207" s="51" t="s">
        <v>864</v>
      </c>
      <c r="E207" s="52">
        <v>3948000</v>
      </c>
      <c r="F207" s="52">
        <v>52198920</v>
      </c>
      <c r="G207" s="52">
        <v>0</v>
      </c>
      <c r="H207" s="52">
        <v>0</v>
      </c>
      <c r="I207" s="52">
        <v>0</v>
      </c>
      <c r="J207" s="52">
        <v>52198920</v>
      </c>
      <c r="K207" s="80">
        <v>48250920</v>
      </c>
      <c r="L207" s="80"/>
      <c r="M207" s="53"/>
      <c r="N207" s="51"/>
      <c r="O207" t="s">
        <v>863</v>
      </c>
      <c r="P207" t="s">
        <v>864</v>
      </c>
      <c r="Q207" t="b">
        <f t="shared" si="3"/>
        <v>1</v>
      </c>
    </row>
    <row r="208" spans="1:17">
      <c r="A208" s="51"/>
      <c r="B208" s="51" t="s">
        <v>405</v>
      </c>
      <c r="C208" s="51" t="s">
        <v>407</v>
      </c>
      <c r="D208" s="51" t="s">
        <v>408</v>
      </c>
      <c r="E208" s="52">
        <v>489050671</v>
      </c>
      <c r="F208" s="52">
        <v>468049230</v>
      </c>
      <c r="G208" s="52">
        <v>0</v>
      </c>
      <c r="H208" s="52">
        <v>0</v>
      </c>
      <c r="I208" s="52">
        <v>0</v>
      </c>
      <c r="J208" s="52">
        <v>468049230</v>
      </c>
      <c r="K208" s="80">
        <v>-21001441</v>
      </c>
      <c r="L208" s="80"/>
      <c r="M208" s="53" t="s">
        <v>406</v>
      </c>
      <c r="N208" s="51"/>
      <c r="O208" t="s">
        <v>407</v>
      </c>
      <c r="P208" t="s">
        <v>408</v>
      </c>
      <c r="Q208" t="b">
        <f t="shared" si="3"/>
        <v>1</v>
      </c>
    </row>
    <row r="209" spans="1:17">
      <c r="A209" s="51"/>
      <c r="B209" s="51" t="s">
        <v>405</v>
      </c>
      <c r="C209" s="51" t="s">
        <v>409</v>
      </c>
      <c r="D209" s="51" t="s">
        <v>410</v>
      </c>
      <c r="E209" s="52">
        <v>3166333</v>
      </c>
      <c r="F209" s="52">
        <v>18175186</v>
      </c>
      <c r="G209" s="52">
        <v>0</v>
      </c>
      <c r="H209" s="52">
        <v>0</v>
      </c>
      <c r="I209" s="52">
        <v>0</v>
      </c>
      <c r="J209" s="52">
        <v>18175186</v>
      </c>
      <c r="K209" s="80">
        <v>15008853</v>
      </c>
      <c r="L209" s="80"/>
      <c r="M209" s="53" t="s">
        <v>406</v>
      </c>
      <c r="N209" s="51"/>
      <c r="O209" t="s">
        <v>409</v>
      </c>
      <c r="P209" t="s">
        <v>410</v>
      </c>
      <c r="Q209" t="b">
        <f t="shared" si="3"/>
        <v>1</v>
      </c>
    </row>
    <row r="210" spans="1:17">
      <c r="A210" s="51"/>
      <c r="B210" s="51" t="s">
        <v>405</v>
      </c>
      <c r="C210" s="51" t="s">
        <v>411</v>
      </c>
      <c r="D210" s="51" t="s">
        <v>524</v>
      </c>
      <c r="E210" s="52">
        <v>0</v>
      </c>
      <c r="F210" s="52">
        <v>866446</v>
      </c>
      <c r="G210" s="52">
        <v>0</v>
      </c>
      <c r="H210" s="52">
        <v>0</v>
      </c>
      <c r="I210" s="52">
        <v>0</v>
      </c>
      <c r="J210" s="52">
        <v>866446</v>
      </c>
      <c r="K210" s="80">
        <v>866446</v>
      </c>
      <c r="L210" s="80"/>
      <c r="M210" s="53" t="s">
        <v>406</v>
      </c>
      <c r="N210" s="51"/>
      <c r="O210" t="s">
        <v>411</v>
      </c>
      <c r="P210" t="s">
        <v>524</v>
      </c>
      <c r="Q210" t="b">
        <f t="shared" si="3"/>
        <v>1</v>
      </c>
    </row>
    <row r="211" spans="1:17">
      <c r="A211" s="51"/>
      <c r="B211" s="51" t="s">
        <v>405</v>
      </c>
      <c r="C211" s="51" t="s">
        <v>412</v>
      </c>
      <c r="D211" s="51" t="s">
        <v>413</v>
      </c>
      <c r="E211" s="52">
        <v>16291404045</v>
      </c>
      <c r="F211" s="52">
        <v>0</v>
      </c>
      <c r="G211" s="52">
        <v>0</v>
      </c>
      <c r="H211" s="52">
        <v>0</v>
      </c>
      <c r="I211" s="52">
        <v>0</v>
      </c>
      <c r="J211" s="52">
        <v>0</v>
      </c>
      <c r="K211" s="80">
        <v>-16291404045</v>
      </c>
      <c r="L211" s="80"/>
      <c r="M211" s="53" t="s">
        <v>406</v>
      </c>
      <c r="N211" s="51"/>
      <c r="O211" t="s">
        <v>412</v>
      </c>
      <c r="P211" t="s">
        <v>413</v>
      </c>
      <c r="Q211" t="b">
        <f t="shared" si="3"/>
        <v>1</v>
      </c>
    </row>
    <row r="212" spans="1:17">
      <c r="A212" s="51"/>
      <c r="B212" s="51" t="s">
        <v>416</v>
      </c>
      <c r="C212" s="51" t="s">
        <v>414</v>
      </c>
      <c r="D212" s="51" t="s">
        <v>415</v>
      </c>
      <c r="E212" s="52">
        <v>0</v>
      </c>
      <c r="F212" s="52">
        <v>0</v>
      </c>
      <c r="G212" s="52">
        <v>0</v>
      </c>
      <c r="H212" s="52">
        <v>0</v>
      </c>
      <c r="I212" s="52">
        <v>0</v>
      </c>
      <c r="J212" s="95">
        <v>0</v>
      </c>
      <c r="K212" s="80">
        <v>0</v>
      </c>
      <c r="L212" s="80"/>
      <c r="M212" s="53" t="s">
        <v>417</v>
      </c>
      <c r="N212" s="51"/>
      <c r="O212" t="s">
        <v>414</v>
      </c>
      <c r="P212" t="s">
        <v>415</v>
      </c>
      <c r="Q212" t="b">
        <f t="shared" si="3"/>
        <v>1</v>
      </c>
    </row>
    <row r="213" spans="1:17">
      <c r="A213" s="51"/>
      <c r="B213" s="51" t="s">
        <v>405</v>
      </c>
      <c r="C213" s="51" t="s">
        <v>418</v>
      </c>
      <c r="D213" s="51" t="s">
        <v>419</v>
      </c>
      <c r="E213" s="52">
        <v>24495311</v>
      </c>
      <c r="F213" s="52">
        <v>57212639</v>
      </c>
      <c r="G213" s="52">
        <v>0</v>
      </c>
      <c r="H213" s="52">
        <v>0</v>
      </c>
      <c r="I213" s="52">
        <v>0</v>
      </c>
      <c r="J213" s="52">
        <v>57212639</v>
      </c>
      <c r="K213" s="80">
        <v>32717328</v>
      </c>
      <c r="L213" s="80"/>
      <c r="M213" s="53" t="s">
        <v>406</v>
      </c>
      <c r="N213" s="51"/>
      <c r="O213" t="s">
        <v>418</v>
      </c>
      <c r="P213" t="s">
        <v>419</v>
      </c>
      <c r="Q213" t="b">
        <f t="shared" si="3"/>
        <v>1</v>
      </c>
    </row>
    <row r="214" spans="1:17">
      <c r="A214" s="51"/>
      <c r="B214" s="74">
        <v>0</v>
      </c>
      <c r="C214" s="74">
        <v>0</v>
      </c>
      <c r="D214" s="75" t="s">
        <v>420</v>
      </c>
      <c r="E214" s="78">
        <v>270943907</v>
      </c>
      <c r="F214" s="78">
        <v>6409778889</v>
      </c>
      <c r="G214" s="77"/>
      <c r="H214" s="77"/>
      <c r="I214" s="77"/>
      <c r="J214" s="78">
        <v>6409778889</v>
      </c>
      <c r="K214" s="78">
        <v>6138834982</v>
      </c>
      <c r="L214" s="78"/>
      <c r="M214" s="53" t="s">
        <v>66</v>
      </c>
      <c r="N214" s="51"/>
      <c r="O214">
        <v>0</v>
      </c>
      <c r="P214" t="s">
        <v>420</v>
      </c>
      <c r="Q214" t="b">
        <f t="shared" si="3"/>
        <v>1</v>
      </c>
    </row>
    <row r="215" spans="1:17">
      <c r="A215" s="51"/>
      <c r="B215" s="51" t="s">
        <v>423</v>
      </c>
      <c r="C215" s="51" t="s">
        <v>421</v>
      </c>
      <c r="D215" s="51" t="s">
        <v>422</v>
      </c>
      <c r="E215" s="52">
        <v>0</v>
      </c>
      <c r="F215" s="52">
        <v>0</v>
      </c>
      <c r="G215" s="52">
        <v>0</v>
      </c>
      <c r="H215" s="52">
        <v>0</v>
      </c>
      <c r="I215" s="52">
        <v>0</v>
      </c>
      <c r="J215" s="52">
        <v>0</v>
      </c>
      <c r="K215" s="80">
        <v>0</v>
      </c>
      <c r="L215" s="80"/>
      <c r="M215" s="53" t="s">
        <v>424</v>
      </c>
      <c r="N215" s="51"/>
      <c r="O215" t="s">
        <v>421</v>
      </c>
      <c r="P215" t="s">
        <v>422</v>
      </c>
      <c r="Q215" t="b">
        <f t="shared" si="3"/>
        <v>1</v>
      </c>
    </row>
    <row r="216" spans="1:17">
      <c r="A216" s="51"/>
      <c r="B216" s="51" t="s">
        <v>423</v>
      </c>
      <c r="C216" s="51" t="s">
        <v>425</v>
      </c>
      <c r="D216" s="51" t="s">
        <v>426</v>
      </c>
      <c r="E216" s="52">
        <v>93430125</v>
      </c>
      <c r="F216" s="52">
        <v>2576328145</v>
      </c>
      <c r="G216" s="52">
        <v>0</v>
      </c>
      <c r="H216" s="52">
        <v>0</v>
      </c>
      <c r="I216" s="52">
        <v>0</v>
      </c>
      <c r="J216" s="52">
        <v>2576328145</v>
      </c>
      <c r="K216" s="80">
        <v>2482898020</v>
      </c>
      <c r="L216" s="80"/>
      <c r="M216" s="53" t="s">
        <v>424</v>
      </c>
      <c r="N216" s="51"/>
      <c r="O216" t="s">
        <v>425</v>
      </c>
      <c r="P216" t="s">
        <v>426</v>
      </c>
      <c r="Q216" t="b">
        <f t="shared" si="3"/>
        <v>1</v>
      </c>
    </row>
    <row r="217" spans="1:17">
      <c r="A217" s="51"/>
      <c r="B217" s="51" t="s">
        <v>423</v>
      </c>
      <c r="C217" s="51" t="s">
        <v>865</v>
      </c>
      <c r="D217" s="51" t="s">
        <v>866</v>
      </c>
      <c r="E217" s="52">
        <v>6720000</v>
      </c>
      <c r="F217" s="52">
        <v>174000000</v>
      </c>
      <c r="G217" s="52">
        <v>0</v>
      </c>
      <c r="H217" s="52">
        <v>0</v>
      </c>
      <c r="I217" s="52">
        <v>0</v>
      </c>
      <c r="J217" s="52">
        <v>174000000</v>
      </c>
      <c r="K217" s="80">
        <v>167280000</v>
      </c>
      <c r="L217" s="80"/>
      <c r="M217" s="53"/>
      <c r="N217" s="51"/>
      <c r="O217" t="s">
        <v>865</v>
      </c>
      <c r="P217" t="s">
        <v>866</v>
      </c>
      <c r="Q217" t="b">
        <f t="shared" si="3"/>
        <v>1</v>
      </c>
    </row>
    <row r="218" spans="1:17">
      <c r="A218" s="51"/>
      <c r="B218" s="51" t="s">
        <v>423</v>
      </c>
      <c r="C218" s="51" t="s">
        <v>427</v>
      </c>
      <c r="D218" s="51" t="s">
        <v>428</v>
      </c>
      <c r="E218" s="52">
        <v>125942885</v>
      </c>
      <c r="F218" s="52">
        <v>3635900701</v>
      </c>
      <c r="G218" s="52">
        <v>0</v>
      </c>
      <c r="H218" s="52">
        <v>0</v>
      </c>
      <c r="I218" s="52">
        <v>0</v>
      </c>
      <c r="J218" s="52">
        <v>3635900701</v>
      </c>
      <c r="K218" s="80">
        <v>3509957816</v>
      </c>
      <c r="L218" s="80"/>
      <c r="M218" s="53" t="s">
        <v>424</v>
      </c>
      <c r="N218" s="51"/>
      <c r="O218" t="s">
        <v>427</v>
      </c>
      <c r="P218" t="s">
        <v>428</v>
      </c>
      <c r="Q218" t="b">
        <f t="shared" si="3"/>
        <v>1</v>
      </c>
    </row>
    <row r="219" spans="1:17">
      <c r="A219" s="51"/>
      <c r="B219" s="51" t="s">
        <v>416</v>
      </c>
      <c r="C219" s="51" t="s">
        <v>429</v>
      </c>
      <c r="D219" s="51" t="s">
        <v>430</v>
      </c>
      <c r="E219" s="52">
        <v>0</v>
      </c>
      <c r="F219" s="52">
        <v>0</v>
      </c>
      <c r="G219" s="52">
        <v>0</v>
      </c>
      <c r="H219" s="52">
        <v>0</v>
      </c>
      <c r="I219" s="52">
        <v>0</v>
      </c>
      <c r="J219" s="52">
        <v>0</v>
      </c>
      <c r="K219" s="80">
        <v>0</v>
      </c>
      <c r="L219" s="80"/>
      <c r="M219" s="53" t="s">
        <v>417</v>
      </c>
      <c r="N219" s="51"/>
      <c r="O219" t="s">
        <v>429</v>
      </c>
      <c r="P219" t="s">
        <v>430</v>
      </c>
      <c r="Q219" t="b">
        <f t="shared" si="3"/>
        <v>1</v>
      </c>
    </row>
    <row r="220" spans="1:17">
      <c r="A220" s="51"/>
      <c r="B220" s="51" t="s">
        <v>423</v>
      </c>
      <c r="C220" s="51" t="s">
        <v>431</v>
      </c>
      <c r="D220" s="51" t="s">
        <v>432</v>
      </c>
      <c r="E220" s="52">
        <v>0</v>
      </c>
      <c r="F220" s="52">
        <v>0</v>
      </c>
      <c r="G220" s="52">
        <v>0</v>
      </c>
      <c r="H220" s="52">
        <v>0</v>
      </c>
      <c r="I220" s="52">
        <v>0</v>
      </c>
      <c r="J220" s="95">
        <v>0</v>
      </c>
      <c r="K220" s="80">
        <v>0</v>
      </c>
      <c r="L220" s="80"/>
      <c r="M220" s="53" t="s">
        <v>424</v>
      </c>
      <c r="N220" s="51"/>
      <c r="O220" t="s">
        <v>431</v>
      </c>
      <c r="P220" t="s">
        <v>432</v>
      </c>
      <c r="Q220" t="b">
        <f t="shared" si="3"/>
        <v>1</v>
      </c>
    </row>
    <row r="221" spans="1:17">
      <c r="A221" s="51"/>
      <c r="B221" s="51" t="s">
        <v>423</v>
      </c>
      <c r="C221" s="51" t="s">
        <v>433</v>
      </c>
      <c r="D221" s="51" t="s">
        <v>434</v>
      </c>
      <c r="E221" s="52">
        <v>0</v>
      </c>
      <c r="F221" s="52">
        <v>0</v>
      </c>
      <c r="G221" s="52">
        <v>0</v>
      </c>
      <c r="H221" s="52">
        <v>0</v>
      </c>
      <c r="I221" s="52">
        <v>0</v>
      </c>
      <c r="J221" s="52">
        <v>0</v>
      </c>
      <c r="K221" s="80">
        <v>0</v>
      </c>
      <c r="L221" s="51"/>
      <c r="M221" s="53" t="s">
        <v>424</v>
      </c>
      <c r="N221" s="51"/>
      <c r="O221" t="s">
        <v>433</v>
      </c>
      <c r="P221" t="s">
        <v>434</v>
      </c>
      <c r="Q221" t="b">
        <f t="shared" si="3"/>
        <v>1</v>
      </c>
    </row>
    <row r="222" spans="1:17">
      <c r="A222" s="51"/>
      <c r="B222" s="51" t="s">
        <v>423</v>
      </c>
      <c r="C222" s="51" t="s">
        <v>435</v>
      </c>
      <c r="D222" s="51" t="s">
        <v>436</v>
      </c>
      <c r="E222" s="52">
        <v>20320000</v>
      </c>
      <c r="F222" s="52">
        <v>12310639</v>
      </c>
      <c r="G222" s="52">
        <v>0</v>
      </c>
      <c r="H222" s="52">
        <v>0</v>
      </c>
      <c r="I222" s="52">
        <v>0</v>
      </c>
      <c r="J222" s="52">
        <v>12310639</v>
      </c>
      <c r="K222" s="80">
        <v>-8009361</v>
      </c>
      <c r="L222" s="80"/>
      <c r="M222" s="53" t="s">
        <v>424</v>
      </c>
      <c r="N222" s="51"/>
      <c r="O222" t="s">
        <v>435</v>
      </c>
      <c r="P222" t="s">
        <v>436</v>
      </c>
      <c r="Q222" t="b">
        <f t="shared" si="3"/>
        <v>1</v>
      </c>
    </row>
    <row r="223" spans="1:17">
      <c r="A223" s="51"/>
      <c r="B223" s="51" t="s">
        <v>423</v>
      </c>
      <c r="C223" s="51" t="s">
        <v>437</v>
      </c>
      <c r="D223" s="51" t="s">
        <v>438</v>
      </c>
      <c r="E223" s="52">
        <v>24530897</v>
      </c>
      <c r="F223" s="52">
        <v>11239404</v>
      </c>
      <c r="G223" s="52">
        <v>0</v>
      </c>
      <c r="H223" s="52">
        <v>0</v>
      </c>
      <c r="I223" s="52">
        <v>0</v>
      </c>
      <c r="J223" s="52">
        <v>11239404</v>
      </c>
      <c r="K223" s="80">
        <v>-13291493</v>
      </c>
      <c r="L223" s="80"/>
      <c r="M223" s="53" t="s">
        <v>424</v>
      </c>
      <c r="N223" s="51"/>
      <c r="O223" t="s">
        <v>437</v>
      </c>
      <c r="P223" t="s">
        <v>438</v>
      </c>
      <c r="Q223" t="b">
        <f t="shared" si="3"/>
        <v>1</v>
      </c>
    </row>
    <row r="224" spans="1:17">
      <c r="A224" s="51"/>
      <c r="B224" s="74">
        <v>0</v>
      </c>
      <c r="C224" s="74">
        <v>0</v>
      </c>
      <c r="D224" s="75" t="s">
        <v>439</v>
      </c>
      <c r="E224" s="78">
        <v>43830238</v>
      </c>
      <c r="F224" s="78">
        <v>581934756</v>
      </c>
      <c r="G224" s="77"/>
      <c r="H224" s="77"/>
      <c r="I224" s="77"/>
      <c r="J224" s="78">
        <v>581934756</v>
      </c>
      <c r="K224" s="78">
        <v>538104518</v>
      </c>
      <c r="L224" s="78"/>
      <c r="M224" s="53" t="s">
        <v>66</v>
      </c>
      <c r="N224" s="51"/>
      <c r="O224">
        <v>0</v>
      </c>
      <c r="P224" t="s">
        <v>439</v>
      </c>
      <c r="Q224" t="b">
        <f t="shared" si="3"/>
        <v>1</v>
      </c>
    </row>
    <row r="225" spans="1:17">
      <c r="A225" s="51"/>
      <c r="B225" s="51" t="s">
        <v>442</v>
      </c>
      <c r="C225" s="51" t="s">
        <v>440</v>
      </c>
      <c r="D225" s="51" t="s">
        <v>441</v>
      </c>
      <c r="E225" s="52">
        <v>43830238</v>
      </c>
      <c r="F225" s="52">
        <v>37557679</v>
      </c>
      <c r="G225" s="52">
        <v>0</v>
      </c>
      <c r="H225" s="52">
        <v>0</v>
      </c>
      <c r="I225" s="52">
        <v>0</v>
      </c>
      <c r="J225" s="52">
        <v>37557679</v>
      </c>
      <c r="K225" s="80">
        <v>-6272559</v>
      </c>
      <c r="L225" s="80"/>
      <c r="M225" s="53" t="s">
        <v>443</v>
      </c>
      <c r="N225" s="51"/>
      <c r="O225" t="s">
        <v>440</v>
      </c>
      <c r="P225" t="s">
        <v>441</v>
      </c>
      <c r="Q225" t="b">
        <f t="shared" si="3"/>
        <v>1</v>
      </c>
    </row>
    <row r="226" spans="1:17">
      <c r="A226" s="51"/>
      <c r="B226" s="51" t="s">
        <v>442</v>
      </c>
      <c r="C226" s="51" t="s">
        <v>444</v>
      </c>
      <c r="D226" s="51" t="s">
        <v>445</v>
      </c>
      <c r="E226" s="52">
        <v>0</v>
      </c>
      <c r="F226" s="52">
        <v>0</v>
      </c>
      <c r="G226" s="52">
        <v>0</v>
      </c>
      <c r="H226" s="52">
        <v>0</v>
      </c>
      <c r="I226" s="52">
        <v>0</v>
      </c>
      <c r="J226" s="52">
        <v>0</v>
      </c>
      <c r="K226" s="80">
        <v>0</v>
      </c>
      <c r="L226" s="80"/>
      <c r="M226" s="53" t="s">
        <v>443</v>
      </c>
      <c r="N226" s="51"/>
      <c r="O226" t="s">
        <v>444</v>
      </c>
      <c r="P226" t="s">
        <v>445</v>
      </c>
      <c r="Q226" t="b">
        <f t="shared" si="3"/>
        <v>1</v>
      </c>
    </row>
    <row r="227" spans="1:17">
      <c r="A227" s="51"/>
      <c r="B227" s="51" t="s">
        <v>442</v>
      </c>
      <c r="C227" s="51" t="s">
        <v>525</v>
      </c>
      <c r="D227" s="51" t="s">
        <v>526</v>
      </c>
      <c r="E227" s="52">
        <v>0</v>
      </c>
      <c r="F227" s="52">
        <v>536952215</v>
      </c>
      <c r="G227" s="52">
        <v>0</v>
      </c>
      <c r="H227" s="52">
        <v>0</v>
      </c>
      <c r="I227" s="52">
        <v>0</v>
      </c>
      <c r="J227" s="52">
        <v>536952215</v>
      </c>
      <c r="K227" s="80">
        <v>536952215</v>
      </c>
      <c r="L227" s="80"/>
      <c r="M227" s="53" t="s">
        <v>443</v>
      </c>
      <c r="N227" s="51"/>
      <c r="O227" t="s">
        <v>525</v>
      </c>
      <c r="P227" t="s">
        <v>526</v>
      </c>
      <c r="Q227" t="b">
        <f t="shared" si="3"/>
        <v>1</v>
      </c>
    </row>
    <row r="228" spans="1:17">
      <c r="A228" s="51"/>
      <c r="B228" s="51"/>
      <c r="C228" s="51" t="s">
        <v>958</v>
      </c>
      <c r="D228" s="51" t="s">
        <v>959</v>
      </c>
      <c r="E228" s="52"/>
      <c r="F228" s="52">
        <v>7424862</v>
      </c>
      <c r="G228" s="52">
        <v>0</v>
      </c>
      <c r="H228" s="52">
        <v>0</v>
      </c>
      <c r="I228" s="52">
        <v>0</v>
      </c>
      <c r="J228" s="52">
        <v>7424862</v>
      </c>
      <c r="K228" s="80">
        <v>7424862</v>
      </c>
      <c r="L228" s="80"/>
      <c r="M228" s="53"/>
      <c r="N228" s="51"/>
      <c r="O228" t="s">
        <v>958</v>
      </c>
      <c r="P228" t="s">
        <v>959</v>
      </c>
      <c r="Q228" t="b">
        <f t="shared" si="3"/>
        <v>1</v>
      </c>
    </row>
    <row r="229" spans="1:17">
      <c r="A229" s="51"/>
      <c r="B229" s="74">
        <v>0</v>
      </c>
      <c r="C229" s="74">
        <v>0</v>
      </c>
      <c r="D229" s="75" t="s">
        <v>446</v>
      </c>
      <c r="E229" s="78">
        <v>1114597052</v>
      </c>
      <c r="F229" s="78">
        <v>172627980</v>
      </c>
      <c r="G229" s="77"/>
      <c r="H229" s="77"/>
      <c r="I229" s="77"/>
      <c r="J229" s="78">
        <v>172627980</v>
      </c>
      <c r="K229" s="78">
        <v>-941969072</v>
      </c>
      <c r="L229" s="78"/>
      <c r="M229" s="53" t="s">
        <v>66</v>
      </c>
      <c r="N229" s="51"/>
      <c r="O229">
        <v>0</v>
      </c>
      <c r="P229" t="s">
        <v>446</v>
      </c>
      <c r="Q229" t="b">
        <f t="shared" si="3"/>
        <v>1</v>
      </c>
    </row>
    <row r="230" spans="1:17">
      <c r="A230" s="51"/>
      <c r="B230" s="51" t="s">
        <v>449</v>
      </c>
      <c r="C230" s="51" t="s">
        <v>447</v>
      </c>
      <c r="D230" s="51" t="s">
        <v>448</v>
      </c>
      <c r="E230" s="52">
        <v>468256905</v>
      </c>
      <c r="F230" s="52">
        <v>172627980</v>
      </c>
      <c r="G230" s="52">
        <v>0</v>
      </c>
      <c r="H230" s="52">
        <v>0</v>
      </c>
      <c r="I230" s="52">
        <v>0</v>
      </c>
      <c r="J230" s="52">
        <v>172627980</v>
      </c>
      <c r="K230" s="80">
        <v>-295628925</v>
      </c>
      <c r="L230" s="80"/>
      <c r="M230" s="53" t="s">
        <v>450</v>
      </c>
      <c r="N230" s="51"/>
      <c r="O230" t="s">
        <v>447</v>
      </c>
      <c r="P230" t="s">
        <v>448</v>
      </c>
      <c r="Q230" t="b">
        <f t="shared" si="3"/>
        <v>1</v>
      </c>
    </row>
    <row r="231" spans="1:17">
      <c r="A231" s="51"/>
      <c r="B231" s="51" t="s">
        <v>449</v>
      </c>
      <c r="C231" s="51" t="s">
        <v>451</v>
      </c>
      <c r="D231" s="51" t="s">
        <v>452</v>
      </c>
      <c r="E231" s="52">
        <v>0</v>
      </c>
      <c r="F231" s="52">
        <v>0</v>
      </c>
      <c r="G231" s="52">
        <v>0</v>
      </c>
      <c r="H231" s="52">
        <v>0</v>
      </c>
      <c r="I231" s="52">
        <v>0</v>
      </c>
      <c r="J231" s="52">
        <v>0</v>
      </c>
      <c r="K231" s="80">
        <v>0</v>
      </c>
      <c r="L231" s="80"/>
      <c r="M231" s="53" t="s">
        <v>450</v>
      </c>
      <c r="N231" s="51"/>
      <c r="O231" t="s">
        <v>451</v>
      </c>
      <c r="P231" t="s">
        <v>452</v>
      </c>
      <c r="Q231" t="b">
        <f t="shared" si="3"/>
        <v>1</v>
      </c>
    </row>
    <row r="232" spans="1:17">
      <c r="A232" s="51"/>
      <c r="B232" s="51" t="s">
        <v>449</v>
      </c>
      <c r="C232" s="51" t="s">
        <v>453</v>
      </c>
      <c r="D232" s="51" t="s">
        <v>454</v>
      </c>
      <c r="E232" s="52">
        <v>646340147</v>
      </c>
      <c r="F232" s="52">
        <v>0</v>
      </c>
      <c r="G232" s="52">
        <v>0</v>
      </c>
      <c r="H232" s="52">
        <v>0</v>
      </c>
      <c r="I232" s="52">
        <v>0</v>
      </c>
      <c r="J232" s="52">
        <v>0</v>
      </c>
      <c r="K232" s="80">
        <v>-646340147</v>
      </c>
      <c r="L232" s="80"/>
      <c r="M232" s="53" t="s">
        <v>450</v>
      </c>
      <c r="N232" s="51"/>
      <c r="O232" t="s">
        <v>453</v>
      </c>
      <c r="P232" t="s">
        <v>454</v>
      </c>
      <c r="Q232" t="b">
        <f t="shared" si="3"/>
        <v>1</v>
      </c>
    </row>
    <row r="233" spans="1:17">
      <c r="A233" s="51"/>
      <c r="B233" s="74">
        <v>0</v>
      </c>
      <c r="C233" s="74">
        <v>0</v>
      </c>
      <c r="D233" s="75" t="s">
        <v>455</v>
      </c>
      <c r="E233" s="78">
        <v>-180594459</v>
      </c>
      <c r="F233" s="78">
        <v>0</v>
      </c>
      <c r="G233" s="77"/>
      <c r="H233" s="77"/>
      <c r="I233" s="77"/>
      <c r="J233" s="78">
        <v>142570707916</v>
      </c>
      <c r="K233" s="78">
        <v>142751302375</v>
      </c>
      <c r="L233" s="78"/>
      <c r="M233" s="53" t="s">
        <v>66</v>
      </c>
      <c r="N233" s="93">
        <v>1857522673</v>
      </c>
      <c r="O233">
        <v>0</v>
      </c>
      <c r="P233" t="s">
        <v>455</v>
      </c>
      <c r="Q233" t="b">
        <f t="shared" si="3"/>
        <v>1</v>
      </c>
    </row>
    <row r="234" spans="1:17">
      <c r="A234" s="51"/>
      <c r="B234" s="51" t="s">
        <v>416</v>
      </c>
      <c r="C234" s="51" t="s">
        <v>456</v>
      </c>
      <c r="D234" s="51" t="s">
        <v>417</v>
      </c>
      <c r="E234" s="52">
        <v>-180594459</v>
      </c>
      <c r="F234" s="52">
        <v>0</v>
      </c>
      <c r="G234" s="52">
        <v>0</v>
      </c>
      <c r="H234" s="52">
        <v>142570707916</v>
      </c>
      <c r="I234" s="52">
        <v>142570707916</v>
      </c>
      <c r="J234" s="85">
        <v>142570707916</v>
      </c>
      <c r="K234" s="80">
        <v>142751302375</v>
      </c>
      <c r="L234" s="80"/>
      <c r="M234" s="53" t="s">
        <v>417</v>
      </c>
      <c r="N234" s="51"/>
      <c r="O234" t="s">
        <v>456</v>
      </c>
      <c r="P234" t="s">
        <v>417</v>
      </c>
      <c r="Q234" t="b">
        <f t="shared" si="3"/>
        <v>1</v>
      </c>
    </row>
    <row r="235" spans="1:17">
      <c r="A235" s="51"/>
      <c r="B235" s="74">
        <v>0</v>
      </c>
      <c r="C235" s="74">
        <v>0</v>
      </c>
      <c r="D235" s="75" t="s">
        <v>458</v>
      </c>
      <c r="E235" s="78">
        <v>25217740022</v>
      </c>
      <c r="F235" s="78">
        <v>552667639057</v>
      </c>
      <c r="G235" s="77"/>
      <c r="H235" s="77"/>
      <c r="I235" s="77">
        <v>142530068986</v>
      </c>
      <c r="J235" s="78">
        <v>695197708043</v>
      </c>
      <c r="K235" s="78">
        <v>669979968021</v>
      </c>
      <c r="L235" s="78"/>
      <c r="M235" s="53" t="s">
        <v>66</v>
      </c>
      <c r="N235" s="51"/>
      <c r="O235">
        <v>0</v>
      </c>
      <c r="P235" t="s">
        <v>458</v>
      </c>
      <c r="Q235" t="b">
        <f t="shared" si="3"/>
        <v>1</v>
      </c>
    </row>
    <row r="236" spans="1:17">
      <c r="A236" s="51"/>
      <c r="B236" s="74">
        <v>0</v>
      </c>
      <c r="C236" s="74">
        <v>0</v>
      </c>
      <c r="D236" s="75" t="s">
        <v>459</v>
      </c>
      <c r="E236" s="78">
        <v>4604916196</v>
      </c>
      <c r="F236" s="78">
        <v>139553435926</v>
      </c>
      <c r="G236" s="77"/>
      <c r="H236" s="77"/>
      <c r="I236" s="77"/>
      <c r="J236" s="78">
        <v>166968863235</v>
      </c>
      <c r="K236" s="78">
        <v>162363947039</v>
      </c>
      <c r="L236" s="78"/>
      <c r="M236" s="53" t="s">
        <v>66</v>
      </c>
      <c r="N236" s="51"/>
      <c r="O236">
        <v>0</v>
      </c>
      <c r="P236" t="s">
        <v>459</v>
      </c>
      <c r="Q236" t="b">
        <f t="shared" si="3"/>
        <v>1</v>
      </c>
    </row>
    <row r="237" spans="1:17">
      <c r="A237" s="51"/>
      <c r="B237" s="51" t="s">
        <v>462</v>
      </c>
      <c r="C237" s="51" t="s">
        <v>460</v>
      </c>
      <c r="D237" s="51" t="s">
        <v>461</v>
      </c>
      <c r="E237" s="52">
        <v>4604916196</v>
      </c>
      <c r="F237" s="52">
        <v>139553435926</v>
      </c>
      <c r="G237" s="52">
        <v>27415427309</v>
      </c>
      <c r="H237" s="52">
        <v>0</v>
      </c>
      <c r="I237" s="52">
        <v>27415427309</v>
      </c>
      <c r="J237" s="52">
        <v>166968863235</v>
      </c>
      <c r="K237" s="80">
        <v>162363947039</v>
      </c>
      <c r="L237" s="80"/>
      <c r="M237" s="53" t="s">
        <v>461</v>
      </c>
      <c r="N237" s="51"/>
      <c r="O237" t="s">
        <v>460</v>
      </c>
      <c r="P237" t="s">
        <v>461</v>
      </c>
      <c r="Q237" t="b">
        <f t="shared" si="3"/>
        <v>1</v>
      </c>
    </row>
    <row r="238" spans="1:17">
      <c r="A238" s="51"/>
      <c r="B238" s="74">
        <v>0</v>
      </c>
      <c r="C238" s="74">
        <v>0</v>
      </c>
      <c r="D238" s="75" t="s">
        <v>463</v>
      </c>
      <c r="E238" s="78">
        <v>20612823826</v>
      </c>
      <c r="F238" s="78">
        <v>413114203131</v>
      </c>
      <c r="G238" s="77"/>
      <c r="H238" s="77"/>
      <c r="I238" s="77"/>
      <c r="J238" s="78">
        <v>528228844808</v>
      </c>
      <c r="K238" s="78">
        <v>507616020982</v>
      </c>
      <c r="L238" s="78"/>
      <c r="M238" s="53" t="s">
        <v>66</v>
      </c>
      <c r="N238" s="51"/>
      <c r="O238">
        <v>0</v>
      </c>
      <c r="P238" t="s">
        <v>463</v>
      </c>
      <c r="Q238" t="b">
        <f t="shared" si="3"/>
        <v>1</v>
      </c>
    </row>
    <row r="239" spans="1:17">
      <c r="A239" s="51"/>
      <c r="B239" s="51">
        <v>0</v>
      </c>
      <c r="C239" s="51" t="s">
        <v>464</v>
      </c>
      <c r="D239" s="51" t="s">
        <v>465</v>
      </c>
      <c r="E239" s="52">
        <v>20612823826</v>
      </c>
      <c r="F239" s="52">
        <v>413114203131</v>
      </c>
      <c r="G239" s="52">
        <v>0</v>
      </c>
      <c r="H239" s="52">
        <v>0</v>
      </c>
      <c r="I239" s="52">
        <v>0</v>
      </c>
      <c r="J239" s="52">
        <v>528228844808</v>
      </c>
      <c r="K239" s="80">
        <v>507616020982</v>
      </c>
      <c r="L239" s="80"/>
      <c r="M239" s="53" t="s">
        <v>66</v>
      </c>
      <c r="N239" s="51"/>
      <c r="O239" t="s">
        <v>464</v>
      </c>
      <c r="P239" t="s">
        <v>465</v>
      </c>
      <c r="Q239" t="b">
        <f t="shared" si="3"/>
        <v>1</v>
      </c>
    </row>
    <row r="240" spans="1:17">
      <c r="A240" s="51"/>
      <c r="B240" s="51">
        <v>0</v>
      </c>
      <c r="C240" s="51" t="s">
        <v>466</v>
      </c>
      <c r="D240" s="51" t="s">
        <v>467</v>
      </c>
      <c r="E240" s="52">
        <v>0</v>
      </c>
      <c r="F240" s="52">
        <v>0</v>
      </c>
      <c r="G240" s="52">
        <v>0</v>
      </c>
      <c r="H240" s="52">
        <v>0</v>
      </c>
      <c r="I240" s="52">
        <v>0</v>
      </c>
      <c r="J240" s="95">
        <v>0</v>
      </c>
      <c r="K240" s="80">
        <v>0</v>
      </c>
      <c r="L240" s="80"/>
      <c r="M240" s="53" t="s">
        <v>66</v>
      </c>
      <c r="N240" s="51"/>
      <c r="O240" t="s">
        <v>466</v>
      </c>
      <c r="P240" t="s">
        <v>467</v>
      </c>
      <c r="Q240" t="b">
        <f t="shared" si="3"/>
        <v>1</v>
      </c>
    </row>
    <row r="241" spans="1:17">
      <c r="A241" s="51"/>
      <c r="B241" s="74">
        <v>0</v>
      </c>
      <c r="C241" s="74">
        <v>0</v>
      </c>
      <c r="D241" s="75" t="s">
        <v>535</v>
      </c>
      <c r="E241" s="78">
        <v>-84117896</v>
      </c>
      <c r="F241" s="78">
        <v>10584340</v>
      </c>
      <c r="G241" s="77"/>
      <c r="H241" s="77"/>
      <c r="I241" s="77"/>
      <c r="J241" s="78">
        <v>-608765717</v>
      </c>
      <c r="K241" s="78">
        <v>-524647821</v>
      </c>
      <c r="L241" s="78"/>
      <c r="M241" s="53" t="s">
        <v>66</v>
      </c>
      <c r="N241" s="51"/>
      <c r="O241">
        <v>0</v>
      </c>
      <c r="P241" t="s">
        <v>535</v>
      </c>
      <c r="Q241" t="b">
        <f t="shared" si="3"/>
        <v>1</v>
      </c>
    </row>
    <row r="242" spans="1:17">
      <c r="A242" s="51"/>
      <c r="B242" s="51" t="s">
        <v>471</v>
      </c>
      <c r="C242" s="51" t="s">
        <v>469</v>
      </c>
      <c r="D242" s="51" t="s">
        <v>470</v>
      </c>
      <c r="E242" s="52">
        <v>0</v>
      </c>
      <c r="F242" s="52">
        <v>0</v>
      </c>
      <c r="G242" s="52">
        <v>0</v>
      </c>
      <c r="H242" s="52">
        <v>0</v>
      </c>
      <c r="I242" s="52">
        <v>0</v>
      </c>
      <c r="J242" s="52">
        <v>0</v>
      </c>
      <c r="K242" s="80">
        <v>0</v>
      </c>
      <c r="L242" s="80"/>
      <c r="M242" s="53" t="s">
        <v>472</v>
      </c>
      <c r="N242" s="51"/>
      <c r="O242" t="s">
        <v>469</v>
      </c>
      <c r="P242" t="s">
        <v>470</v>
      </c>
      <c r="Q242" t="b">
        <f t="shared" si="3"/>
        <v>1</v>
      </c>
    </row>
    <row r="243" spans="1:17">
      <c r="A243" s="51"/>
      <c r="B243" s="51" t="s">
        <v>471</v>
      </c>
      <c r="C243" s="51" t="s">
        <v>473</v>
      </c>
      <c r="D243" s="51" t="s">
        <v>474</v>
      </c>
      <c r="E243" s="52">
        <v>-62668107</v>
      </c>
      <c r="F243" s="52">
        <v>0</v>
      </c>
      <c r="G243" s="52">
        <v>265263873</v>
      </c>
      <c r="H243" s="52">
        <v>-349464214</v>
      </c>
      <c r="I243" s="52">
        <v>-614728087</v>
      </c>
      <c r="J243" s="85">
        <v>-614728087</v>
      </c>
      <c r="K243" s="80">
        <v>-552059980</v>
      </c>
      <c r="L243" s="80"/>
      <c r="M243" s="53" t="s">
        <v>472</v>
      </c>
      <c r="N243" s="51"/>
      <c r="O243" t="s">
        <v>473</v>
      </c>
      <c r="P243" t="s">
        <v>474</v>
      </c>
      <c r="Q243" t="b">
        <f t="shared" si="3"/>
        <v>1</v>
      </c>
    </row>
    <row r="244" spans="1:17">
      <c r="A244" s="51"/>
      <c r="B244" s="51" t="s">
        <v>471</v>
      </c>
      <c r="C244" s="51" t="s">
        <v>477</v>
      </c>
      <c r="D244" s="51" t="s">
        <v>478</v>
      </c>
      <c r="E244" s="52">
        <v>0</v>
      </c>
      <c r="F244" s="52">
        <v>0</v>
      </c>
      <c r="G244" s="52">
        <v>0</v>
      </c>
      <c r="H244" s="52">
        <v>0</v>
      </c>
      <c r="I244" s="52">
        <v>0</v>
      </c>
      <c r="J244" s="52">
        <v>0</v>
      </c>
      <c r="K244" s="80">
        <v>0</v>
      </c>
      <c r="L244" s="80"/>
      <c r="M244" s="53" t="s">
        <v>472</v>
      </c>
      <c r="N244" s="51"/>
      <c r="O244" t="s">
        <v>477</v>
      </c>
      <c r="P244" t="s">
        <v>478</v>
      </c>
      <c r="Q244" t="b">
        <f t="shared" si="3"/>
        <v>1</v>
      </c>
    </row>
    <row r="245" spans="1:17">
      <c r="A245" s="51"/>
      <c r="B245" s="51" t="s">
        <v>471</v>
      </c>
      <c r="C245" s="51" t="s">
        <v>475</v>
      </c>
      <c r="D245" s="51" t="s">
        <v>476</v>
      </c>
      <c r="E245" s="52">
        <v>-21208162</v>
      </c>
      <c r="F245" s="52">
        <v>10584340</v>
      </c>
      <c r="G245" s="52">
        <v>0</v>
      </c>
      <c r="H245" s="52">
        <v>0</v>
      </c>
      <c r="I245" s="52">
        <v>0</v>
      </c>
      <c r="J245" s="52">
        <v>10584340</v>
      </c>
      <c r="K245" s="80">
        <v>31792502</v>
      </c>
      <c r="L245" s="80"/>
      <c r="M245" s="53" t="s">
        <v>472</v>
      </c>
      <c r="N245" s="51"/>
      <c r="O245" t="s">
        <v>475</v>
      </c>
      <c r="P245" t="s">
        <v>476</v>
      </c>
      <c r="Q245" t="b">
        <f t="shared" si="3"/>
        <v>1</v>
      </c>
    </row>
    <row r="246" spans="1:17">
      <c r="A246" s="51"/>
      <c r="B246" s="51" t="s">
        <v>471</v>
      </c>
      <c r="C246" s="51" t="s">
        <v>479</v>
      </c>
      <c r="D246" s="51" t="s">
        <v>480</v>
      </c>
      <c r="E246" s="52">
        <v>0</v>
      </c>
      <c r="F246" s="52">
        <v>0</v>
      </c>
      <c r="G246" s="52">
        <v>0</v>
      </c>
      <c r="H246" s="52">
        <v>0</v>
      </c>
      <c r="I246" s="52">
        <v>0</v>
      </c>
      <c r="J246" s="52">
        <v>0</v>
      </c>
      <c r="K246" s="80">
        <v>0</v>
      </c>
      <c r="L246" s="80"/>
      <c r="M246" s="53" t="s">
        <v>472</v>
      </c>
      <c r="N246" s="51"/>
      <c r="O246" t="s">
        <v>479</v>
      </c>
      <c r="P246" t="s">
        <v>480</v>
      </c>
      <c r="Q246" t="b">
        <f t="shared" si="3"/>
        <v>1</v>
      </c>
    </row>
    <row r="247" spans="1:17">
      <c r="A247" s="51"/>
      <c r="B247" s="51" t="s">
        <v>471</v>
      </c>
      <c r="C247" s="51" t="s">
        <v>527</v>
      </c>
      <c r="D247" s="51" t="s">
        <v>528</v>
      </c>
      <c r="E247" s="52">
        <v>-241627</v>
      </c>
      <c r="F247" s="52">
        <v>0</v>
      </c>
      <c r="G247" s="52">
        <v>3869106</v>
      </c>
      <c r="H247" s="52">
        <v>-752864</v>
      </c>
      <c r="I247" s="52">
        <v>-4621970</v>
      </c>
      <c r="J247" s="52">
        <v>-4621970</v>
      </c>
      <c r="K247" s="80">
        <v>-4380343</v>
      </c>
      <c r="L247" s="80"/>
      <c r="M247" s="53" t="s">
        <v>472</v>
      </c>
      <c r="N247" s="51"/>
      <c r="O247" t="s">
        <v>527</v>
      </c>
      <c r="P247" t="s">
        <v>528</v>
      </c>
      <c r="Q247" t="b">
        <f t="shared" si="3"/>
        <v>1</v>
      </c>
    </row>
    <row r="248" spans="1:17">
      <c r="A248" s="51"/>
      <c r="B248" s="74">
        <v>0</v>
      </c>
      <c r="C248" s="74">
        <v>0</v>
      </c>
      <c r="D248" s="75" t="s">
        <v>482</v>
      </c>
      <c r="E248" s="78">
        <v>20528705930</v>
      </c>
      <c r="F248" s="78">
        <v>413124787471</v>
      </c>
      <c r="G248" s="77"/>
      <c r="H248" s="77"/>
      <c r="I248" s="77"/>
      <c r="J248" s="78">
        <v>527620079091</v>
      </c>
      <c r="K248" s="78">
        <v>507091373161</v>
      </c>
      <c r="L248" s="78"/>
      <c r="M248" s="53" t="s">
        <v>66</v>
      </c>
      <c r="N248" s="51"/>
      <c r="O248">
        <v>0</v>
      </c>
      <c r="P248" t="s">
        <v>482</v>
      </c>
      <c r="Q248" t="b">
        <f t="shared" si="3"/>
        <v>1</v>
      </c>
    </row>
    <row r="249" spans="1:17">
      <c r="A249" s="51"/>
      <c r="B249" s="74">
        <v>0</v>
      </c>
      <c r="C249" s="74">
        <v>0</v>
      </c>
      <c r="D249" s="75" t="s">
        <v>483</v>
      </c>
      <c r="E249" s="78">
        <v>20528705930</v>
      </c>
      <c r="F249" s="78">
        <v>413124787471</v>
      </c>
      <c r="G249" s="77"/>
      <c r="H249" s="77"/>
      <c r="I249" s="77"/>
      <c r="J249" s="78">
        <v>527620079091</v>
      </c>
      <c r="K249" s="78">
        <v>507091373161</v>
      </c>
      <c r="L249" s="78"/>
      <c r="M249" s="53" t="s">
        <v>66</v>
      </c>
      <c r="N249" s="51"/>
      <c r="O249">
        <v>0</v>
      </c>
      <c r="P249" t="s">
        <v>483</v>
      </c>
      <c r="Q249" t="b">
        <f t="shared" si="3"/>
        <v>1</v>
      </c>
    </row>
    <row r="250" spans="1:17">
      <c r="A250" s="51"/>
      <c r="B250" s="74">
        <v>0</v>
      </c>
      <c r="C250" s="74">
        <v>0</v>
      </c>
      <c r="D250" s="75" t="s">
        <v>484</v>
      </c>
      <c r="E250" s="78">
        <v>0</v>
      </c>
      <c r="F250" s="78">
        <v>0</v>
      </c>
      <c r="G250" s="77"/>
      <c r="H250" s="77"/>
      <c r="I250" s="77"/>
      <c r="J250" s="78">
        <v>0</v>
      </c>
      <c r="K250" s="78">
        <v>0</v>
      </c>
      <c r="L250" s="78"/>
      <c r="M250" s="53" t="s">
        <v>66</v>
      </c>
      <c r="N250" s="51"/>
      <c r="O250">
        <v>0</v>
      </c>
      <c r="P250" t="s">
        <v>484</v>
      </c>
      <c r="Q250" t="b">
        <f t="shared" si="3"/>
        <v>1</v>
      </c>
    </row>
    <row r="251" spans="1:17">
      <c r="A251" s="51"/>
      <c r="B251" s="51" t="s">
        <v>487</v>
      </c>
      <c r="C251" s="51" t="s">
        <v>485</v>
      </c>
      <c r="D251" s="51" t="s">
        <v>486</v>
      </c>
      <c r="E251" s="52">
        <v>0</v>
      </c>
      <c r="F251" s="52">
        <v>0</v>
      </c>
      <c r="G251" s="52">
        <v>0</v>
      </c>
      <c r="H251" s="52">
        <v>0</v>
      </c>
      <c r="I251" s="52">
        <v>0</v>
      </c>
      <c r="J251" s="52">
        <v>0</v>
      </c>
      <c r="K251" s="80">
        <v>0</v>
      </c>
      <c r="L251" s="80"/>
      <c r="M251" s="53" t="s">
        <v>488</v>
      </c>
      <c r="N251" s="51"/>
      <c r="O251" t="s">
        <v>485</v>
      </c>
      <c r="P251" t="s">
        <v>486</v>
      </c>
      <c r="Q251" t="b">
        <f t="shared" si="3"/>
        <v>1</v>
      </c>
    </row>
    <row r="252" spans="1:17">
      <c r="A252" s="51"/>
      <c r="B252" s="51" t="s">
        <v>487</v>
      </c>
      <c r="C252" s="51" t="s">
        <v>489</v>
      </c>
      <c r="D252" s="51" t="s">
        <v>490</v>
      </c>
      <c r="E252" s="52">
        <v>0</v>
      </c>
      <c r="F252" s="52">
        <v>0</v>
      </c>
      <c r="G252" s="52">
        <v>0</v>
      </c>
      <c r="H252" s="52">
        <v>0</v>
      </c>
      <c r="I252" s="52">
        <v>0</v>
      </c>
      <c r="J252" s="52">
        <v>0</v>
      </c>
      <c r="K252" s="80">
        <v>0</v>
      </c>
      <c r="L252" s="80"/>
      <c r="M252" s="53" t="s">
        <v>488</v>
      </c>
      <c r="N252" s="51"/>
      <c r="O252" t="s">
        <v>489</v>
      </c>
      <c r="P252" t="s">
        <v>490</v>
      </c>
      <c r="Q252" t="b">
        <f t="shared" si="3"/>
        <v>1</v>
      </c>
    </row>
    <row r="253" spans="1:17">
      <c r="A253" s="51"/>
      <c r="B253" s="51" t="s">
        <v>487</v>
      </c>
      <c r="C253" s="51" t="s">
        <v>491</v>
      </c>
      <c r="D253" s="51" t="s">
        <v>492</v>
      </c>
      <c r="E253" s="52">
        <v>0</v>
      </c>
      <c r="F253" s="52">
        <v>0</v>
      </c>
      <c r="G253" s="52">
        <v>0</v>
      </c>
      <c r="H253" s="52">
        <v>0</v>
      </c>
      <c r="I253" s="52">
        <v>0</v>
      </c>
      <c r="J253" s="52">
        <v>0</v>
      </c>
      <c r="K253" s="80">
        <v>0</v>
      </c>
      <c r="L253" s="80"/>
      <c r="M253" s="53" t="s">
        <v>488</v>
      </c>
      <c r="N253" s="51"/>
      <c r="O253" t="s">
        <v>491</v>
      </c>
      <c r="P253" t="s">
        <v>492</v>
      </c>
      <c r="Q253" t="b">
        <f t="shared" si="3"/>
        <v>1</v>
      </c>
    </row>
    <row r="254" spans="1:17">
      <c r="A254" s="51"/>
      <c r="B254" s="51" t="s">
        <v>487</v>
      </c>
      <c r="C254" s="51" t="s">
        <v>493</v>
      </c>
      <c r="D254" s="51" t="s">
        <v>494</v>
      </c>
      <c r="E254" s="52">
        <v>0</v>
      </c>
      <c r="F254" s="52">
        <v>0</v>
      </c>
      <c r="G254" s="52">
        <v>0</v>
      </c>
      <c r="H254" s="52">
        <v>0</v>
      </c>
      <c r="I254" s="52">
        <v>0</v>
      </c>
      <c r="J254" s="52">
        <v>0</v>
      </c>
      <c r="K254" s="80">
        <v>0</v>
      </c>
      <c r="L254" s="80"/>
      <c r="M254" s="53" t="s">
        <v>488</v>
      </c>
      <c r="N254" s="51"/>
      <c r="O254" t="s">
        <v>493</v>
      </c>
      <c r="P254" t="s">
        <v>494</v>
      </c>
      <c r="Q254" t="b">
        <f t="shared" si="3"/>
        <v>1</v>
      </c>
    </row>
    <row r="255" spans="1:17">
      <c r="A255" s="51"/>
      <c r="B255" s="51" t="s">
        <v>487</v>
      </c>
      <c r="C255" s="51" t="s">
        <v>495</v>
      </c>
      <c r="D255" s="51" t="s">
        <v>496</v>
      </c>
      <c r="E255" s="52">
        <v>0</v>
      </c>
      <c r="F255" s="52">
        <v>0</v>
      </c>
      <c r="G255" s="52">
        <v>0</v>
      </c>
      <c r="H255" s="52">
        <v>0</v>
      </c>
      <c r="I255" s="52">
        <v>0</v>
      </c>
      <c r="J255" s="52">
        <v>0</v>
      </c>
      <c r="K255" s="80">
        <v>0</v>
      </c>
      <c r="L255" s="80"/>
      <c r="M255" s="53" t="s">
        <v>488</v>
      </c>
      <c r="N255" s="51"/>
      <c r="O255" t="s">
        <v>495</v>
      </c>
      <c r="P255" t="s">
        <v>496</v>
      </c>
      <c r="Q255" t="b">
        <f t="shared" si="3"/>
        <v>1</v>
      </c>
    </row>
    <row r="256" spans="1:17">
      <c r="A256" s="51"/>
      <c r="B256" s="51" t="s">
        <v>487</v>
      </c>
      <c r="C256" s="55" t="s">
        <v>532</v>
      </c>
      <c r="D256" s="51" t="s">
        <v>533</v>
      </c>
      <c r="E256" s="52">
        <v>0</v>
      </c>
      <c r="F256" s="52">
        <v>0</v>
      </c>
      <c r="G256" s="52">
        <v>0</v>
      </c>
      <c r="H256" s="52">
        <v>0</v>
      </c>
      <c r="I256" s="52">
        <v>0</v>
      </c>
      <c r="J256" s="52">
        <v>0</v>
      </c>
      <c r="K256" s="80">
        <v>0</v>
      </c>
      <c r="L256" s="80"/>
      <c r="M256" s="53" t="s">
        <v>488</v>
      </c>
      <c r="N256" s="51"/>
      <c r="O256" t="s">
        <v>532</v>
      </c>
      <c r="P256" t="s">
        <v>533</v>
      </c>
      <c r="Q256" t="b">
        <f t="shared" si="3"/>
        <v>1</v>
      </c>
    </row>
    <row r="257" spans="1:17" ht="17.25" thickBot="1">
      <c r="A257" s="51"/>
      <c r="B257" s="55"/>
      <c r="C257" s="55"/>
      <c r="D257" s="51"/>
      <c r="E257" s="52"/>
      <c r="F257" s="52"/>
      <c r="G257" s="52"/>
      <c r="H257" s="52"/>
      <c r="I257" s="52"/>
      <c r="J257" s="52"/>
      <c r="K257" s="80"/>
      <c r="L257" s="80"/>
      <c r="M257" s="53"/>
      <c r="N257" s="51"/>
      <c r="Q257" t="b">
        <f t="shared" si="3"/>
        <v>1</v>
      </c>
    </row>
    <row r="258" spans="1:17" ht="17.25" thickBot="1">
      <c r="A258" s="51"/>
      <c r="B258" s="55"/>
      <c r="C258" s="55"/>
      <c r="D258" s="51"/>
      <c r="E258" s="80"/>
      <c r="F258" s="100">
        <v>0</v>
      </c>
      <c r="G258" s="52"/>
      <c r="H258" s="52"/>
      <c r="I258" s="52"/>
      <c r="J258" s="52"/>
      <c r="K258" s="80"/>
      <c r="L258" s="80"/>
      <c r="M258" s="53"/>
      <c r="N258" s="51"/>
    </row>
    <row r="259" spans="1:17" ht="17.25" thickBot="1">
      <c r="A259" s="51"/>
      <c r="B259" s="55"/>
      <c r="C259" s="55"/>
      <c r="D259" s="51"/>
      <c r="E259" s="80"/>
      <c r="F259" s="100">
        <v>0</v>
      </c>
      <c r="G259" s="52"/>
      <c r="H259" s="52"/>
      <c r="I259" s="52"/>
      <c r="J259" s="52"/>
      <c r="K259" s="80"/>
      <c r="L259" s="80"/>
      <c r="M259" s="53"/>
      <c r="N259" s="51"/>
    </row>
    <row r="260" spans="1:17">
      <c r="A260" s="51"/>
      <c r="B260" s="55"/>
      <c r="C260" s="55"/>
      <c r="D260" s="51"/>
      <c r="E260" s="80"/>
      <c r="F260" s="52"/>
      <c r="G260" s="52"/>
      <c r="H260" s="52"/>
      <c r="I260" s="52"/>
      <c r="J260" s="52"/>
      <c r="K260" s="80"/>
      <c r="L260" s="80"/>
      <c r="M260" s="53"/>
      <c r="N260" s="51"/>
    </row>
    <row r="261" spans="1:17">
      <c r="A261" s="51"/>
      <c r="B261" s="51"/>
      <c r="C261" s="51"/>
      <c r="D261" s="51"/>
      <c r="E261" s="52"/>
      <c r="F261" s="52"/>
      <c r="G261" s="52">
        <v>27744095885.999996</v>
      </c>
      <c r="H261" s="52">
        <v>28979041020</v>
      </c>
      <c r="I261" s="52">
        <v>-1234945134.0000038</v>
      </c>
      <c r="J261" s="52">
        <v>-176155225.00000381</v>
      </c>
      <c r="K261" s="99"/>
      <c r="L261" s="51"/>
      <c r="M261" s="53"/>
      <c r="N261" s="51"/>
    </row>
    <row r="262" spans="1:17">
      <c r="A262" s="51"/>
      <c r="B262" s="51"/>
      <c r="C262" s="51"/>
      <c r="D262" s="51"/>
      <c r="E262" s="52"/>
      <c r="F262" s="52"/>
      <c r="G262" s="52">
        <v>-126118934.00000381</v>
      </c>
      <c r="H262" s="52">
        <v>50036291</v>
      </c>
      <c r="I262" s="52"/>
      <c r="J262" s="52"/>
      <c r="K262" s="80"/>
      <c r="L262" s="51"/>
      <c r="M262" s="53"/>
      <c r="N262" s="51"/>
    </row>
    <row r="263" spans="1:17">
      <c r="A263" s="51"/>
      <c r="B263" s="51"/>
      <c r="C263" s="51"/>
      <c r="D263" s="51"/>
      <c r="E263" s="101"/>
      <c r="F263" s="52" t="s">
        <v>702</v>
      </c>
      <c r="G263" s="95">
        <v>-22081943</v>
      </c>
      <c r="H263" s="95">
        <v>1036707966</v>
      </c>
      <c r="I263" s="52">
        <v>1058789909</v>
      </c>
      <c r="J263" s="80"/>
      <c r="K263" s="80"/>
      <c r="L263" s="51"/>
      <c r="M263" s="53"/>
      <c r="N263" s="51"/>
    </row>
    <row r="264" spans="1:17" ht="17.25" thickBot="1">
      <c r="A264" s="51"/>
      <c r="B264" s="51"/>
      <c r="C264" s="51"/>
      <c r="D264" s="51"/>
      <c r="E264" s="52"/>
      <c r="F264" s="52"/>
      <c r="G264" s="52"/>
      <c r="H264" s="52"/>
      <c r="I264" s="94"/>
      <c r="J264" s="51"/>
      <c r="K264" s="51"/>
      <c r="L264" s="51"/>
      <c r="M264" s="51"/>
      <c r="N264" s="51"/>
    </row>
    <row r="265" spans="1:17">
      <c r="A265" s="51"/>
      <c r="B265" s="51"/>
      <c r="C265" s="51"/>
      <c r="D265" s="51"/>
      <c r="E265" s="51"/>
      <c r="F265" s="102" t="s">
        <v>703</v>
      </c>
      <c r="G265" s="103" t="s">
        <v>287</v>
      </c>
      <c r="H265" s="104"/>
      <c r="I265" s="51"/>
      <c r="J265" s="51"/>
      <c r="K265" s="51"/>
      <c r="L265" s="51"/>
      <c r="M265" s="51"/>
      <c r="N265" s="51"/>
    </row>
    <row r="266" spans="1:17">
      <c r="A266" s="51"/>
      <c r="B266" s="51"/>
      <c r="C266" s="51"/>
      <c r="D266" s="51"/>
      <c r="E266" s="51"/>
      <c r="F266" s="105" t="s">
        <v>704</v>
      </c>
      <c r="G266" s="80">
        <v>6259283153</v>
      </c>
      <c r="H266" s="106"/>
      <c r="I266" s="51"/>
      <c r="J266" s="51"/>
      <c r="K266" s="51"/>
      <c r="L266" s="51"/>
      <c r="M266" s="51"/>
      <c r="N266" s="51"/>
    </row>
    <row r="267" spans="1:17">
      <c r="A267" s="51"/>
      <c r="B267" s="51"/>
      <c r="C267" s="51"/>
      <c r="D267" s="51"/>
      <c r="E267" s="51"/>
      <c r="F267" s="105" t="s">
        <v>291</v>
      </c>
      <c r="G267" s="80">
        <v>3104535439</v>
      </c>
      <c r="H267" s="106"/>
      <c r="I267" s="51"/>
      <c r="J267" s="51"/>
      <c r="K267" s="51"/>
      <c r="L267" s="51"/>
      <c r="M267" s="51"/>
      <c r="N267" s="51"/>
    </row>
    <row r="268" spans="1:17">
      <c r="A268" s="51"/>
      <c r="B268" s="51"/>
      <c r="C268" s="51"/>
      <c r="D268" s="51"/>
      <c r="E268" s="51"/>
      <c r="F268" s="105" t="s">
        <v>705</v>
      </c>
      <c r="G268" s="80">
        <v>0</v>
      </c>
      <c r="H268" s="106"/>
      <c r="I268" s="51"/>
      <c r="J268" s="51"/>
      <c r="K268" s="51"/>
      <c r="L268" s="51"/>
      <c r="M268" s="51"/>
      <c r="N268" s="51"/>
    </row>
    <row r="269" spans="1:17">
      <c r="A269" s="51"/>
      <c r="B269" s="51"/>
      <c r="C269" s="51"/>
      <c r="D269" s="51"/>
      <c r="E269" s="51"/>
      <c r="F269" s="105" t="s">
        <v>706</v>
      </c>
      <c r="G269" s="80"/>
      <c r="H269" s="106"/>
      <c r="I269" s="51"/>
      <c r="J269" s="51"/>
      <c r="K269" s="51"/>
      <c r="L269" s="51"/>
      <c r="M269" s="51"/>
      <c r="N269" s="51"/>
    </row>
    <row r="270" spans="1:17">
      <c r="A270" s="51"/>
      <c r="B270" s="51"/>
      <c r="C270" s="51"/>
      <c r="D270" s="51"/>
      <c r="E270" s="51"/>
      <c r="F270" s="105" t="s">
        <v>707</v>
      </c>
      <c r="G270" s="80"/>
      <c r="H270" s="106"/>
      <c r="I270" s="51"/>
      <c r="J270" s="51"/>
      <c r="K270" s="51"/>
      <c r="L270" s="51"/>
      <c r="M270" s="51"/>
      <c r="N270" s="51"/>
    </row>
    <row r="271" spans="1:17">
      <c r="A271" s="51"/>
      <c r="B271" s="51"/>
      <c r="C271" s="51"/>
      <c r="D271" s="51"/>
      <c r="E271" s="51"/>
      <c r="F271" s="105" t="s">
        <v>708</v>
      </c>
      <c r="G271" s="80">
        <v>3947838</v>
      </c>
      <c r="H271" s="106"/>
      <c r="I271" s="51"/>
      <c r="J271" s="51"/>
      <c r="K271" s="51"/>
      <c r="L271" s="51"/>
      <c r="M271" s="51"/>
      <c r="N271" s="51"/>
    </row>
    <row r="272" spans="1:17">
      <c r="A272" s="51"/>
      <c r="B272" s="51"/>
      <c r="C272" s="51"/>
      <c r="D272" s="51"/>
      <c r="E272" s="51"/>
      <c r="F272" s="107" t="s">
        <v>709</v>
      </c>
      <c r="G272" s="80">
        <v>9367766430</v>
      </c>
      <c r="H272" s="108"/>
      <c r="I272" s="51"/>
      <c r="J272" s="51"/>
      <c r="K272" s="51"/>
      <c r="L272" s="51"/>
      <c r="M272" s="51"/>
      <c r="N272" s="51"/>
    </row>
    <row r="273" spans="1:14" ht="17.25" thickBot="1">
      <c r="A273" s="51"/>
      <c r="B273" s="51"/>
      <c r="C273" s="51"/>
      <c r="D273" s="51"/>
      <c r="E273" s="51"/>
      <c r="F273" s="109" t="s">
        <v>710</v>
      </c>
      <c r="G273" s="110">
        <v>0</v>
      </c>
      <c r="H273" s="111"/>
      <c r="I273" s="93"/>
      <c r="J273" s="51"/>
      <c r="K273" s="51"/>
      <c r="L273" s="51"/>
      <c r="M273" s="51"/>
      <c r="N273" s="51"/>
    </row>
    <row r="274" spans="1:14">
      <c r="A274" s="51"/>
      <c r="B274" s="51"/>
      <c r="C274" s="51"/>
      <c r="D274" s="51"/>
      <c r="E274" s="52"/>
      <c r="F274" s="52"/>
      <c r="G274" s="52"/>
      <c r="H274" s="52"/>
      <c r="I274" s="52"/>
      <c r="J274" s="52"/>
      <c r="K274" s="99"/>
      <c r="L274" s="51"/>
      <c r="M274" s="53"/>
      <c r="N274" s="51"/>
    </row>
  </sheetData>
  <mergeCells count="1">
    <mergeCell ref="G4:H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DB66-CCAB-4512-87A3-97B832DD2744}">
  <sheetPr>
    <tabColor theme="9" tint="0.39997558519241921"/>
  </sheetPr>
  <dimension ref="A2:P115"/>
  <sheetViews>
    <sheetView zoomScaleNormal="100" workbookViewId="0">
      <pane xSplit="3" ySplit="5" topLeftCell="D79" activePane="bottomRight" state="frozen"/>
      <selection pane="topRight" activeCell="D1" sqref="D1"/>
      <selection pane="bottomLeft" activeCell="A6" sqref="A6"/>
      <selection pane="bottomRight" activeCell="C20" sqref="C20"/>
    </sheetView>
  </sheetViews>
  <sheetFormatPr defaultColWidth="8.75" defaultRowHeight="16.5" outlineLevelCol="1"/>
  <cols>
    <col min="1" max="2" width="5.75" style="216" customWidth="1"/>
    <col min="3" max="3" width="33.875" style="197" customWidth="1"/>
    <col min="4" max="6" width="20.25" style="197" customWidth="1"/>
    <col min="7" max="7" width="16.25" style="197" customWidth="1" outlineLevel="1"/>
    <col min="8" max="8" width="7.25" style="197" customWidth="1" outlineLevel="1"/>
    <col min="9" max="9" width="16.375" style="197" customWidth="1" outlineLevel="1"/>
    <col min="10" max="10" width="18.125" style="197" customWidth="1" outlineLevel="1"/>
    <col min="11" max="11" width="21.25" style="197" customWidth="1" outlineLevel="1"/>
    <col min="12" max="13" width="13.5" style="197" customWidth="1" outlineLevel="1"/>
    <col min="14" max="14" width="13.5" style="197" customWidth="1" outlineLevel="1" collapsed="1"/>
    <col min="15" max="16" width="8.75" style="197" customWidth="1" outlineLevel="1"/>
    <col min="17" max="20" width="8.75" style="197"/>
    <col min="21" max="21" width="36.25" style="197" customWidth="1"/>
    <col min="22" max="22" width="8.75" style="197"/>
    <col min="23" max="24" width="21.25" style="197" customWidth="1"/>
    <col min="25" max="16384" width="8.75" style="197"/>
  </cols>
  <sheetData>
    <row r="2" spans="3:13">
      <c r="K2" s="197" t="s">
        <v>990</v>
      </c>
    </row>
    <row r="3" spans="3:13" ht="17.25" thickBot="1">
      <c r="C3" s="194" t="s">
        <v>834</v>
      </c>
      <c r="D3" s="195" t="s">
        <v>987</v>
      </c>
      <c r="E3" s="195" t="s">
        <v>986</v>
      </c>
      <c r="F3" s="195" t="s">
        <v>986</v>
      </c>
      <c r="G3" s="196"/>
      <c r="H3" s="196"/>
      <c r="I3" s="196"/>
    </row>
    <row r="4" spans="3:13" ht="17.25" thickBot="1">
      <c r="C4" s="198"/>
      <c r="D4" s="195" t="s">
        <v>765</v>
      </c>
      <c r="E4" s="195" t="s">
        <v>766</v>
      </c>
      <c r="F4" s="195" t="s">
        <v>767</v>
      </c>
      <c r="G4" s="196"/>
      <c r="H4" s="196"/>
      <c r="I4" s="202"/>
    </row>
    <row r="5" spans="3:13" ht="17.25" thickBot="1">
      <c r="C5" s="199" t="s">
        <v>768</v>
      </c>
      <c r="D5" s="200">
        <f>SUM(D6,D48:D51)</f>
        <v>239926298207.02502</v>
      </c>
      <c r="E5" s="200">
        <f>SUM(E6,E48:E50)</f>
        <v>0</v>
      </c>
      <c r="F5" s="200">
        <f>SUM(F6,F48:F51)</f>
        <v>239926298207</v>
      </c>
      <c r="G5" s="196"/>
      <c r="H5" s="196"/>
      <c r="I5" s="202"/>
    </row>
    <row r="6" spans="3:13" ht="17.25" thickBot="1">
      <c r="C6" s="217" t="s">
        <v>769</v>
      </c>
      <c r="D6" s="218">
        <f>SUM(D7:D8,D30)</f>
        <v>241047481812.02502</v>
      </c>
      <c r="E6" s="218">
        <f>SUM(E7:E8,E30)</f>
        <v>0</v>
      </c>
      <c r="F6" s="218">
        <f>SUM(F7:F8,F30)</f>
        <v>241047481812</v>
      </c>
      <c r="G6" s="196"/>
      <c r="H6" s="196"/>
      <c r="I6" s="196"/>
    </row>
    <row r="7" spans="3:13" ht="17.25" thickBot="1">
      <c r="C7" s="217" t="s">
        <v>770</v>
      </c>
      <c r="D7" s="218">
        <f>CFwp_Aggregated!I150</f>
        <v>413114203131.02502</v>
      </c>
      <c r="E7" s="218">
        <f>-E18-E16-E33</f>
        <v>115114641677</v>
      </c>
      <c r="F7" s="218">
        <f>'C.연결조정 정산표_20'!J238</f>
        <v>528228844808</v>
      </c>
      <c r="G7" s="287">
        <f>SUM(D7:E7)-F7</f>
        <v>2.50244140625E-2</v>
      </c>
      <c r="H7" s="196"/>
      <c r="I7" s="202"/>
    </row>
    <row r="8" spans="3:13" ht="17.25" thickBot="1">
      <c r="C8" s="217" t="s">
        <v>771</v>
      </c>
      <c r="D8" s="218">
        <f>SUM(D9:D29)</f>
        <v>148403986848</v>
      </c>
      <c r="E8" s="218">
        <f>SUM(E9:E29)</f>
        <v>-115155280607</v>
      </c>
      <c r="F8" s="218">
        <f>SUM(F9:F29)</f>
        <v>33248706241</v>
      </c>
      <c r="G8" s="201">
        <f>CFwp_Aggregated!D161-D8</f>
        <v>-2.50244140625E-2</v>
      </c>
      <c r="H8" s="196"/>
      <c r="I8" s="196"/>
    </row>
    <row r="9" spans="3:13" ht="17.25" thickBot="1">
      <c r="C9" s="204" t="s">
        <v>410</v>
      </c>
      <c r="D9" s="204">
        <f>-SUMIF(CFwp_Aggregated!$H:$H,공시CF!C9,CFwp_Aggregated!I:I)</f>
        <v>-18175186</v>
      </c>
      <c r="E9" s="204"/>
      <c r="F9" s="204">
        <f>SUM(D9:E9)</f>
        <v>-18175186</v>
      </c>
      <c r="G9" s="201"/>
      <c r="H9" s="196"/>
      <c r="I9" s="202">
        <f>'C.연결조정 정산표_20'!J209</f>
        <v>18175186</v>
      </c>
      <c r="J9" s="215">
        <f>SUM(F9:I9)</f>
        <v>0</v>
      </c>
      <c r="M9" s="213"/>
    </row>
    <row r="10" spans="3:13" ht="17.25" thickBot="1">
      <c r="C10" s="204" t="s">
        <v>428</v>
      </c>
      <c r="D10" s="204">
        <f>SUMIF(CFwp_Aggregated!$H:$H,공시CF!C10,CFwp_Aggregated!I:I)</f>
        <v>3635900701</v>
      </c>
      <c r="E10" s="204"/>
      <c r="F10" s="204">
        <f t="shared" ref="F10:F47" si="0">SUM(D10:E10)</f>
        <v>3635900701</v>
      </c>
      <c r="G10" s="201"/>
      <c r="H10" s="201"/>
      <c r="I10" s="202">
        <f>'C.연결조정 정산표_20'!J218</f>
        <v>3635900701</v>
      </c>
      <c r="J10" s="215">
        <f>SUM(F10:H10)-I10</f>
        <v>0</v>
      </c>
      <c r="K10" s="215">
        <f>I10-I9</f>
        <v>3617725515</v>
      </c>
      <c r="L10" s="215">
        <f>SUM(F9:F10)</f>
        <v>3617725515</v>
      </c>
      <c r="M10" s="213">
        <f>K10-L10</f>
        <v>0</v>
      </c>
    </row>
    <row r="11" spans="3:13" ht="17.25" thickBot="1">
      <c r="C11" s="204" t="s">
        <v>526</v>
      </c>
      <c r="D11" s="204">
        <f>-ROUND(SUMIF(CFwp_Aggregated!$H:$H,공시CF!C11,CFwp_Aggregated!I:I),)</f>
        <v>-536952215</v>
      </c>
      <c r="E11" s="204"/>
      <c r="F11" s="204">
        <f t="shared" si="0"/>
        <v>-536952215</v>
      </c>
      <c r="G11" s="201"/>
      <c r="H11" s="196"/>
      <c r="I11" s="202">
        <f>'C.연결조정 정산표_20'!J227</f>
        <v>536952215</v>
      </c>
      <c r="J11" s="215">
        <f>SUM(F11:I11)</f>
        <v>0</v>
      </c>
      <c r="M11" s="213"/>
    </row>
    <row r="12" spans="3:13" ht="17.25" thickBot="1">
      <c r="C12" s="204" t="s">
        <v>977</v>
      </c>
      <c r="D12" s="204">
        <f>-SUMIF(CFwp_Aggregated!$H:$H,공시CF!C12,CFwp_Aggregated!I:I)</f>
        <v>-7424862</v>
      </c>
      <c r="E12" s="204"/>
      <c r="F12" s="204">
        <f t="shared" si="0"/>
        <v>-7424862</v>
      </c>
      <c r="G12" s="201"/>
      <c r="H12" s="196"/>
      <c r="I12" s="202">
        <f>'C.연결조정 정산표_20'!J228</f>
        <v>7424862</v>
      </c>
      <c r="J12" s="215">
        <f>SUM(F12:I12)</f>
        <v>0</v>
      </c>
      <c r="M12" s="213"/>
    </row>
    <row r="13" spans="3:13" ht="17.25" thickBot="1">
      <c r="C13" s="204" t="s">
        <v>390</v>
      </c>
      <c r="D13" s="204">
        <f>SUMIF(CFwp_Aggregated!$H:$H,공시CF!C13,CFwp_Aggregated!I:I)</f>
        <v>470162695</v>
      </c>
      <c r="E13" s="204"/>
      <c r="F13" s="204">
        <f t="shared" si="0"/>
        <v>470162695</v>
      </c>
      <c r="G13" s="201"/>
      <c r="H13" s="196"/>
      <c r="I13" s="202">
        <f>'C.연결조정 정산표_20'!J197</f>
        <v>470162695</v>
      </c>
      <c r="J13" s="215">
        <f>SUM(F13:H13)-I13</f>
        <v>0</v>
      </c>
      <c r="M13" s="213"/>
    </row>
    <row r="14" spans="3:13" ht="17.25" thickBot="1">
      <c r="C14" s="204" t="s">
        <v>871</v>
      </c>
      <c r="D14" s="204">
        <f>ROUND(SUMIF(CFwp_Aggregated!$H:$H,공시CF!C14,CFwp_Aggregated!I:I),)</f>
        <v>2840492158</v>
      </c>
      <c r="E14" s="204"/>
      <c r="F14" s="204">
        <f t="shared" si="0"/>
        <v>2840492158</v>
      </c>
      <c r="G14" s="201"/>
      <c r="H14" s="196"/>
      <c r="I14" s="202"/>
      <c r="M14" s="213"/>
    </row>
    <row r="15" spans="3:13" ht="17.25" thickBot="1">
      <c r="C15" s="204" t="s">
        <v>441</v>
      </c>
      <c r="D15" s="204">
        <f>-SUMIF(CFwp_Aggregated!$H:$H,공시CF!C15,CFwp_Aggregated!I:I)</f>
        <v>-37557679</v>
      </c>
      <c r="E15" s="204"/>
      <c r="F15" s="204">
        <f t="shared" si="0"/>
        <v>-37557679</v>
      </c>
      <c r="G15" s="201"/>
      <c r="H15" s="196"/>
      <c r="I15" s="202">
        <f>'C.연결조정 정산표_20'!J225</f>
        <v>37557679</v>
      </c>
      <c r="J15" s="215">
        <f>SUM(F15:I15)</f>
        <v>0</v>
      </c>
      <c r="M15" s="213"/>
    </row>
    <row r="16" spans="3:13" ht="17.25" thickBot="1">
      <c r="C16" s="204" t="s">
        <v>461</v>
      </c>
      <c r="D16" s="204">
        <f>SUMIF(CFwp_Aggregated!$H:$H,공시CF!C16,CFwp_Aggregated!I:I)</f>
        <v>139553435926</v>
      </c>
      <c r="E16" s="204">
        <f>'B.연결조정분개 요약표'!F90</f>
        <v>27415427309</v>
      </c>
      <c r="F16" s="204">
        <f t="shared" si="0"/>
        <v>166968863235</v>
      </c>
      <c r="G16" s="201"/>
      <c r="H16" s="196"/>
      <c r="I16" s="202">
        <f>'C.연결조정 정산표_20'!J237</f>
        <v>166968863235</v>
      </c>
      <c r="J16" s="215">
        <f>SUM(F16:H16)-I16</f>
        <v>0</v>
      </c>
      <c r="M16" s="213"/>
    </row>
    <row r="17" spans="1:15" ht="17.25" thickBot="1">
      <c r="C17" s="204" t="s">
        <v>454</v>
      </c>
      <c r="D17" s="204">
        <f>SUMIF(CFwp_Aggregated!$H:$H,공시CF!C17,CFwp_Aggregated!I:I)</f>
        <v>0</v>
      </c>
      <c r="E17" s="204"/>
      <c r="F17" s="204">
        <f t="shared" si="0"/>
        <v>0</v>
      </c>
      <c r="G17" s="201"/>
      <c r="H17" s="196"/>
      <c r="I17" s="202">
        <f>'C.연결조정 정산표_20'!J232</f>
        <v>0</v>
      </c>
      <c r="J17" s="215">
        <f>SUM(F17:H17)-I17</f>
        <v>0</v>
      </c>
      <c r="M17" s="213"/>
    </row>
    <row r="18" spans="1:15" ht="17.25" thickBot="1">
      <c r="C18" s="204" t="s">
        <v>417</v>
      </c>
      <c r="D18" s="204">
        <f>SUMIF(CFwp_Aggregated!$H:$H,공시CF!C18,CFwp_Aggregated!I:I)</f>
        <v>0</v>
      </c>
      <c r="E18" s="204">
        <f>-'B.연결조정분개 요약표'!G50-'B.연결조정분개 요약표'!G71</f>
        <v>-142570707916</v>
      </c>
      <c r="F18" s="204">
        <f t="shared" ref="F18" si="1">SUM(D18:E18)</f>
        <v>-142570707916</v>
      </c>
      <c r="G18" s="201"/>
      <c r="H18" s="196"/>
      <c r="I18" s="202">
        <f>'C.연결조정 정산표_20'!J234</f>
        <v>142570707916</v>
      </c>
      <c r="J18" s="215">
        <f t="shared" ref="J18:J21" si="2">SUM(F18:I18)</f>
        <v>0</v>
      </c>
      <c r="M18" s="213"/>
    </row>
    <row r="19" spans="1:15" ht="17.25" thickBot="1">
      <c r="C19" s="204" t="s">
        <v>413</v>
      </c>
      <c r="D19" s="204">
        <f>-SUMIF(CFwp_Aggregated!$H:$H,공시CF!C19,CFwp_Aggregated!I:I)</f>
        <v>0</v>
      </c>
      <c r="E19" s="204"/>
      <c r="F19" s="204">
        <f t="shared" si="0"/>
        <v>0</v>
      </c>
      <c r="G19" s="201"/>
      <c r="H19" s="196"/>
      <c r="I19" s="202">
        <f>'C.연결조정 정산표_20'!J211</f>
        <v>0</v>
      </c>
      <c r="J19" s="215">
        <f t="shared" si="2"/>
        <v>0</v>
      </c>
      <c r="M19" s="213"/>
    </row>
    <row r="20" spans="1:15" ht="17.25" thickBot="1">
      <c r="C20" s="204" t="s">
        <v>356</v>
      </c>
      <c r="D20" s="204">
        <f>SUMIF(CFwp_Aggregated!$H:$H,공시CF!C20,CFwp_Aggregated!I:I)</f>
        <v>1808962764</v>
      </c>
      <c r="E20" s="204"/>
      <c r="F20" s="204">
        <f t="shared" si="0"/>
        <v>1808962764</v>
      </c>
      <c r="G20" s="201"/>
      <c r="H20" s="196"/>
      <c r="I20" s="202">
        <f>'C.연결조정 정산표_20'!J180</f>
        <v>214947955</v>
      </c>
      <c r="J20" s="215">
        <f>SUM(F20:H20)-I20</f>
        <v>1594014809</v>
      </c>
      <c r="K20" s="281" t="s">
        <v>901</v>
      </c>
      <c r="M20" s="213"/>
    </row>
    <row r="21" spans="1:15" ht="17.25" thickBot="1">
      <c r="C21" s="204" t="s">
        <v>524</v>
      </c>
      <c r="D21" s="204">
        <f>-SUMIF(CFwp_Aggregated!$H:$H,공시CF!C21,CFwp_Aggregated!I:I)</f>
        <v>-866446</v>
      </c>
      <c r="E21" s="204"/>
      <c r="F21" s="204">
        <f t="shared" si="0"/>
        <v>-866446</v>
      </c>
      <c r="G21" s="201"/>
      <c r="H21" s="196"/>
      <c r="I21" s="202">
        <f>'C.연결조정 정산표_20'!J210</f>
        <v>866446</v>
      </c>
      <c r="J21" s="215">
        <f t="shared" si="2"/>
        <v>0</v>
      </c>
      <c r="M21" s="213"/>
    </row>
    <row r="22" spans="1:15" ht="17.25" thickBot="1">
      <c r="C22" s="204" t="s">
        <v>436</v>
      </c>
      <c r="D22" s="204">
        <f>SUMIF(CFwp_Aggregated!$H:$H,공시CF!C22,CFwp_Aggregated!I:I)</f>
        <v>12310639</v>
      </c>
      <c r="E22" s="204"/>
      <c r="F22" s="204">
        <f t="shared" si="0"/>
        <v>12310639</v>
      </c>
      <c r="G22" s="201"/>
      <c r="H22" s="196"/>
      <c r="I22" s="202">
        <f>'C.연결조정 정산표_20'!J222</f>
        <v>12310639</v>
      </c>
      <c r="J22" s="215">
        <f>SUM(F22:H22)-I22</f>
        <v>0</v>
      </c>
      <c r="M22" s="213"/>
    </row>
    <row r="23" spans="1:15" ht="17.25" thickBot="1">
      <c r="C23" s="204" t="s">
        <v>711</v>
      </c>
      <c r="D23" s="204">
        <f>SUMIF(CFwp_Aggregated!$H:$H,공시CF!C23,CFwp_Aggregated!I:I)</f>
        <v>78391153</v>
      </c>
      <c r="E23" s="204"/>
      <c r="F23" s="204">
        <f t="shared" si="0"/>
        <v>78391153</v>
      </c>
      <c r="G23" s="201"/>
      <c r="H23" s="196"/>
      <c r="I23" s="202">
        <f>'C.연결조정 정산표_20'!J200</f>
        <v>78391153</v>
      </c>
      <c r="J23" s="215">
        <f>SUM(F23:H23)-I23</f>
        <v>0</v>
      </c>
      <c r="K23" s="281"/>
      <c r="M23" s="213"/>
    </row>
    <row r="24" spans="1:15" ht="17.25" thickBot="1">
      <c r="C24" s="204" t="s">
        <v>448</v>
      </c>
      <c r="D24" s="204">
        <f>SUMIF(CFwp_Aggregated!$H:$H,공시CF!C24,CFwp_Aggregated!I:I)</f>
        <v>165715444</v>
      </c>
      <c r="E24" s="204"/>
      <c r="F24" s="204">
        <f t="shared" si="0"/>
        <v>165715444</v>
      </c>
      <c r="G24" s="201"/>
      <c r="H24" s="201"/>
      <c r="I24" s="202">
        <f>'C.연결조정 정산표_20'!J230</f>
        <v>172627980</v>
      </c>
      <c r="J24" s="215">
        <f>SUM(F24:H24)-I24</f>
        <v>-6912536</v>
      </c>
      <c r="M24" s="213"/>
    </row>
    <row r="25" spans="1:15" ht="17.25" thickBot="1">
      <c r="C25" s="204" t="s">
        <v>976</v>
      </c>
      <c r="D25" s="204">
        <f>SUMIF(CFwp_Aggregated!$H:$H,공시CF!C25,CFwp_Aggregated!I:I)</f>
        <v>6912536</v>
      </c>
      <c r="E25" s="204"/>
      <c r="F25" s="204">
        <f t="shared" si="0"/>
        <v>6912536</v>
      </c>
      <c r="G25" s="201"/>
      <c r="H25" s="201"/>
      <c r="I25" s="202"/>
      <c r="J25" s="215">
        <f>SUM(F25:H25)-I25</f>
        <v>6912536</v>
      </c>
      <c r="M25" s="213"/>
    </row>
    <row r="26" spans="1:15" ht="17.25" thickBot="1">
      <c r="C26" s="204" t="s">
        <v>712</v>
      </c>
      <c r="D26" s="204">
        <f>SUMIF(CFwp_Aggregated!$H:$H,공시CF!C26,CFwp_Aggregated!I:I)</f>
        <v>68990899</v>
      </c>
      <c r="E26" s="204"/>
      <c r="F26" s="204">
        <f t="shared" si="0"/>
        <v>68990899</v>
      </c>
      <c r="G26" s="201"/>
      <c r="H26" s="201"/>
      <c r="I26" s="202"/>
      <c r="J26" s="215"/>
      <c r="M26" s="213"/>
    </row>
    <row r="27" spans="1:15" ht="17.25" thickBot="1">
      <c r="C27" s="204" t="s">
        <v>596</v>
      </c>
      <c r="D27" s="204">
        <f>SUMIF(CFwp_Aggregated!$H:$H,공시CF!C27,CFwp_Aggregated!I:I)</f>
        <v>348063905</v>
      </c>
      <c r="E27" s="204"/>
      <c r="F27" s="204">
        <f t="shared" si="0"/>
        <v>348063905</v>
      </c>
      <c r="G27" s="201"/>
      <c r="H27" s="196"/>
      <c r="I27" s="202">
        <f>'C.연결조정 정산표_20'!J202</f>
        <v>348063905</v>
      </c>
      <c r="J27" s="215">
        <f>SUM(F27:H27)-I27</f>
        <v>0</v>
      </c>
    </row>
    <row r="28" spans="1:15" ht="17.25" thickBot="1">
      <c r="C28" s="204" t="s">
        <v>960</v>
      </c>
      <c r="D28" s="204">
        <f>SUMIF(CFwp_Aggregated!$H:$H,공시CF!C28,CFwp_Aggregated!I:I)</f>
        <v>15624416</v>
      </c>
      <c r="E28" s="204"/>
      <c r="F28" s="204">
        <f t="shared" si="0"/>
        <v>15624416</v>
      </c>
      <c r="G28" s="201"/>
      <c r="H28" s="196"/>
      <c r="I28" s="202"/>
      <c r="J28" s="215"/>
      <c r="M28"/>
    </row>
    <row r="29" spans="1:15">
      <c r="C29" s="204"/>
      <c r="D29" s="204">
        <f>SUMIF(CFwp_Aggregated!$H:$H,공시CF!C29,CFwp_Aggregated!I:I)</f>
        <v>0</v>
      </c>
      <c r="E29" s="204"/>
      <c r="F29" s="204">
        <f t="shared" si="0"/>
        <v>0</v>
      </c>
      <c r="G29" s="196"/>
      <c r="H29" s="196"/>
      <c r="I29" s="196"/>
      <c r="M29"/>
    </row>
    <row r="30" spans="1:15">
      <c r="C30" s="217" t="s">
        <v>772</v>
      </c>
      <c r="D30" s="218">
        <f>SUM(D31:D47)</f>
        <v>-320470708167</v>
      </c>
      <c r="E30" s="218">
        <f>SUM(E31:E47)</f>
        <v>40638930</v>
      </c>
      <c r="F30" s="218">
        <f>SUM(F31:F47)</f>
        <v>-320430069237</v>
      </c>
      <c r="G30" s="201">
        <f>D30-CFwp_Aggregated!D162</f>
        <v>0</v>
      </c>
      <c r="H30" s="196"/>
      <c r="I30" s="196"/>
      <c r="J30" s="220" t="s">
        <v>818</v>
      </c>
      <c r="K30" s="221"/>
      <c r="L30" s="222">
        <f>SUM(L32:L36)-SUM(L37:L43)</f>
        <v>280959680</v>
      </c>
      <c r="M30" s="222">
        <f>SUM(M32:M36)-SUM(M37:M43)</f>
        <v>0</v>
      </c>
      <c r="N30" s="222">
        <f>SUM(N32:N36)-SUM(N37:N43)</f>
        <v>280959680</v>
      </c>
      <c r="O30" s="221"/>
    </row>
    <row r="31" spans="1:15">
      <c r="A31" s="216" t="str">
        <f>CFwp_Aggregated!B16</f>
        <v>A1106</v>
      </c>
      <c r="B31" s="216" t="str">
        <f>CFwp_Aggregated!B19</f>
        <v>A1106-1</v>
      </c>
      <c r="C31" s="205" t="s">
        <v>34</v>
      </c>
      <c r="D31" s="204">
        <f>SUMIF(CFwp_Aggregated!$B:$B,공시CF!B31,CFwp_Aggregated!$L:$L)+SUMIF(CFwp_Aggregated!$B:$B,공시CF!A31,CFwp_Aggregated!$L:$L)</f>
        <v>-305620951415</v>
      </c>
      <c r="E31" s="204">
        <f>L32</f>
        <v>140479840</v>
      </c>
      <c r="F31" s="204">
        <f t="shared" si="0"/>
        <v>-305480471575</v>
      </c>
      <c r="G31" s="196"/>
      <c r="H31" s="196"/>
      <c r="I31" s="196"/>
      <c r="J31" s="229"/>
      <c r="K31" s="229"/>
      <c r="L31" s="230">
        <v>2020</v>
      </c>
      <c r="M31" s="230">
        <v>2019</v>
      </c>
      <c r="N31" s="221"/>
      <c r="O31" s="221"/>
    </row>
    <row r="32" spans="1:15">
      <c r="A32" s="216" t="str">
        <f>CFwp_Aggregated!B92</f>
        <v>A2406</v>
      </c>
      <c r="C32" s="205" t="s">
        <v>808</v>
      </c>
      <c r="D32" s="204">
        <f>SUMIF(CFwp_Aggregated!$B:$B,공시CF!B32,CFwp_Aggregated!$L:$L)+SUMIF(CFwp_Aggregated!$B:$B,공시CF!A32,CFwp_Aggregated!$L:$L)</f>
        <v>0</v>
      </c>
      <c r="E32" s="204"/>
      <c r="F32" s="204">
        <f t="shared" si="0"/>
        <v>0</v>
      </c>
      <c r="G32" s="196"/>
      <c r="H32" s="196"/>
      <c r="I32" s="196"/>
      <c r="J32" s="223"/>
      <c r="K32" s="223" t="s">
        <v>819</v>
      </c>
      <c r="L32" s="224">
        <f>'B.연결조정분개 요약표'!G19</f>
        <v>140479840</v>
      </c>
      <c r="M32" s="224"/>
      <c r="N32" s="222">
        <f>L32-M32</f>
        <v>140479840</v>
      </c>
      <c r="O32" s="221" t="s">
        <v>828</v>
      </c>
    </row>
    <row r="33" spans="1:15">
      <c r="A33" s="216" t="s">
        <v>806</v>
      </c>
      <c r="C33" s="205" t="s">
        <v>70</v>
      </c>
      <c r="D33" s="204">
        <f>SUMIF(CFwp_Aggregated!$B:$B,공시CF!B33,CFwp_Aggregated!$L:$L)+SUMIF(CFwp_Aggregated!$B:$B,공시CF!A33,CFwp_Aggregated!$L:$L)</f>
        <v>-48181888500</v>
      </c>
      <c r="E33" s="204">
        <f>'B.연결조정분개 요약표'!G28</f>
        <v>40638930</v>
      </c>
      <c r="F33" s="204">
        <f>SUM(D33:E33)</f>
        <v>-48141249570</v>
      </c>
      <c r="G33" s="196"/>
      <c r="H33" s="196"/>
      <c r="I33" s="196"/>
      <c r="J33" s="223"/>
      <c r="K33" s="223" t="s">
        <v>661</v>
      </c>
      <c r="L33" s="224"/>
      <c r="M33" s="224"/>
      <c r="N33" s="222">
        <f t="shared" ref="N33:N36" si="3">L33-M33</f>
        <v>0</v>
      </c>
      <c r="O33" s="221"/>
    </row>
    <row r="34" spans="1:15">
      <c r="A34" s="216" t="str">
        <f>CFwp_Aggregated!B25</f>
        <v>A1112</v>
      </c>
      <c r="C34" s="205" t="s">
        <v>52</v>
      </c>
      <c r="D34" s="204">
        <f>SUMIF(CFwp_Aggregated!$B:$B,공시CF!B34,CFwp_Aggregated!$L:$L)+SUMIF(CFwp_Aggregated!$B:$B,공시CF!A34,CFwp_Aggregated!$L:$L)</f>
        <v>57479025</v>
      </c>
      <c r="E34" s="204"/>
      <c r="F34" s="204">
        <f t="shared" si="0"/>
        <v>57479025</v>
      </c>
      <c r="G34" s="196"/>
      <c r="H34" s="196"/>
      <c r="I34" s="196"/>
      <c r="J34" s="223"/>
      <c r="K34" s="223" t="s">
        <v>830</v>
      </c>
      <c r="L34" s="224"/>
      <c r="M34" s="224"/>
      <c r="N34" s="222">
        <f t="shared" si="3"/>
        <v>0</v>
      </c>
      <c r="O34" s="221"/>
    </row>
    <row r="35" spans="1:15">
      <c r="A35" s="216" t="str">
        <f>CFwp_Aggregated!B26</f>
        <v>A1115</v>
      </c>
      <c r="C35" s="205" t="s">
        <v>54</v>
      </c>
      <c r="D35" s="204">
        <f>SUMIF(CFwp_Aggregated!$B:$B,공시CF!B35,CFwp_Aggregated!$L:$L)+SUMIF(CFwp_Aggregated!$B:$B,공시CF!A35,CFwp_Aggregated!$L:$L)</f>
        <v>-6233813988</v>
      </c>
      <c r="E35" s="204"/>
      <c r="F35" s="204">
        <f t="shared" si="0"/>
        <v>-6233813988</v>
      </c>
      <c r="G35" s="196"/>
      <c r="H35" s="196"/>
      <c r="I35" s="196"/>
      <c r="J35" s="223"/>
      <c r="K35" s="223" t="s">
        <v>820</v>
      </c>
      <c r="L35" s="224"/>
      <c r="M35" s="224"/>
      <c r="N35" s="231">
        <f t="shared" si="3"/>
        <v>0</v>
      </c>
      <c r="O35" s="221"/>
    </row>
    <row r="36" spans="1:15">
      <c r="A36" s="216" t="str">
        <f>CFwp_Aggregated!B27</f>
        <v>A1116</v>
      </c>
      <c r="C36" s="205" t="s">
        <v>58</v>
      </c>
      <c r="D36" s="204">
        <f>SUMIF(CFwp_Aggregated!$B:$B,공시CF!B36,CFwp_Aggregated!$L:$L)+SUMIF(CFwp_Aggregated!$B:$B,공시CF!A36,CFwp_Aggregated!$L:$L)</f>
        <v>6719678</v>
      </c>
      <c r="E36" s="204"/>
      <c r="F36" s="204">
        <f t="shared" si="0"/>
        <v>6719678</v>
      </c>
      <c r="G36" s="196"/>
      <c r="H36" s="196"/>
      <c r="I36" s="196"/>
      <c r="J36" s="223"/>
      <c r="K36" s="223" t="s">
        <v>44</v>
      </c>
      <c r="L36" s="224"/>
      <c r="M36" s="224"/>
      <c r="N36" s="222">
        <f t="shared" si="3"/>
        <v>0</v>
      </c>
      <c r="O36" s="221"/>
    </row>
    <row r="37" spans="1:15">
      <c r="A37" s="216" t="s">
        <v>837</v>
      </c>
      <c r="C37" s="205" t="s">
        <v>841</v>
      </c>
      <c r="D37" s="204">
        <f>SUMIF(CFwp_Aggregated!$B:$B,공시CF!B37,CFwp_Aggregated!$L:$L)+SUMIF(CFwp_Aggregated!$B:$B,공시CF!A37,CFwp_Aggregated!$L:$L)</f>
        <v>0</v>
      </c>
      <c r="E37" s="204"/>
      <c r="F37" s="204">
        <f t="shared" si="0"/>
        <v>0</v>
      </c>
      <c r="G37" s="196"/>
      <c r="H37" s="196"/>
      <c r="I37" s="196"/>
      <c r="J37" s="227"/>
      <c r="K37" s="227" t="s">
        <v>821</v>
      </c>
      <c r="L37" s="228"/>
      <c r="M37" s="228"/>
      <c r="N37" s="222">
        <f t="shared" ref="N37:N43" si="4">L37-M37</f>
        <v>0</v>
      </c>
      <c r="O37" s="221" t="s">
        <v>829</v>
      </c>
    </row>
    <row r="38" spans="1:15">
      <c r="A38" s="216" t="s">
        <v>839</v>
      </c>
      <c r="C38" s="205" t="s">
        <v>842</v>
      </c>
      <c r="D38" s="204">
        <f>SUMIF(CFwp_Aggregated!$B:$B,공시CF!B38,CFwp_Aggregated!$L:$L)+SUMIF(CFwp_Aggregated!$B:$B,공시CF!A38,CFwp_Aggregated!$L:$L)</f>
        <v>0</v>
      </c>
      <c r="E38" s="204"/>
      <c r="F38" s="204">
        <f t="shared" si="0"/>
        <v>0</v>
      </c>
      <c r="G38" s="196"/>
      <c r="H38" s="196"/>
      <c r="I38" s="196"/>
      <c r="J38" s="227"/>
      <c r="K38" s="227" t="s">
        <v>199</v>
      </c>
      <c r="L38" s="228">
        <f>-L32</f>
        <v>-140479840</v>
      </c>
      <c r="M38" s="228"/>
      <c r="N38" s="222">
        <f t="shared" si="4"/>
        <v>-140479840</v>
      </c>
      <c r="O38" s="221"/>
    </row>
    <row r="39" spans="1:15">
      <c r="A39" s="216" t="str">
        <f>CFwp_Aggregated!B102</f>
        <v>L1001</v>
      </c>
      <c r="C39" s="205" t="s">
        <v>191</v>
      </c>
      <c r="D39" s="204">
        <f>SUMIF(CFwp_Aggregated!$B:$B,공시CF!B39,CFwp_Aggregated!$L:$L)+SUMIF(CFwp_Aggregated!$B:$B,공시CF!A39,CFwp_Aggregated!$L:$L)</f>
        <v>27512964306</v>
      </c>
      <c r="E39" s="204"/>
      <c r="F39" s="204">
        <f t="shared" si="0"/>
        <v>27512964306</v>
      </c>
      <c r="G39" s="196"/>
      <c r="H39" s="196"/>
      <c r="I39" s="196"/>
      <c r="J39" s="227"/>
      <c r="K39" s="227" t="s">
        <v>822</v>
      </c>
      <c r="L39" s="228"/>
      <c r="M39" s="228"/>
      <c r="N39" s="231">
        <f t="shared" si="4"/>
        <v>0</v>
      </c>
      <c r="O39" s="221"/>
    </row>
    <row r="40" spans="1:15">
      <c r="A40" s="216" t="str">
        <f>CFwp_Aggregated!B112</f>
        <v>L1017</v>
      </c>
      <c r="C40" s="205" t="s">
        <v>773</v>
      </c>
      <c r="D40" s="204">
        <f>SUMIF(CFwp_Aggregated!$B:$B,공시CF!B40,CFwp_Aggregated!$L:$L)+SUMIF(CFwp_Aggregated!$B:$B,공시CF!A40,CFwp_Aggregated!$L:$L)</f>
        <v>291105997</v>
      </c>
      <c r="E40" s="204"/>
      <c r="F40" s="204">
        <f t="shared" si="0"/>
        <v>291105997</v>
      </c>
      <c r="G40" s="196"/>
      <c r="H40" s="196"/>
      <c r="I40" s="196"/>
      <c r="J40" s="227"/>
      <c r="K40" s="227" t="s">
        <v>823</v>
      </c>
      <c r="L40" s="228"/>
      <c r="M40" s="228"/>
      <c r="N40" s="222">
        <f t="shared" si="4"/>
        <v>0</v>
      </c>
      <c r="O40" s="221"/>
    </row>
    <row r="41" spans="1:15">
      <c r="A41" s="216" t="str">
        <f>CFwp_Aggregated!B104</f>
        <v>L1002</v>
      </c>
      <c r="C41" s="205" t="s">
        <v>195</v>
      </c>
      <c r="D41" s="204">
        <f>SUMIF(CFwp_Aggregated!$B:$B,공시CF!B41,CFwp_Aggregated!$L:$L)+SUMIF(CFwp_Aggregated!$B:$B,공시CF!A41,CFwp_Aggregated!$L:$L)</f>
        <v>1295562133</v>
      </c>
      <c r="E41" s="204">
        <f>L38</f>
        <v>-140479840</v>
      </c>
      <c r="F41" s="204">
        <f t="shared" si="0"/>
        <v>1155082293</v>
      </c>
      <c r="G41" s="196"/>
      <c r="H41" s="196"/>
      <c r="I41" s="196"/>
      <c r="J41" s="225"/>
      <c r="K41" s="225" t="s">
        <v>824</v>
      </c>
      <c r="L41" s="226"/>
      <c r="M41" s="226"/>
      <c r="N41" s="222">
        <f t="shared" si="4"/>
        <v>0</v>
      </c>
      <c r="O41" s="221"/>
    </row>
    <row r="42" spans="1:15">
      <c r="A42" s="216" t="s">
        <v>217</v>
      </c>
      <c r="C42" s="205" t="s">
        <v>218</v>
      </c>
      <c r="D42" s="204">
        <f>SUMIF(CFwp_Aggregated!$B:$B,공시CF!B42,CFwp_Aggregated!$L:$L)+SUMIF(CFwp_Aggregated!$B:$B,공시CF!A42,CFwp_Aggregated!$L:$L)</f>
        <v>2411919089</v>
      </c>
      <c r="E42" s="204"/>
      <c r="F42" s="204">
        <f t="shared" si="0"/>
        <v>2411919089</v>
      </c>
      <c r="G42" s="196"/>
      <c r="H42" s="196"/>
      <c r="I42" s="196"/>
      <c r="J42" s="225"/>
      <c r="K42" s="225"/>
      <c r="L42" s="226"/>
      <c r="M42" s="226"/>
      <c r="N42" s="222"/>
      <c r="O42" s="221"/>
    </row>
    <row r="43" spans="1:15">
      <c r="A43" s="216" t="str">
        <f>CFwp_Aggregated!B106</f>
        <v>L1003</v>
      </c>
      <c r="C43" s="205" t="s">
        <v>201</v>
      </c>
      <c r="D43" s="204">
        <f>SUMIF(CFwp_Aggregated!$B:$B,공시CF!B43,CFwp_Aggregated!$L:$L)+SUMIF(CFwp_Aggregated!$B:$B,공시CF!A43,CFwp_Aggregated!$L:$L)</f>
        <v>-92240620</v>
      </c>
      <c r="E43" s="204"/>
      <c r="F43" s="204">
        <f t="shared" si="0"/>
        <v>-92240620</v>
      </c>
      <c r="G43" s="196"/>
      <c r="H43" s="196"/>
      <c r="I43" s="196"/>
      <c r="J43" s="227"/>
      <c r="K43" s="227" t="s">
        <v>679</v>
      </c>
      <c r="L43" s="228"/>
      <c r="M43" s="228"/>
      <c r="N43" s="222">
        <f t="shared" si="4"/>
        <v>0</v>
      </c>
      <c r="O43" s="221"/>
    </row>
    <row r="44" spans="1:15">
      <c r="A44" s="216" t="s">
        <v>954</v>
      </c>
      <c r="C44" s="205" t="s">
        <v>955</v>
      </c>
      <c r="D44" s="204">
        <f>SUMIF(CFwp_Aggregated!$B:$B,공시CF!B44,CFwp_Aggregated!$L:$L)+SUMIF(CFwp_Aggregated!$B:$B,공시CF!A44,CFwp_Aggregated!$L:$L)</f>
        <v>8095212856</v>
      </c>
      <c r="E44" s="204"/>
      <c r="F44" s="204">
        <f t="shared" si="0"/>
        <v>8095212856</v>
      </c>
      <c r="G44" s="196"/>
      <c r="H44" s="196"/>
      <c r="I44" s="196"/>
      <c r="J44" s="227"/>
      <c r="K44" s="227"/>
      <c r="L44" s="228"/>
      <c r="M44" s="228"/>
      <c r="N44" s="222"/>
      <c r="O44" s="221"/>
    </row>
    <row r="45" spans="1:15">
      <c r="A45" s="216" t="s">
        <v>851</v>
      </c>
      <c r="C45" s="205" t="s">
        <v>852</v>
      </c>
      <c r="D45" s="204">
        <f>SUMIF(CFwp_Aggregated!$B:$B,공시CF!B45,CFwp_Aggregated!$L:$L)+SUMIF(CFwp_Aggregated!$B:$B,공시CF!A45,CFwp_Aggregated!$L:$L)</f>
        <v>-3596728</v>
      </c>
      <c r="E45" s="204"/>
      <c r="F45" s="204">
        <f t="shared" si="0"/>
        <v>-3596728</v>
      </c>
      <c r="G45" s="196"/>
      <c r="H45" s="196"/>
      <c r="I45" s="196"/>
      <c r="J45" s="227"/>
      <c r="K45" s="227"/>
      <c r="L45" s="228"/>
      <c r="M45" s="228"/>
      <c r="N45" s="222"/>
      <c r="O45" s="221"/>
    </row>
    <row r="46" spans="1:15">
      <c r="A46" s="216" t="str">
        <f>CFwp_Aggregated!B110</f>
        <v>L1006</v>
      </c>
      <c r="C46" s="205" t="s">
        <v>205</v>
      </c>
      <c r="D46" s="204">
        <f>SUMIF(CFwp_Aggregated!$B:$B,공시CF!B46,CFwp_Aggregated!$L:$L)+SUMIF(CFwp_Aggregated!$B:$B,공시CF!A46,CFwp_Aggregated!$L:$L)</f>
        <v>0</v>
      </c>
      <c r="E46" s="204"/>
      <c r="F46" s="204">
        <f t="shared" si="0"/>
        <v>0</v>
      </c>
      <c r="G46" s="196"/>
      <c r="H46" s="196"/>
      <c r="I46" s="196"/>
      <c r="J46" s="227"/>
      <c r="K46" s="227"/>
      <c r="L46" s="228"/>
      <c r="M46" s="228"/>
      <c r="N46" s="222"/>
      <c r="O46" s="221"/>
    </row>
    <row r="47" spans="1:15">
      <c r="A47" s="216" t="s">
        <v>243</v>
      </c>
      <c r="C47" s="205" t="s">
        <v>854</v>
      </c>
      <c r="D47" s="204">
        <f>SUMIF(CFwp_Aggregated!$B:$B,공시CF!B47,CFwp_Aggregated!$L:$L)+SUMIF(CFwp_Aggregated!$B:$B,공시CF!A47,CFwp_Aggregated!$L:$L)</f>
        <v>-9180000</v>
      </c>
      <c r="E47" s="204"/>
      <c r="F47" s="204">
        <f t="shared" si="0"/>
        <v>-9180000</v>
      </c>
      <c r="G47" s="196"/>
      <c r="H47" s="196"/>
      <c r="I47" s="196"/>
      <c r="J47" s="227"/>
      <c r="K47" s="227"/>
      <c r="L47" s="228"/>
      <c r="M47" s="228"/>
      <c r="N47" s="222"/>
      <c r="O47" s="221"/>
    </row>
    <row r="48" spans="1:15">
      <c r="C48" s="217" t="s">
        <v>774</v>
      </c>
      <c r="D48" s="218">
        <f>CFwp_Aggregated!D163</f>
        <v>37557679</v>
      </c>
      <c r="E48" s="218"/>
      <c r="F48" s="218">
        <f>SUM(D48:E48)</f>
        <v>37557679</v>
      </c>
      <c r="G48" s="196"/>
      <c r="H48" s="196"/>
      <c r="I48" s="196"/>
      <c r="J48" s="227"/>
      <c r="K48" s="227" t="s">
        <v>825</v>
      </c>
      <c r="L48" s="228"/>
      <c r="M48" s="228"/>
      <c r="N48" s="221"/>
      <c r="O48" s="221"/>
    </row>
    <row r="49" spans="1:13">
      <c r="C49" s="217" t="s">
        <v>775</v>
      </c>
      <c r="D49" s="218">
        <f>CFwp_Aggregated!D164</f>
        <v>-165715444</v>
      </c>
      <c r="E49" s="218"/>
      <c r="F49" s="218">
        <f t="shared" ref="F49:F51" si="5">SUM(D49:E49)</f>
        <v>-165715444</v>
      </c>
      <c r="G49" s="196"/>
      <c r="H49" s="196"/>
      <c r="I49" s="196"/>
      <c r="J49" s="227"/>
      <c r="K49" s="227" t="s">
        <v>692</v>
      </c>
      <c r="L49" s="228"/>
      <c r="M49" s="228"/>
    </row>
    <row r="50" spans="1:13">
      <c r="C50" s="217" t="s">
        <v>776</v>
      </c>
      <c r="D50" s="218">
        <f>CFwp_Aggregated!D166</f>
        <v>-993025840</v>
      </c>
      <c r="E50" s="218"/>
      <c r="F50" s="218">
        <f t="shared" si="5"/>
        <v>-993025840</v>
      </c>
      <c r="G50" s="196"/>
      <c r="H50" s="196"/>
      <c r="I50" s="196"/>
      <c r="J50" s="227"/>
      <c r="K50" s="227" t="s">
        <v>753</v>
      </c>
      <c r="L50" s="228"/>
      <c r="M50" s="228"/>
    </row>
    <row r="51" spans="1:13">
      <c r="C51" s="217" t="s">
        <v>754</v>
      </c>
      <c r="D51" s="218"/>
      <c r="E51" s="218"/>
      <c r="F51" s="218">
        <f t="shared" si="5"/>
        <v>0</v>
      </c>
      <c r="G51" s="196"/>
      <c r="H51" s="196"/>
      <c r="I51" s="196"/>
      <c r="J51" s="227"/>
      <c r="K51" s="227" t="s">
        <v>826</v>
      </c>
      <c r="L51" s="228"/>
      <c r="M51" s="228"/>
    </row>
    <row r="52" spans="1:13">
      <c r="C52" s="199" t="s">
        <v>777</v>
      </c>
      <c r="D52" s="200">
        <f>D53+D70</f>
        <v>-111939191138</v>
      </c>
      <c r="E52" s="200">
        <f>E53+E70</f>
        <v>546100000</v>
      </c>
      <c r="F52" s="200">
        <f>F53+F70</f>
        <v>-111393091138</v>
      </c>
      <c r="G52" s="201" t="b">
        <f>CFwp_Aggregated!D168=D52</f>
        <v>1</v>
      </c>
      <c r="H52" s="196"/>
      <c r="I52" s="196"/>
      <c r="J52" s="223"/>
      <c r="K52" s="223" t="s">
        <v>827</v>
      </c>
      <c r="L52" s="224"/>
      <c r="M52" s="224"/>
    </row>
    <row r="53" spans="1:13">
      <c r="C53" s="217" t="s">
        <v>778</v>
      </c>
      <c r="D53" s="218">
        <f>SUM(D54:D60,D66,D68:D69)</f>
        <v>8185502867</v>
      </c>
      <c r="E53" s="218">
        <f>SUM(E54:E60,E66,E68:E69)</f>
        <v>0</v>
      </c>
      <c r="F53" s="218">
        <f>SUM(F54:F60,F66,F68:F69)</f>
        <v>8185502867</v>
      </c>
      <c r="G53" s="287">
        <f>CFwp_Aggregated!D169-D53</f>
        <v>0</v>
      </c>
      <c r="H53" s="196"/>
      <c r="I53" s="196"/>
    </row>
    <row r="54" spans="1:13">
      <c r="A54" s="216" t="str">
        <f>CFwp_Aggregated!B14</f>
        <v>A1105</v>
      </c>
      <c r="C54" s="205" t="s">
        <v>809</v>
      </c>
      <c r="D54" s="203">
        <f>SUMIF(CFwp_Aggregated!$B:$B,A54,CFwp_Aggregated!$O:$O)</f>
        <v>8107424862</v>
      </c>
      <c r="E54" s="203"/>
      <c r="F54" s="203">
        <f t="shared" ref="F54:F91" si="6">SUM(D54:E54)</f>
        <v>8107424862</v>
      </c>
      <c r="G54" s="196"/>
      <c r="H54" s="196"/>
      <c r="I54" s="196"/>
    </row>
    <row r="55" spans="1:13">
      <c r="A55" s="216" t="str">
        <f>CFwp_Aggregated!B22</f>
        <v>A1109</v>
      </c>
      <c r="C55" s="205" t="s">
        <v>779</v>
      </c>
      <c r="D55" s="203">
        <f>SUMIF(CFwp_Aggregated!$B:$B,A55,CFwp_Aggregated!$O:$O)</f>
        <v>0</v>
      </c>
      <c r="E55" s="203"/>
      <c r="F55" s="203">
        <f t="shared" si="6"/>
        <v>0</v>
      </c>
      <c r="G55" s="196"/>
      <c r="H55" s="196"/>
      <c r="I55" s="196"/>
      <c r="J55" s="191"/>
      <c r="K55" s="191"/>
      <c r="L55" s="219"/>
      <c r="M55" s="219"/>
    </row>
    <row r="56" spans="1:13">
      <c r="A56" s="216" t="s">
        <v>25</v>
      </c>
      <c r="C56" s="205" t="s">
        <v>978</v>
      </c>
      <c r="D56" s="203">
        <f>SUMIF(CFwp_Aggregated!$B:$B,A56,CFwp_Aggregated!$O:$O)</f>
        <v>0</v>
      </c>
      <c r="E56" s="203"/>
      <c r="F56" s="203">
        <f t="shared" si="6"/>
        <v>0</v>
      </c>
      <c r="G56" s="196"/>
      <c r="H56" s="196"/>
      <c r="I56" s="196"/>
      <c r="M56"/>
    </row>
    <row r="57" spans="1:13">
      <c r="C57" s="205" t="s">
        <v>780</v>
      </c>
      <c r="D57" s="203">
        <f>SUMIF(CFwp_Aggregated!$B:$B,A57,CFwp_Aggregated!$O:$O)</f>
        <v>0</v>
      </c>
      <c r="E57" s="203"/>
      <c r="F57" s="203">
        <f t="shared" si="6"/>
        <v>0</v>
      </c>
      <c r="G57" s="196"/>
      <c r="H57" s="196"/>
      <c r="I57" s="196"/>
      <c r="M57"/>
    </row>
    <row r="58" spans="1:13">
      <c r="C58" s="205" t="s">
        <v>781</v>
      </c>
      <c r="D58" s="203">
        <f>SUMIF(CFwp_Aggregated!$B:$B,A58,CFwp_Aggregated!$O:$O)</f>
        <v>0</v>
      </c>
      <c r="E58" s="203"/>
      <c r="F58" s="203">
        <f t="shared" si="6"/>
        <v>0</v>
      </c>
      <c r="G58" s="196"/>
      <c r="H58" s="196"/>
      <c r="I58" s="196"/>
      <c r="M58"/>
    </row>
    <row r="59" spans="1:13">
      <c r="A59" s="216" t="str">
        <f>CFwp_Aggregated!B96</f>
        <v>A2402</v>
      </c>
      <c r="C59" s="205" t="s">
        <v>811</v>
      </c>
      <c r="D59" s="203">
        <f>SUMIF(CFwp_Aggregated!$B:$B,A59,CFwp_Aggregated!$O:$O)</f>
        <v>0</v>
      </c>
      <c r="E59" s="203"/>
      <c r="F59" s="203">
        <f t="shared" si="6"/>
        <v>0</v>
      </c>
      <c r="G59" s="196"/>
      <c r="H59" s="196"/>
      <c r="I59" s="196"/>
      <c r="M59"/>
    </row>
    <row r="60" spans="1:13">
      <c r="C60" s="206" t="s">
        <v>782</v>
      </c>
      <c r="D60" s="207">
        <f>SUM(D61:D65)</f>
        <v>78078005</v>
      </c>
      <c r="E60" s="207">
        <f>SUM(E61:E65)</f>
        <v>0</v>
      </c>
      <c r="F60" s="207">
        <f>SUM(F61:F65)</f>
        <v>78078005</v>
      </c>
      <c r="G60" s="196"/>
      <c r="H60" s="196"/>
      <c r="I60" s="196"/>
      <c r="M60"/>
    </row>
    <row r="61" spans="1:13">
      <c r="A61" s="216" t="str">
        <f>CFwp_Aggregated!B61</f>
        <v>A2202</v>
      </c>
      <c r="C61" s="205" t="s">
        <v>783</v>
      </c>
      <c r="D61" s="203">
        <f>SUMIF(CFwp_Aggregated!$B:$B,A61,CFwp_Aggregated!$O:$O)</f>
        <v>0</v>
      </c>
      <c r="E61" s="203"/>
      <c r="F61" s="203">
        <f t="shared" si="6"/>
        <v>0</v>
      </c>
      <c r="G61" s="196"/>
      <c r="H61" s="196"/>
      <c r="I61" s="196"/>
      <c r="M61"/>
    </row>
    <row r="62" spans="1:13">
      <c r="A62" s="216" t="str">
        <f>CFwp_Aggregated!B65</f>
        <v>A2204</v>
      </c>
      <c r="C62" s="205" t="s">
        <v>810</v>
      </c>
      <c r="D62" s="203">
        <f>SUMIF(CFwp_Aggregated!$B:$B,A62,CFwp_Aggregated!$O:$O)</f>
        <v>77350732</v>
      </c>
      <c r="E62" s="203"/>
      <c r="F62" s="203">
        <f t="shared" si="6"/>
        <v>77350732</v>
      </c>
      <c r="G62" s="196"/>
      <c r="H62" s="196"/>
      <c r="I62" s="196"/>
      <c r="M62"/>
    </row>
    <row r="63" spans="1:13">
      <c r="C63" s="205" t="s">
        <v>784</v>
      </c>
      <c r="D63" s="203"/>
      <c r="E63" s="203"/>
      <c r="F63" s="203">
        <f t="shared" si="6"/>
        <v>0</v>
      </c>
      <c r="G63" s="196"/>
      <c r="H63" s="196"/>
      <c r="I63" s="196"/>
      <c r="M63"/>
    </row>
    <row r="64" spans="1:13">
      <c r="C64" s="205" t="s">
        <v>755</v>
      </c>
      <c r="D64" s="203"/>
      <c r="E64" s="203"/>
      <c r="F64" s="203">
        <f t="shared" si="6"/>
        <v>0</v>
      </c>
      <c r="G64" s="196"/>
      <c r="H64" s="196"/>
      <c r="I64" s="196"/>
      <c r="M64"/>
    </row>
    <row r="65" spans="1:13">
      <c r="A65" s="216" t="s">
        <v>144</v>
      </c>
      <c r="C65" s="205" t="s">
        <v>785</v>
      </c>
      <c r="D65" s="203">
        <f>SUMIF(CFwp_Aggregated!$B:$B,A65,CFwp_Aggregated!$O:$O)</f>
        <v>727273</v>
      </c>
      <c r="E65" s="203"/>
      <c r="F65" s="203">
        <f t="shared" si="6"/>
        <v>727273</v>
      </c>
      <c r="G65" s="196"/>
      <c r="H65" s="196"/>
      <c r="I65" s="196"/>
      <c r="M65"/>
    </row>
    <row r="66" spans="1:13">
      <c r="C66" s="206" t="s">
        <v>786</v>
      </c>
      <c r="D66" s="207">
        <f>SUM(D67)</f>
        <v>0</v>
      </c>
      <c r="E66" s="207">
        <f t="shared" ref="E66:F66" si="7">SUM(E67)</f>
        <v>0</v>
      </c>
      <c r="F66" s="207">
        <f t="shared" si="7"/>
        <v>0</v>
      </c>
      <c r="G66" s="196"/>
      <c r="H66" s="196"/>
      <c r="I66" s="196"/>
      <c r="M66"/>
    </row>
    <row r="67" spans="1:13">
      <c r="C67" s="205" t="s">
        <v>787</v>
      </c>
      <c r="D67" s="203"/>
      <c r="E67" s="203"/>
      <c r="F67" s="203">
        <f t="shared" si="6"/>
        <v>0</v>
      </c>
      <c r="G67" s="196"/>
      <c r="H67" s="196"/>
      <c r="I67" s="196"/>
      <c r="M67"/>
    </row>
    <row r="68" spans="1:13">
      <c r="A68" s="216" t="str">
        <f>CFwp_Aggregated!B10</f>
        <v>A1101</v>
      </c>
      <c r="B68" s="216" t="str">
        <f>CFwp_Aggregated!B11</f>
        <v>A1102</v>
      </c>
      <c r="C68" s="208" t="s">
        <v>816</v>
      </c>
      <c r="D68" s="209">
        <f>SUMIF(CFwp_Aggregated!$B:$B,B68,CFwp_Aggregated!$W:$W)+SUMIF(CFwp_Aggregated!$B:$B,A68,CFwp_Aggregated!$W:$W)</f>
        <v>0</v>
      </c>
      <c r="E68" s="209"/>
      <c r="F68" s="209">
        <f t="shared" si="6"/>
        <v>0</v>
      </c>
      <c r="G68" s="210"/>
      <c r="H68" s="196"/>
      <c r="I68" s="196"/>
      <c r="J68" s="196"/>
      <c r="M68"/>
    </row>
    <row r="69" spans="1:13">
      <c r="C69" s="205"/>
      <c r="D69" s="203"/>
      <c r="E69" s="203"/>
      <c r="F69" s="203">
        <f t="shared" si="6"/>
        <v>0</v>
      </c>
      <c r="G69" s="196"/>
      <c r="H69" s="196"/>
      <c r="I69" s="196"/>
      <c r="J69" s="196"/>
      <c r="M69"/>
    </row>
    <row r="70" spans="1:13">
      <c r="C70" s="217" t="s">
        <v>788</v>
      </c>
      <c r="D70" s="218">
        <f>-SUM(D71:D77,D87,D91,D90)</f>
        <v>-120124694005</v>
      </c>
      <c r="E70" s="218">
        <f>-SUM(E71:E77,E87,E91)</f>
        <v>546100000</v>
      </c>
      <c r="F70" s="218">
        <f>-SUM(F71:F77,F87,F91,F90)</f>
        <v>-119578594005</v>
      </c>
      <c r="G70" s="211">
        <f>CFwp_Aggregated!D170+D70</f>
        <v>0</v>
      </c>
      <c r="H70" s="196"/>
      <c r="I70" s="196"/>
      <c r="J70" s="196"/>
      <c r="M70"/>
    </row>
    <row r="71" spans="1:13">
      <c r="A71" s="216" t="str">
        <f>CFwp_Aggregated!B14</f>
        <v>A1105</v>
      </c>
      <c r="C71" s="205" t="s">
        <v>981</v>
      </c>
      <c r="D71" s="203">
        <f>SUMIF(CFwp_Aggregated!$B:$B,A71,CFwp_Aggregated!$P:$P)</f>
        <v>47600000000</v>
      </c>
      <c r="E71" s="203"/>
      <c r="F71" s="203">
        <f t="shared" si="6"/>
        <v>47600000000</v>
      </c>
      <c r="G71" s="196"/>
      <c r="H71" s="196"/>
      <c r="I71" s="196"/>
      <c r="J71" s="196"/>
      <c r="M71"/>
    </row>
    <row r="72" spans="1:13">
      <c r="A72" s="216" t="s">
        <v>25</v>
      </c>
      <c r="C72" s="205" t="s">
        <v>979</v>
      </c>
      <c r="D72" s="203">
        <f>SUMIF(CFwp_Aggregated!$B:$B,A72,CFwp_Aggregated!$P:$P)</f>
        <v>40000000000</v>
      </c>
      <c r="E72" s="203"/>
      <c r="F72" s="203">
        <f t="shared" si="6"/>
        <v>40000000000</v>
      </c>
      <c r="G72" s="196"/>
      <c r="H72" s="196"/>
      <c r="I72" s="196"/>
      <c r="J72" s="196"/>
      <c r="M72"/>
    </row>
    <row r="73" spans="1:13">
      <c r="A73" s="216" t="str">
        <f>CFwp_Aggregated!B50</f>
        <v>A2103</v>
      </c>
      <c r="C73" s="205" t="s">
        <v>812</v>
      </c>
      <c r="D73" s="203">
        <f>SUMIF(CFwp_Aggregated!$B:$B,A73,CFwp_Aggregated!$P:$P)</f>
        <v>0</v>
      </c>
      <c r="E73" s="203"/>
      <c r="F73" s="203">
        <f t="shared" si="6"/>
        <v>0</v>
      </c>
      <c r="G73" s="196"/>
      <c r="H73" s="196"/>
      <c r="I73" s="196"/>
      <c r="M73"/>
    </row>
    <row r="74" spans="1:13">
      <c r="A74" s="216" t="s">
        <v>98</v>
      </c>
      <c r="C74" s="205" t="s">
        <v>980</v>
      </c>
      <c r="D74" s="203">
        <f>SUMIF(CFwp_Aggregated!$B:$B,A74,CFwp_Aggregated!$P:$P)</f>
        <v>3480408000</v>
      </c>
      <c r="E74" s="203"/>
      <c r="F74" s="203">
        <f t="shared" si="6"/>
        <v>3480408000</v>
      </c>
      <c r="G74" s="196"/>
      <c r="H74" s="196"/>
      <c r="I74" s="196"/>
      <c r="M74"/>
    </row>
    <row r="75" spans="1:13">
      <c r="A75" s="216" t="str">
        <f>CFwp_Aggregated!B55</f>
        <v>A2106</v>
      </c>
      <c r="C75" s="205" t="s">
        <v>789</v>
      </c>
      <c r="D75" s="203">
        <f>SUMIF(CFwp_Aggregated!$B:$B,A75,CFwp_Aggregated!$P:$P)</f>
        <v>546100000</v>
      </c>
      <c r="E75" s="203">
        <f>E95</f>
        <v>-546100000</v>
      </c>
      <c r="F75" s="203">
        <f t="shared" si="6"/>
        <v>0</v>
      </c>
      <c r="G75" s="196"/>
      <c r="H75" s="196"/>
      <c r="I75" s="232" t="s">
        <v>831</v>
      </c>
      <c r="J75" s="233"/>
      <c r="K75" s="233"/>
      <c r="M75"/>
    </row>
    <row r="76" spans="1:13">
      <c r="A76" s="216" t="str">
        <f>CFwp_Aggregated!B57</f>
        <v>A2107</v>
      </c>
      <c r="C76" s="205" t="s">
        <v>109</v>
      </c>
      <c r="D76" s="203">
        <f>SUMIF(CFwp_Aggregated!$B:$B,A76,CFwp_Aggregated!$P:$P)</f>
        <v>1417279276</v>
      </c>
      <c r="E76" s="203">
        <f>-K79</f>
        <v>0</v>
      </c>
      <c r="F76" s="203">
        <f t="shared" si="6"/>
        <v>1417279276</v>
      </c>
      <c r="G76" s="196"/>
      <c r="H76" s="196"/>
      <c r="I76" s="196" t="s">
        <v>875</v>
      </c>
      <c r="K76" s="213">
        <f>'B.연결조정분개 요약표'!G11</f>
        <v>546100000</v>
      </c>
      <c r="M76"/>
    </row>
    <row r="77" spans="1:13">
      <c r="C77" s="206" t="s">
        <v>790</v>
      </c>
      <c r="D77" s="207">
        <f>SUM(D78:D86)</f>
        <v>26698271889</v>
      </c>
      <c r="E77" s="207">
        <f>SUM(E78:E86)</f>
        <v>0</v>
      </c>
      <c r="F77" s="207">
        <f>SUM(F78:F86)</f>
        <v>26698271889</v>
      </c>
      <c r="G77" s="196"/>
      <c r="H77" s="196"/>
      <c r="I77" s="232"/>
      <c r="J77" s="233"/>
      <c r="K77" s="236"/>
      <c r="M77"/>
    </row>
    <row r="78" spans="1:13">
      <c r="A78" s="216" t="str">
        <f>CFwp_Aggregated!B60</f>
        <v>A2201</v>
      </c>
      <c r="C78" s="205" t="s">
        <v>756</v>
      </c>
      <c r="D78" s="203">
        <f>SUMIF(CFwp_Aggregated!$B:$B,A78,CFwp_Aggregated!$P:$P)</f>
        <v>4298406124</v>
      </c>
      <c r="E78" s="203"/>
      <c r="F78" s="203">
        <f t="shared" si="6"/>
        <v>4298406124</v>
      </c>
      <c r="G78" s="196"/>
      <c r="H78" s="196"/>
      <c r="I78" s="196"/>
      <c r="K78" s="213">
        <f>SUM(K76:K77)</f>
        <v>546100000</v>
      </c>
      <c r="M78"/>
    </row>
    <row r="79" spans="1:13">
      <c r="A79" s="216" t="str">
        <f>CFwp_Aggregated!B61</f>
        <v>A2202</v>
      </c>
      <c r="C79" s="205" t="s">
        <v>757</v>
      </c>
      <c r="D79" s="203">
        <f>SUMIF(CFwp_Aggregated!$B:$B,A79,CFwp_Aggregated!$P:$P)</f>
        <v>9181000732</v>
      </c>
      <c r="E79" s="203"/>
      <c r="F79" s="203">
        <f t="shared" si="6"/>
        <v>9181000732</v>
      </c>
      <c r="G79" s="196"/>
      <c r="H79" s="196"/>
      <c r="I79" s="196"/>
      <c r="M79"/>
    </row>
    <row r="80" spans="1:13">
      <c r="A80" s="216" t="s">
        <v>134</v>
      </c>
      <c r="C80" s="205" t="s">
        <v>135</v>
      </c>
      <c r="D80" s="203">
        <f>SUMIF(CFwp_Aggregated!$B:$B,A80,CFwp_Aggregated!$P:$P)</f>
        <v>235000000</v>
      </c>
      <c r="E80" s="203"/>
      <c r="F80" s="203">
        <f t="shared" si="6"/>
        <v>235000000</v>
      </c>
      <c r="G80" s="196"/>
      <c r="H80" s="196"/>
      <c r="I80" s="196"/>
      <c r="M80"/>
    </row>
    <row r="81" spans="1:13">
      <c r="A81" s="216" t="str">
        <f>CFwp_Aggregated!B65</f>
        <v>A2204</v>
      </c>
      <c r="C81" s="205" t="s">
        <v>813</v>
      </c>
      <c r="D81" s="203">
        <f>SUMIF(CFwp_Aggregated!$B:$B,A81,CFwp_Aggregated!$P:$P)</f>
        <v>8369023683</v>
      </c>
      <c r="E81" s="203"/>
      <c r="F81" s="203">
        <f t="shared" si="6"/>
        <v>8369023683</v>
      </c>
      <c r="G81" s="196"/>
      <c r="H81" s="196"/>
      <c r="I81" s="196"/>
      <c r="M81"/>
    </row>
    <row r="82" spans="1:13">
      <c r="A82" s="216" t="s">
        <v>144</v>
      </c>
      <c r="C82" s="205" t="s">
        <v>982</v>
      </c>
      <c r="D82" s="203">
        <f>SUMIF(CFwp_Aggregated!$B:$B,A82,CFwp_Aggregated!$P:$P)</f>
        <v>102869302</v>
      </c>
      <c r="E82" s="203"/>
      <c r="F82" s="203">
        <f t="shared" si="6"/>
        <v>102869302</v>
      </c>
      <c r="G82" s="196"/>
      <c r="H82" s="196"/>
      <c r="I82" s="196"/>
      <c r="M82"/>
    </row>
    <row r="83" spans="1:13">
      <c r="A83" s="216" t="str">
        <f>CFwp_Aggregated!B71</f>
        <v>A2206</v>
      </c>
      <c r="C83" s="205" t="s">
        <v>814</v>
      </c>
      <c r="D83" s="203">
        <f>SUMIF(CFwp_Aggregated!$B:$B,A83,CFwp_Aggregated!$P:$P)</f>
        <v>5250000</v>
      </c>
      <c r="E83" s="203"/>
      <c r="F83" s="203">
        <f t="shared" si="6"/>
        <v>5250000</v>
      </c>
      <c r="G83" s="196"/>
      <c r="H83" s="196"/>
      <c r="I83" s="196"/>
      <c r="M83"/>
    </row>
    <row r="84" spans="1:13">
      <c r="A84" s="216" t="str">
        <f>CFwp_Aggregated!B77</f>
        <v>A2209</v>
      </c>
      <c r="C84" s="205" t="s">
        <v>791</v>
      </c>
      <c r="D84" s="203">
        <f>SUMIF(CFwp_Aggregated!$B:$B,A84,CFwp_Aggregated!$P:$P)</f>
        <v>351423000</v>
      </c>
      <c r="E84" s="203"/>
      <c r="F84" s="203">
        <f t="shared" si="6"/>
        <v>351423000</v>
      </c>
      <c r="G84" s="196"/>
      <c r="H84" s="196"/>
      <c r="I84" s="196"/>
      <c r="M84"/>
    </row>
    <row r="85" spans="1:13">
      <c r="A85" s="216" t="str">
        <f>CFwp_Aggregated!B74</f>
        <v>A2207</v>
      </c>
      <c r="C85" s="205" t="s">
        <v>758</v>
      </c>
      <c r="D85" s="203">
        <f>SUMIF(CFwp_Aggregated!$B:$B,A85,CFwp_Aggregated!$P:$P)</f>
        <v>550839970</v>
      </c>
      <c r="E85" s="203"/>
      <c r="F85" s="203">
        <f t="shared" si="6"/>
        <v>550839970</v>
      </c>
      <c r="G85" s="196"/>
      <c r="H85" s="196"/>
      <c r="I85" s="196"/>
      <c r="M85"/>
    </row>
    <row r="86" spans="1:13">
      <c r="A86" s="216" t="str">
        <f>CFwp_Aggregated!B76</f>
        <v>A2208</v>
      </c>
      <c r="C86" s="205" t="s">
        <v>792</v>
      </c>
      <c r="D86" s="203">
        <f>SUMIF(CFwp_Aggregated!$B:$B,A86,CFwp_Aggregated!$P:$P)</f>
        <v>3604459078</v>
      </c>
      <c r="E86" s="203"/>
      <c r="F86" s="203">
        <f t="shared" si="6"/>
        <v>3604459078</v>
      </c>
      <c r="G86" s="196"/>
      <c r="H86" s="196"/>
      <c r="I86" s="196"/>
      <c r="M86"/>
    </row>
    <row r="87" spans="1:13">
      <c r="C87" s="206" t="s">
        <v>793</v>
      </c>
      <c r="D87" s="207">
        <f>SUM(D88:D89)</f>
        <v>23590840</v>
      </c>
      <c r="E87" s="207">
        <f>SUM(E88:E89)</f>
        <v>0</v>
      </c>
      <c r="F87" s="207">
        <f>SUM(F88:F89)</f>
        <v>23590840</v>
      </c>
      <c r="G87" s="196"/>
      <c r="H87" s="196"/>
      <c r="I87" s="196"/>
      <c r="M87"/>
    </row>
    <row r="88" spans="1:13">
      <c r="A88" s="216" t="str">
        <f>CFwp_Aggregated!B84</f>
        <v>A2302</v>
      </c>
      <c r="C88" s="205" t="s">
        <v>794</v>
      </c>
      <c r="D88" s="203">
        <f>SUMIF(CFwp_Aggregated!$B:$B,A88,CFwp_Aggregated!$P:$P)</f>
        <v>23590840</v>
      </c>
      <c r="E88" s="203"/>
      <c r="F88" s="203">
        <f t="shared" si="6"/>
        <v>23590840</v>
      </c>
      <c r="G88" s="196"/>
      <c r="H88" s="196"/>
      <c r="I88" s="196"/>
      <c r="M88"/>
    </row>
    <row r="89" spans="1:13">
      <c r="C89" s="205" t="s">
        <v>795</v>
      </c>
      <c r="D89" s="204"/>
      <c r="E89" s="204"/>
      <c r="F89" s="204">
        <f t="shared" si="6"/>
        <v>0</v>
      </c>
      <c r="G89" s="196"/>
      <c r="H89" s="196"/>
      <c r="I89" s="196"/>
      <c r="M89"/>
    </row>
    <row r="90" spans="1:13">
      <c r="A90" s="216" t="str">
        <f>CFwp_Aggregated!B96</f>
        <v>A2402</v>
      </c>
      <c r="C90" s="205" t="s">
        <v>815</v>
      </c>
      <c r="D90" s="203">
        <f>SUMIF(CFwp_Aggregated!$B:$B,A90,CFwp_Aggregated!$P:$P)</f>
        <v>359044000</v>
      </c>
      <c r="E90" s="204"/>
      <c r="F90" s="203">
        <f t="shared" si="6"/>
        <v>359044000</v>
      </c>
      <c r="G90" s="196"/>
      <c r="H90" s="196"/>
      <c r="I90" s="196"/>
      <c r="J90" s="196"/>
      <c r="M90"/>
    </row>
    <row r="91" spans="1:13">
      <c r="C91" s="208" t="s">
        <v>796</v>
      </c>
      <c r="D91" s="209">
        <f>CFwp_Aggregated!X4+SUM(CFwp_Aggregated!X10:X11)</f>
        <v>0</v>
      </c>
      <c r="E91" s="209"/>
      <c r="F91" s="209">
        <f t="shared" si="6"/>
        <v>0</v>
      </c>
      <c r="G91" s="210"/>
      <c r="H91" s="196"/>
      <c r="I91" s="196"/>
      <c r="J91" s="196"/>
      <c r="M91"/>
    </row>
    <row r="92" spans="1:13">
      <c r="C92" s="199" t="s">
        <v>797</v>
      </c>
      <c r="D92" s="200">
        <f>D93+D97</f>
        <v>-11118727840</v>
      </c>
      <c r="E92" s="200">
        <f>E93+E97</f>
        <v>-546100000</v>
      </c>
      <c r="F92" s="200">
        <f>F93+F97</f>
        <v>-11664827840</v>
      </c>
      <c r="G92" s="211" t="b">
        <f>CFwp_Aggregated!D172=D92</f>
        <v>1</v>
      </c>
      <c r="H92" s="196"/>
      <c r="I92" s="196"/>
      <c r="J92" s="196"/>
      <c r="M92"/>
    </row>
    <row r="93" spans="1:13">
      <c r="C93" s="217" t="s">
        <v>798</v>
      </c>
      <c r="D93" s="218">
        <f>SUM(D94:D96)</f>
        <v>966100000</v>
      </c>
      <c r="E93" s="218">
        <f>SUM(E94:E96)</f>
        <v>-546100000</v>
      </c>
      <c r="F93" s="218">
        <f>SUM(F94:F96)</f>
        <v>420000000</v>
      </c>
      <c r="G93" s="211">
        <f>CFwp_Aggregated!D173-D93</f>
        <v>0</v>
      </c>
      <c r="H93" s="196"/>
      <c r="I93" s="196"/>
      <c r="J93" s="196"/>
      <c r="M93"/>
    </row>
    <row r="94" spans="1:13">
      <c r="A94" s="216" t="str">
        <f>CFwp_Aggregated!B113</f>
        <v>L1007</v>
      </c>
      <c r="C94" s="205" t="s">
        <v>874</v>
      </c>
      <c r="D94" s="203">
        <f>SUMIF(CFwp_Aggregated!$B:$B,A94,CFwp_Aggregated!$Q:$Q)</f>
        <v>0</v>
      </c>
      <c r="E94" s="204"/>
      <c r="F94" s="203">
        <f t="shared" ref="F94:F96" si="8">SUM(D94:E94)</f>
        <v>0</v>
      </c>
      <c r="G94" s="211"/>
      <c r="H94" s="196"/>
      <c r="I94" s="196" t="s">
        <v>832</v>
      </c>
      <c r="M94"/>
    </row>
    <row r="95" spans="1:13">
      <c r="A95" s="216" t="str">
        <f>CFwp_Aggregated!B134</f>
        <v>S1001</v>
      </c>
      <c r="B95" s="216" t="str">
        <f>CFwp_Aggregated!B137</f>
        <v>S2001</v>
      </c>
      <c r="C95" s="205" t="s">
        <v>799</v>
      </c>
      <c r="D95" s="203">
        <f>SUMIF(CFwp_Aggregated!$B:$B,B95,CFwp_Aggregated!$Q:$Q)+SUMIF(CFwp_Aggregated!$B:$B,A95,CFwp_Aggregated!$Q:$Q)</f>
        <v>546100000</v>
      </c>
      <c r="E95" s="204">
        <f>-K96</f>
        <v>-546100000</v>
      </c>
      <c r="F95" s="203">
        <f t="shared" si="8"/>
        <v>0</v>
      </c>
      <c r="G95" s="211"/>
      <c r="H95" s="201"/>
      <c r="I95" s="211" t="s">
        <v>833</v>
      </c>
      <c r="K95" s="234">
        <f>CFwp_Korea!Q134+CFwp_Korea!Q137</f>
        <v>0</v>
      </c>
      <c r="M95" s="213"/>
    </row>
    <row r="96" spans="1:13">
      <c r="A96" s="216" t="s">
        <v>956</v>
      </c>
      <c r="C96" s="205" t="s">
        <v>984</v>
      </c>
      <c r="D96" s="203">
        <f>SUMIF(CFwp_Aggregated!$B:$B,B96,CFwp_Aggregated!$Q:$Q)+SUMIF(CFwp_Aggregated!$B:$B,A96,CFwp_Aggregated!$Q:$Q)</f>
        <v>420000000</v>
      </c>
      <c r="E96" s="203"/>
      <c r="F96" s="203">
        <f t="shared" si="8"/>
        <v>420000000</v>
      </c>
      <c r="G96" s="211"/>
      <c r="H96" s="201"/>
      <c r="I96" s="196" t="s">
        <v>899</v>
      </c>
      <c r="K96" s="235">
        <f>D95-K95</f>
        <v>546100000</v>
      </c>
      <c r="M96" s="213"/>
    </row>
    <row r="97" spans="1:13">
      <c r="C97" s="217" t="s">
        <v>800</v>
      </c>
      <c r="D97" s="218">
        <f>-SUM(D98:D103)</f>
        <v>-12084827840</v>
      </c>
      <c r="E97" s="218">
        <f>-SUM(E98:E103)</f>
        <v>0</v>
      </c>
      <c r="F97" s="218">
        <f>-SUM(F98:F103)</f>
        <v>-12084827840</v>
      </c>
      <c r="G97" s="211">
        <f>CFwp_Aggregated!D174+D97</f>
        <v>0</v>
      </c>
      <c r="H97" s="196"/>
      <c r="I97" s="196" t="s">
        <v>900</v>
      </c>
      <c r="K97" s="235">
        <f>-K78</f>
        <v>-546100000</v>
      </c>
      <c r="M97" s="213"/>
    </row>
    <row r="98" spans="1:13">
      <c r="A98" s="216" t="s">
        <v>209</v>
      </c>
      <c r="C98" s="205" t="s">
        <v>759</v>
      </c>
      <c r="D98" s="203">
        <f>SUMIF(CFwp_Aggregated!$B:$B,B98,CFwp_Aggregated!$R:$R)+SUMIF(CFwp_Aggregated!$B:$B,A98,CFwp_Aggregated!$R:$R)</f>
        <v>12000000000</v>
      </c>
      <c r="E98" s="204"/>
      <c r="F98" s="203">
        <f t="shared" ref="F98:F103" si="9">SUM(D98:E98)</f>
        <v>12000000000</v>
      </c>
      <c r="G98" s="196"/>
      <c r="H98" s="196"/>
      <c r="I98" s="196"/>
      <c r="K98" s="235" t="b">
        <f>K96=-K97</f>
        <v>1</v>
      </c>
      <c r="M98" s="213"/>
    </row>
    <row r="99" spans="1:13">
      <c r="C99" s="205" t="s">
        <v>801</v>
      </c>
      <c r="D99" s="203">
        <f>SUMIF(CFwp_Aggregated!$B:$B,B99,CFwp_Aggregated!$R:$R)+SUMIF(CFwp_Aggregated!$B:$B,A99,CFwp_Aggregated!$R:$R)</f>
        <v>0</v>
      </c>
      <c r="E99" s="204"/>
      <c r="F99" s="203">
        <f t="shared" si="9"/>
        <v>0</v>
      </c>
      <c r="G99" s="196"/>
      <c r="H99" s="196"/>
      <c r="I99" s="196"/>
      <c r="M99" s="213"/>
    </row>
    <row r="100" spans="1:13">
      <c r="A100" s="216" t="str">
        <f>CFwp_Aggregated!B118</f>
        <v>L1022</v>
      </c>
      <c r="B100" s="216" t="s">
        <v>247</v>
      </c>
      <c r="C100" s="205" t="s">
        <v>817</v>
      </c>
      <c r="D100" s="203">
        <f>SUMIF(CFwp_Aggregated!$B:$B,B100,CFwp_Aggregated!$R:$R)+SUMIF(CFwp_Aggregated!$B:$B,A100,CFwp_Aggregated!$R:$R)</f>
        <v>79827840</v>
      </c>
      <c r="E100" s="204"/>
      <c r="F100" s="203">
        <f t="shared" si="9"/>
        <v>79827840</v>
      </c>
      <c r="G100" s="196"/>
      <c r="H100" s="196"/>
      <c r="I100" s="196"/>
      <c r="M100" s="213"/>
    </row>
    <row r="101" spans="1:13">
      <c r="C101" s="205" t="s">
        <v>802</v>
      </c>
      <c r="D101" s="203">
        <f>SUMIF(CFwp_Aggregated!$B:$B,B101,CFwp_Aggregated!$R:$R)+SUMIF(CFwp_Aggregated!$B:$B,A101,CFwp_Aggregated!$R:$R)</f>
        <v>0</v>
      </c>
      <c r="E101" s="204"/>
      <c r="F101" s="203">
        <f t="shared" si="9"/>
        <v>0</v>
      </c>
      <c r="G101" s="196"/>
      <c r="H101" s="196"/>
      <c r="I101" s="196"/>
      <c r="M101" s="213"/>
    </row>
    <row r="102" spans="1:13">
      <c r="A102" s="216" t="s">
        <v>237</v>
      </c>
      <c r="C102" s="205" t="s">
        <v>983</v>
      </c>
      <c r="D102" s="203">
        <f>SUMIF(CFwp_Aggregated!$B:$B,B102,CFwp_Aggregated!$R:$R)+SUMIF(CFwp_Aggregated!$B:$B,A102,CFwp_Aggregated!$R:$R)</f>
        <v>5000000</v>
      </c>
      <c r="E102" s="204"/>
      <c r="F102" s="203">
        <f t="shared" si="9"/>
        <v>5000000</v>
      </c>
      <c r="G102" s="196"/>
      <c r="H102" s="196"/>
      <c r="I102" s="196"/>
      <c r="M102" s="213"/>
    </row>
    <row r="103" spans="1:13">
      <c r="C103" s="205" t="s">
        <v>803</v>
      </c>
      <c r="D103" s="203">
        <f>SUMIF(CFwp_Aggregated!$B:$B,B103,CFwp_Aggregated!$R:$R)+SUMIF(CFwp_Aggregated!$B:$B,A103,CFwp_Aggregated!$R:$R)</f>
        <v>0</v>
      </c>
      <c r="E103" s="204"/>
      <c r="F103" s="203">
        <f t="shared" si="9"/>
        <v>0</v>
      </c>
      <c r="G103" s="196"/>
      <c r="H103" s="196"/>
      <c r="I103" s="196"/>
      <c r="M103" s="213"/>
    </row>
    <row r="104" spans="1:13">
      <c r="C104" s="199" t="s">
        <v>760</v>
      </c>
      <c r="D104" s="200">
        <f>D5+D52+D92</f>
        <v>116868379229.02502</v>
      </c>
      <c r="E104" s="200"/>
      <c r="F104" s="200">
        <f>F5+F52+F92</f>
        <v>116868379229</v>
      </c>
      <c r="G104" s="196"/>
      <c r="H104" s="196"/>
      <c r="I104" s="196"/>
      <c r="M104" s="213"/>
    </row>
    <row r="105" spans="1:13">
      <c r="C105" s="199" t="s">
        <v>761</v>
      </c>
      <c r="D105" s="200">
        <f>CFwp_Aggregated!D178</f>
        <v>-364691526</v>
      </c>
      <c r="E105" s="200"/>
      <c r="F105" s="200">
        <f>SUM(D105,E105)</f>
        <v>-364691526</v>
      </c>
      <c r="G105" s="211"/>
      <c r="H105" s="196"/>
      <c r="I105" s="196"/>
      <c r="M105" s="213"/>
    </row>
    <row r="106" spans="1:13">
      <c r="C106" s="199" t="s">
        <v>639</v>
      </c>
      <c r="D106" s="200">
        <f>CFwp_Aggregated!D177</f>
        <v>6576142841</v>
      </c>
      <c r="E106" s="200"/>
      <c r="F106" s="200">
        <f>D106</f>
        <v>6576142841</v>
      </c>
      <c r="G106" s="211"/>
      <c r="H106" s="196"/>
      <c r="I106" s="196"/>
      <c r="M106" s="213"/>
    </row>
    <row r="107" spans="1:13">
      <c r="C107" s="199" t="s">
        <v>762</v>
      </c>
      <c r="D107" s="200">
        <f>CFwp_Aggregated!D179</f>
        <v>123079830544</v>
      </c>
      <c r="E107" s="200"/>
      <c r="F107" s="200">
        <f>SUM(F104:F106)</f>
        <v>123079830544</v>
      </c>
      <c r="G107" s="211"/>
      <c r="H107" s="196"/>
      <c r="I107" s="196"/>
      <c r="M107" s="213"/>
    </row>
    <row r="108" spans="1:13" ht="17.25" thickBot="1">
      <c r="C108" s="196"/>
      <c r="D108" s="212">
        <f>SUM(D104:D106)-D107</f>
        <v>2.50244140625E-2</v>
      </c>
      <c r="E108" s="212"/>
      <c r="F108" s="212">
        <f>SUM(F104:F106)-F107</f>
        <v>0</v>
      </c>
      <c r="G108" s="201"/>
      <c r="H108" s="196"/>
      <c r="I108" s="196"/>
      <c r="M108" s="213"/>
    </row>
    <row r="109" spans="1:13" ht="17.25" thickBot="1">
      <c r="C109" s="212" t="s">
        <v>763</v>
      </c>
      <c r="D109" s="202">
        <f>SUM('C.연결조정 정산표_20'!E8:E9)-D106</f>
        <v>0</v>
      </c>
      <c r="E109" s="212" t="s">
        <v>804</v>
      </c>
      <c r="F109" s="202"/>
      <c r="G109" s="196"/>
      <c r="H109" s="196"/>
      <c r="I109" s="196"/>
      <c r="M109" s="213"/>
    </row>
    <row r="110" spans="1:13" ht="17.25" thickBot="1">
      <c r="C110" s="212" t="s">
        <v>764</v>
      </c>
      <c r="D110" s="192">
        <f>SUM('C.연결조정 정산표_20'!F8:F10)-D107</f>
        <v>0</v>
      </c>
      <c r="E110" s="212" t="s">
        <v>805</v>
      </c>
      <c r="F110" s="193">
        <f>SUM('C.연결조정 정산표_20'!J8:J10)-F107</f>
        <v>0</v>
      </c>
      <c r="G110" s="201"/>
      <c r="H110" s="196"/>
      <c r="I110" s="196"/>
      <c r="M110" s="213"/>
    </row>
    <row r="111" spans="1:13">
      <c r="C111" s="196"/>
      <c r="D111" s="212"/>
      <c r="E111" s="196"/>
      <c r="F111" s="196"/>
      <c r="G111" s="196"/>
      <c r="H111" s="196"/>
      <c r="I111" s="196"/>
      <c r="M111" s="213"/>
    </row>
    <row r="112" spans="1:13">
      <c r="C112" s="196"/>
      <c r="D112" s="212"/>
      <c r="E112" s="196"/>
      <c r="F112" s="196"/>
      <c r="G112" s="196"/>
      <c r="H112" s="196"/>
      <c r="I112" s="196"/>
      <c r="M112" s="213"/>
    </row>
    <row r="113" spans="13:13">
      <c r="M113" s="213"/>
    </row>
    <row r="114" spans="13:13">
      <c r="M114" s="213"/>
    </row>
    <row r="115" spans="13:13">
      <c r="M115" s="213" t="s">
        <v>400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CA5DB-3036-4045-BEFD-39953A08363B}">
  <sheetPr>
    <tabColor rgb="FFFFC000"/>
  </sheetPr>
  <dimension ref="B1:U164"/>
  <sheetViews>
    <sheetView topLeftCell="A2" workbookViewId="0">
      <selection activeCell="H17" sqref="H17"/>
    </sheetView>
  </sheetViews>
  <sheetFormatPr defaultColWidth="8.25" defaultRowHeight="12" outlineLevelRow="1" outlineLevelCol="1"/>
  <cols>
    <col min="1" max="1" width="2.625" style="51" customWidth="1"/>
    <col min="2" max="2" width="3.875" style="51" customWidth="1"/>
    <col min="3" max="3" width="9.75" style="239" customWidth="1"/>
    <col min="4" max="5" width="16.75" style="51" customWidth="1"/>
    <col min="6" max="7" width="16.25" style="52" customWidth="1" outlineLevel="1"/>
    <col min="8" max="8" width="26.75" style="51" customWidth="1" outlineLevel="1"/>
    <col min="9" max="9" width="21.125" style="51" customWidth="1" outlineLevel="1"/>
    <col min="10" max="10" width="15.25" style="239" customWidth="1"/>
    <col min="11" max="11" width="2.625" style="51" customWidth="1"/>
    <col min="12" max="12" width="15.375" style="51" customWidth="1"/>
    <col min="13" max="14" width="14.75" style="80" bestFit="1" customWidth="1"/>
    <col min="15" max="15" width="13.5" style="51" bestFit="1" customWidth="1"/>
    <col min="16" max="17" width="14.5" style="80" customWidth="1"/>
    <col min="18" max="19" width="14.5" style="51" customWidth="1"/>
    <col min="20" max="20" width="12.875" style="51" bestFit="1" customWidth="1"/>
    <col min="21" max="21" width="12.5" style="51" bestFit="1" customWidth="1"/>
    <col min="22" max="16384" width="8.25" style="51"/>
  </cols>
  <sheetData>
    <row r="1" spans="2:17" ht="23.45" customHeight="1">
      <c r="D1" s="240" t="s">
        <v>876</v>
      </c>
      <c r="E1" s="80"/>
      <c r="G1" s="52">
        <v>0</v>
      </c>
      <c r="M1" s="51"/>
      <c r="N1" s="51"/>
      <c r="P1" s="51"/>
      <c r="Q1" s="51"/>
    </row>
    <row r="2" spans="2:17" ht="15" customHeight="1">
      <c r="C2" s="241"/>
      <c r="E2" s="93"/>
      <c r="F2" s="242">
        <v>1179726013</v>
      </c>
      <c r="G2" s="242">
        <v>1179726013</v>
      </c>
      <c r="H2" s="243"/>
      <c r="M2" s="51"/>
      <c r="N2" s="51"/>
      <c r="P2" s="51"/>
      <c r="Q2" s="51"/>
    </row>
    <row r="3" spans="2:17" s="67" customFormat="1" ht="24" customHeight="1">
      <c r="C3" s="244" t="s">
        <v>877</v>
      </c>
      <c r="D3" s="245" t="s">
        <v>878</v>
      </c>
      <c r="E3" s="245" t="s">
        <v>879</v>
      </c>
      <c r="F3" s="245" t="s">
        <v>564</v>
      </c>
      <c r="G3" s="245" t="s">
        <v>565</v>
      </c>
      <c r="H3" s="245" t="s">
        <v>880</v>
      </c>
      <c r="I3" s="245" t="s">
        <v>881</v>
      </c>
      <c r="J3" s="245" t="s">
        <v>882</v>
      </c>
      <c r="K3" s="245"/>
      <c r="L3" s="245" t="s">
        <v>883</v>
      </c>
    </row>
    <row r="4" spans="2:17" ht="15" customHeight="1">
      <c r="B4" s="246" t="s">
        <v>884</v>
      </c>
      <c r="F4" s="247"/>
      <c r="G4" s="247"/>
      <c r="M4" s="51"/>
      <c r="N4" s="51"/>
      <c r="P4" s="51"/>
      <c r="Q4" s="51"/>
    </row>
    <row r="5" spans="2:17" ht="15" customHeight="1">
      <c r="C5" s="248" t="s">
        <v>885</v>
      </c>
      <c r="F5" s="247"/>
      <c r="G5" s="247"/>
      <c r="I5" s="51" t="s">
        <v>66</v>
      </c>
      <c r="L5" s="93" t="s">
        <v>891</v>
      </c>
      <c r="M5" s="51"/>
      <c r="N5" s="51"/>
      <c r="P5" s="51"/>
      <c r="Q5" s="51"/>
    </row>
    <row r="6" spans="2:17" ht="15" customHeight="1">
      <c r="C6" s="249" t="s">
        <v>892</v>
      </c>
      <c r="F6" s="247"/>
      <c r="G6" s="247"/>
      <c r="J6" s="241" t="s">
        <v>892</v>
      </c>
      <c r="L6" s="93" t="s">
        <v>891</v>
      </c>
      <c r="M6" s="51"/>
      <c r="N6" s="51"/>
      <c r="P6" s="51"/>
      <c r="Q6" s="51"/>
    </row>
    <row r="7" spans="2:17" ht="15" customHeight="1">
      <c r="C7" s="250" t="s">
        <v>256</v>
      </c>
      <c r="D7" s="251" t="s">
        <v>257</v>
      </c>
      <c r="E7" s="251"/>
      <c r="F7" s="252">
        <v>5898630</v>
      </c>
      <c r="G7" s="252"/>
      <c r="H7" s="251" t="s">
        <v>973</v>
      </c>
      <c r="I7" s="44" t="s">
        <v>257</v>
      </c>
      <c r="J7" s="241" t="s">
        <v>892</v>
      </c>
      <c r="L7" s="93" t="s">
        <v>891</v>
      </c>
      <c r="M7" s="51"/>
      <c r="N7" s="51"/>
      <c r="P7" s="51"/>
      <c r="Q7" s="51"/>
    </row>
    <row r="8" spans="2:17" ht="15" customHeight="1">
      <c r="C8" s="250" t="s">
        <v>261</v>
      </c>
      <c r="D8" s="251" t="s">
        <v>262</v>
      </c>
      <c r="E8" s="251"/>
      <c r="F8" s="252">
        <v>1173827383</v>
      </c>
      <c r="G8" s="252"/>
      <c r="H8" s="251" t="s">
        <v>975</v>
      </c>
      <c r="I8" s="44" t="s">
        <v>262</v>
      </c>
      <c r="J8" s="241" t="s">
        <v>892</v>
      </c>
      <c r="L8" s="93" t="s">
        <v>891</v>
      </c>
      <c r="M8" s="51"/>
      <c r="N8" s="51"/>
      <c r="P8" s="51"/>
      <c r="Q8" s="51"/>
    </row>
    <row r="9" spans="2:17" ht="15" customHeight="1">
      <c r="C9" s="250" t="s">
        <v>104</v>
      </c>
      <c r="D9" s="251"/>
      <c r="E9" s="251" t="s">
        <v>105</v>
      </c>
      <c r="F9" s="253"/>
      <c r="G9" s="252">
        <v>1179726013</v>
      </c>
      <c r="H9" s="251"/>
      <c r="I9" s="44" t="s">
        <v>105</v>
      </c>
      <c r="J9" s="241" t="s">
        <v>892</v>
      </c>
      <c r="L9" s="93" t="s">
        <v>891</v>
      </c>
      <c r="M9" s="51"/>
      <c r="N9" s="51"/>
      <c r="P9" s="51"/>
      <c r="Q9" s="51"/>
    </row>
    <row r="10" spans="2:17" ht="15" customHeight="1">
      <c r="C10" s="250" t="s">
        <v>261</v>
      </c>
      <c r="D10" s="251" t="s">
        <v>262</v>
      </c>
      <c r="E10" s="251"/>
      <c r="F10" s="253">
        <v>546100000</v>
      </c>
      <c r="G10" s="252"/>
      <c r="H10" s="251" t="s">
        <v>973</v>
      </c>
      <c r="I10" s="44" t="s">
        <v>262</v>
      </c>
      <c r="J10" s="241"/>
      <c r="L10" s="93"/>
      <c r="M10" s="51"/>
      <c r="N10" s="51"/>
      <c r="P10" s="51"/>
      <c r="Q10" s="51"/>
    </row>
    <row r="11" spans="2:17" ht="15" customHeight="1">
      <c r="C11" s="250" t="s">
        <v>104</v>
      </c>
      <c r="D11" s="251"/>
      <c r="E11" s="251" t="s">
        <v>105</v>
      </c>
      <c r="F11" s="253"/>
      <c r="G11" s="252">
        <v>546100000</v>
      </c>
      <c r="H11" s="254" t="s">
        <v>974</v>
      </c>
      <c r="I11" s="44" t="s">
        <v>105</v>
      </c>
      <c r="J11" s="241"/>
      <c r="L11" s="93"/>
      <c r="M11" s="51"/>
      <c r="N11" s="51"/>
      <c r="P11" s="51"/>
      <c r="Q11" s="51"/>
    </row>
    <row r="12" spans="2:17" ht="15" customHeight="1">
      <c r="C12" s="250"/>
      <c r="D12" s="251"/>
      <c r="E12" s="251"/>
      <c r="F12" s="253"/>
      <c r="G12" s="252"/>
      <c r="H12" s="254"/>
      <c r="I12" s="44"/>
      <c r="J12" s="241"/>
      <c r="L12" s="93"/>
      <c r="M12" s="51"/>
      <c r="N12" s="51"/>
      <c r="P12" s="51"/>
      <c r="Q12" s="51"/>
    </row>
    <row r="13" spans="2:17" ht="15" customHeight="1">
      <c r="C13" s="250" t="s">
        <v>66</v>
      </c>
      <c r="F13" s="247"/>
      <c r="G13" s="247"/>
      <c r="H13" s="93"/>
      <c r="I13" s="255">
        <v>1179726013</v>
      </c>
      <c r="J13" s="241">
        <v>1179726013</v>
      </c>
      <c r="L13" s="256">
        <v>0</v>
      </c>
      <c r="M13" s="51"/>
      <c r="N13" s="53"/>
      <c r="O13" s="257"/>
      <c r="P13" s="51"/>
      <c r="Q13" s="51"/>
    </row>
    <row r="14" spans="2:17" ht="15" customHeight="1">
      <c r="C14" s="258"/>
      <c r="F14" s="247"/>
      <c r="G14" s="247"/>
      <c r="J14" s="51"/>
      <c r="M14" s="51"/>
      <c r="N14" s="51"/>
      <c r="O14" s="53"/>
      <c r="P14" s="53"/>
      <c r="Q14" s="53"/>
    </row>
    <row r="15" spans="2:17" ht="15" customHeight="1">
      <c r="C15" s="51"/>
      <c r="I15" s="80"/>
      <c r="J15" s="259"/>
      <c r="L15" s="93"/>
      <c r="M15" s="51"/>
      <c r="N15" s="51"/>
      <c r="O15" s="53"/>
      <c r="P15" s="51"/>
      <c r="Q15" s="51"/>
    </row>
    <row r="16" spans="2:17" ht="15" customHeight="1">
      <c r="B16" s="246" t="s">
        <v>886</v>
      </c>
      <c r="D16" s="260"/>
      <c r="E16" s="261"/>
      <c r="F16" s="262"/>
      <c r="G16" s="263"/>
      <c r="H16" s="80"/>
      <c r="I16" s="80"/>
      <c r="J16" s="80"/>
      <c r="K16" s="80" t="s">
        <v>66</v>
      </c>
      <c r="L16" s="80" t="s">
        <v>893</v>
      </c>
      <c r="M16" s="80" t="s">
        <v>66</v>
      </c>
      <c r="N16" s="51"/>
      <c r="O16" s="80"/>
    </row>
    <row r="17" spans="2:21" ht="15" customHeight="1">
      <c r="C17" s="264" t="s">
        <v>887</v>
      </c>
      <c r="F17" s="263"/>
      <c r="G17" s="263"/>
      <c r="H17" s="80"/>
      <c r="I17" s="80" t="s">
        <v>66</v>
      </c>
      <c r="J17" s="239" t="s">
        <v>887</v>
      </c>
      <c r="L17" s="93" t="s">
        <v>893</v>
      </c>
    </row>
    <row r="18" spans="2:21" ht="15" customHeight="1">
      <c r="C18" s="265" t="s">
        <v>188</v>
      </c>
      <c r="D18" s="51" t="s">
        <v>189</v>
      </c>
      <c r="E18" s="80"/>
      <c r="F18" s="263">
        <v>140479840</v>
      </c>
      <c r="G18" s="263"/>
      <c r="H18" s="80"/>
      <c r="I18" s="80"/>
      <c r="J18" s="239" t="s">
        <v>887</v>
      </c>
      <c r="L18" s="93" t="s">
        <v>893</v>
      </c>
      <c r="O18" s="93"/>
      <c r="P18" s="93"/>
      <c r="R18" s="80"/>
      <c r="S18" s="80"/>
      <c r="T18" s="266"/>
      <c r="U18" s="266"/>
    </row>
    <row r="19" spans="2:21" ht="15" customHeight="1">
      <c r="C19" s="265" t="s">
        <v>31</v>
      </c>
      <c r="E19" s="51" t="s">
        <v>32</v>
      </c>
      <c r="F19" s="263"/>
      <c r="G19" s="263">
        <v>140479840</v>
      </c>
      <c r="I19" s="80"/>
      <c r="J19" s="239" t="s">
        <v>887</v>
      </c>
      <c r="L19" s="93" t="s">
        <v>893</v>
      </c>
      <c r="O19" s="93"/>
      <c r="P19" s="93"/>
      <c r="R19" s="80"/>
      <c r="S19" s="80"/>
      <c r="T19" s="266"/>
      <c r="U19" s="266"/>
    </row>
    <row r="20" spans="2:21" ht="15" customHeight="1">
      <c r="C20" s="264"/>
      <c r="F20" s="263"/>
      <c r="G20" s="263"/>
      <c r="H20" s="80"/>
      <c r="I20" s="80" t="s">
        <v>66</v>
      </c>
      <c r="L20" s="93"/>
    </row>
    <row r="21" spans="2:21" ht="15" customHeight="1">
      <c r="C21" s="264" t="s">
        <v>888</v>
      </c>
      <c r="F21" s="263"/>
      <c r="G21" s="263"/>
      <c r="H21" s="80"/>
      <c r="I21" s="80" t="s">
        <v>66</v>
      </c>
      <c r="J21" s="239" t="s">
        <v>894</v>
      </c>
      <c r="L21" s="93">
        <v>0</v>
      </c>
    </row>
    <row r="22" spans="2:21" ht="15" customHeight="1">
      <c r="C22" s="265" t="s">
        <v>308</v>
      </c>
      <c r="D22" s="51" t="s">
        <v>309</v>
      </c>
      <c r="E22" s="53"/>
      <c r="F22" s="263">
        <v>327302099</v>
      </c>
      <c r="G22" s="263"/>
      <c r="I22" s="80" t="s">
        <v>66</v>
      </c>
      <c r="J22" s="239" t="s">
        <v>894</v>
      </c>
      <c r="L22" s="93">
        <v>0</v>
      </c>
      <c r="O22" s="93"/>
      <c r="P22" s="93"/>
      <c r="R22" s="80"/>
      <c r="S22" s="94"/>
      <c r="T22" s="80"/>
      <c r="U22" s="80"/>
    </row>
    <row r="23" spans="2:21" ht="15" customHeight="1">
      <c r="C23" s="265" t="s">
        <v>323</v>
      </c>
      <c r="E23" s="51" t="s">
        <v>324</v>
      </c>
      <c r="F23" s="263"/>
      <c r="G23" s="263">
        <v>327302099</v>
      </c>
      <c r="H23" s="93"/>
      <c r="I23" s="80" t="s">
        <v>66</v>
      </c>
      <c r="J23" s="239" t="s">
        <v>894</v>
      </c>
      <c r="L23" s="93">
        <v>0</v>
      </c>
      <c r="O23" s="93"/>
      <c r="P23" s="93"/>
      <c r="R23" s="80"/>
      <c r="S23" s="94"/>
      <c r="T23" s="80"/>
      <c r="U23" s="80"/>
    </row>
    <row r="24" spans="2:21" ht="15" customHeight="1">
      <c r="C24" s="264"/>
      <c r="F24" s="263"/>
      <c r="G24" s="263"/>
      <c r="I24" s="80" t="s">
        <v>66</v>
      </c>
      <c r="L24" s="93"/>
    </row>
    <row r="25" spans="2:21" ht="15" customHeight="1">
      <c r="B25" s="246" t="s">
        <v>889</v>
      </c>
      <c r="F25" s="263"/>
      <c r="G25" s="263"/>
      <c r="H25" s="267"/>
      <c r="I25" s="80" t="s">
        <v>66</v>
      </c>
      <c r="L25" s="93" t="s">
        <v>895</v>
      </c>
    </row>
    <row r="26" spans="2:21" ht="15" customHeight="1" outlineLevel="1">
      <c r="C26" s="264"/>
      <c r="F26" s="263"/>
      <c r="G26" s="263"/>
      <c r="I26" s="80" t="s">
        <v>66</v>
      </c>
      <c r="L26" s="93" t="s">
        <v>895</v>
      </c>
    </row>
    <row r="27" spans="2:21" ht="15" customHeight="1" outlineLevel="1">
      <c r="C27" s="265" t="s">
        <v>308</v>
      </c>
      <c r="D27" s="268" t="s">
        <v>985</v>
      </c>
      <c r="E27" s="268"/>
      <c r="F27" s="269">
        <v>40638930</v>
      </c>
      <c r="G27" s="269"/>
      <c r="H27" s="270"/>
      <c r="I27" s="80" t="s">
        <v>66</v>
      </c>
      <c r="L27" s="93" t="s">
        <v>895</v>
      </c>
    </row>
    <row r="28" spans="2:21" ht="15" customHeight="1" outlineLevel="1">
      <c r="C28" s="265" t="s">
        <v>67</v>
      </c>
      <c r="E28" s="51" t="s">
        <v>68</v>
      </c>
      <c r="F28" s="263"/>
      <c r="G28" s="263">
        <v>40638930</v>
      </c>
      <c r="H28" s="271"/>
      <c r="I28" s="80" t="s">
        <v>66</v>
      </c>
      <c r="J28" s="272"/>
      <c r="L28" s="93" t="s">
        <v>895</v>
      </c>
    </row>
    <row r="29" spans="2:21" ht="15" customHeight="1" outlineLevel="1">
      <c r="C29" s="265" t="s">
        <v>66</v>
      </c>
      <c r="F29" s="263"/>
      <c r="G29" s="263"/>
      <c r="H29" s="271"/>
      <c r="I29" s="80" t="s">
        <v>66</v>
      </c>
      <c r="J29" s="272"/>
      <c r="L29" s="93" t="s">
        <v>895</v>
      </c>
    </row>
    <row r="30" spans="2:21" ht="15" customHeight="1" outlineLevel="1">
      <c r="C30" s="265" t="s">
        <v>66</v>
      </c>
      <c r="D30" s="273"/>
      <c r="E30" s="273"/>
      <c r="F30" s="274"/>
      <c r="G30" s="274"/>
      <c r="H30" s="275"/>
      <c r="I30" s="80" t="s">
        <v>66</v>
      </c>
      <c r="J30" s="272"/>
      <c r="L30" s="93" t="s">
        <v>895</v>
      </c>
    </row>
    <row r="31" spans="2:21" ht="15" customHeight="1" outlineLevel="1">
      <c r="C31" s="51"/>
      <c r="F31" s="263"/>
      <c r="G31" s="263"/>
      <c r="I31" s="80" t="s">
        <v>66</v>
      </c>
      <c r="J31" s="272"/>
      <c r="L31" s="93" t="s">
        <v>895</v>
      </c>
      <c r="M31" s="51"/>
      <c r="N31" s="51"/>
      <c r="P31" s="51"/>
      <c r="Q31" s="51"/>
    </row>
    <row r="32" spans="2:21" ht="15" customHeight="1">
      <c r="C32" s="51"/>
      <c r="F32" s="263"/>
      <c r="G32" s="263"/>
      <c r="I32" s="80"/>
      <c r="L32" s="93"/>
      <c r="M32" s="51"/>
      <c r="N32" s="51"/>
      <c r="P32" s="51"/>
      <c r="Q32" s="51"/>
    </row>
    <row r="33" spans="2:17" ht="15" customHeight="1">
      <c r="B33" s="246" t="s">
        <v>890</v>
      </c>
      <c r="C33" s="51"/>
      <c r="F33" s="276"/>
      <c r="G33" s="276"/>
      <c r="I33" s="80"/>
      <c r="L33" s="93" t="s">
        <v>896</v>
      </c>
      <c r="M33" s="51"/>
      <c r="N33" s="51"/>
      <c r="P33" s="51"/>
      <c r="Q33" s="51"/>
    </row>
    <row r="34" spans="2:17" ht="15" customHeight="1">
      <c r="C34" s="248" t="s">
        <v>904</v>
      </c>
      <c r="F34" s="276"/>
      <c r="G34" s="276"/>
      <c r="I34" s="80"/>
      <c r="L34" s="93" t="s">
        <v>896</v>
      </c>
      <c r="M34" s="51"/>
      <c r="N34" s="51"/>
      <c r="P34" s="51"/>
      <c r="Q34" s="51"/>
    </row>
    <row r="35" spans="2:17" ht="15" customHeight="1">
      <c r="C35" s="265" t="str">
        <f>IFERROR(IFERROR(INDEX([196]CoA!$B:$B,MATCH('[196]B.연결조정분개 요약표'!D33,[196]CoA!C:C,0)),INDEX([196]CoA!$B:$B,MATCH('[196]B.연결조정분개 요약표'!E33,[196]CoA!C:C,0))),"")</f>
        <v/>
      </c>
      <c r="F35" s="283"/>
      <c r="G35" s="283"/>
      <c r="I35" s="284"/>
      <c r="L35" s="93" t="s">
        <v>896</v>
      </c>
      <c r="M35" s="51"/>
      <c r="N35" s="51"/>
      <c r="P35" s="51"/>
      <c r="Q35" s="51"/>
    </row>
    <row r="36" spans="2:17" ht="15" customHeight="1">
      <c r="C36" s="265" t="str">
        <f>IFERROR(IFERROR(INDEX([196]CoA!$B:$B,MATCH('[196]B.연결조정분개 요약표'!D34,[196]CoA!C:C,0)),INDEX([196]CoA!$B:$B,MATCH('[196]B.연결조정분개 요약표'!E34,[196]CoA!C:C,0))),"")</f>
        <v/>
      </c>
      <c r="F36" s="283"/>
      <c r="G36" s="283"/>
      <c r="I36" s="284"/>
      <c r="L36" s="93" t="s">
        <v>896</v>
      </c>
      <c r="M36" s="51"/>
      <c r="N36" s="51"/>
      <c r="P36" s="51"/>
      <c r="Q36" s="51"/>
    </row>
    <row r="37" spans="2:17" ht="15" customHeight="1">
      <c r="C37" s="265" t="s">
        <v>108</v>
      </c>
      <c r="D37" s="51" t="s">
        <v>109</v>
      </c>
      <c r="F37" s="283">
        <v>-158512516</v>
      </c>
      <c r="G37" s="283"/>
      <c r="I37" s="284"/>
      <c r="L37" s="93" t="s">
        <v>896</v>
      </c>
      <c r="M37" s="51"/>
      <c r="N37" s="51"/>
      <c r="P37" s="51"/>
      <c r="Q37" s="51"/>
    </row>
    <row r="38" spans="2:17" ht="15" customHeight="1">
      <c r="C38" s="265" t="s">
        <v>292</v>
      </c>
      <c r="E38" s="51" t="s">
        <v>293</v>
      </c>
      <c r="F38" s="283"/>
      <c r="G38" s="283">
        <v>-158512516</v>
      </c>
      <c r="I38" s="284"/>
      <c r="L38" s="93" t="s">
        <v>896</v>
      </c>
      <c r="M38" s="51"/>
      <c r="N38" s="51"/>
      <c r="P38" s="51"/>
      <c r="Q38" s="51"/>
    </row>
    <row r="39" spans="2:17" ht="15" customHeight="1">
      <c r="C39" s="265" t="s">
        <v>66</v>
      </c>
      <c r="F39" s="283"/>
      <c r="G39" s="283"/>
      <c r="I39" s="284"/>
      <c r="L39" s="93" t="s">
        <v>896</v>
      </c>
      <c r="M39" s="51"/>
      <c r="N39" s="51"/>
      <c r="P39" s="51"/>
      <c r="Q39" s="51"/>
    </row>
    <row r="40" spans="2:17" ht="15" customHeight="1">
      <c r="C40" s="265" t="s">
        <v>66</v>
      </c>
      <c r="F40" s="283"/>
      <c r="G40" s="283"/>
      <c r="I40" s="284"/>
      <c r="L40" s="93" t="s">
        <v>896</v>
      </c>
      <c r="M40" s="51"/>
      <c r="N40" s="51"/>
      <c r="P40" s="51"/>
      <c r="Q40" s="51"/>
    </row>
    <row r="41" spans="2:17" ht="15" customHeight="1">
      <c r="C41" s="265" t="s">
        <v>514</v>
      </c>
      <c r="D41" s="51" t="s">
        <v>515</v>
      </c>
      <c r="F41" s="283">
        <v>209382</v>
      </c>
      <c r="G41" s="283"/>
      <c r="I41" s="284"/>
      <c r="L41" s="93" t="s">
        <v>896</v>
      </c>
      <c r="M41" s="51"/>
      <c r="N41" s="51"/>
      <c r="P41" s="51"/>
      <c r="Q41" s="51"/>
    </row>
    <row r="42" spans="2:17" ht="15" customHeight="1">
      <c r="C42" s="265" t="s">
        <v>275</v>
      </c>
      <c r="D42" s="51" t="s">
        <v>276</v>
      </c>
      <c r="F42" s="283">
        <v>24667298</v>
      </c>
      <c r="G42" s="283"/>
      <c r="I42" s="284"/>
      <c r="L42" s="93" t="s">
        <v>896</v>
      </c>
      <c r="M42" s="51"/>
      <c r="N42" s="51"/>
      <c r="P42" s="51"/>
      <c r="Q42" s="51"/>
    </row>
    <row r="43" spans="2:17" ht="15" customHeight="1">
      <c r="C43" s="265" t="s">
        <v>275</v>
      </c>
      <c r="D43" s="51" t="s">
        <v>276</v>
      </c>
      <c r="F43" s="283">
        <v>8072230</v>
      </c>
      <c r="G43" s="283"/>
      <c r="I43" s="284"/>
      <c r="L43" s="93" t="s">
        <v>896</v>
      </c>
      <c r="M43" s="51"/>
      <c r="N43" s="51"/>
      <c r="P43" s="51"/>
      <c r="Q43" s="51"/>
    </row>
    <row r="44" spans="2:17" ht="15" customHeight="1">
      <c r="C44" s="265" t="s">
        <v>66</v>
      </c>
      <c r="F44" s="283"/>
      <c r="G44" s="283"/>
      <c r="I44" s="284"/>
      <c r="L44" s="93" t="s">
        <v>896</v>
      </c>
      <c r="M44" s="51"/>
      <c r="N44" s="51"/>
      <c r="P44" s="51"/>
      <c r="Q44" s="51"/>
    </row>
    <row r="45" spans="2:17" ht="15" customHeight="1">
      <c r="C45" s="265" t="s">
        <v>108</v>
      </c>
      <c r="E45" s="51" t="s">
        <v>109</v>
      </c>
      <c r="F45" s="283"/>
      <c r="G45" s="283">
        <v>209382</v>
      </c>
      <c r="I45" s="284"/>
      <c r="L45" s="93" t="s">
        <v>896</v>
      </c>
      <c r="M45" s="51"/>
      <c r="N45" s="51"/>
      <c r="P45" s="51"/>
      <c r="Q45" s="51"/>
    </row>
    <row r="46" spans="2:17" ht="15" customHeight="1">
      <c r="C46" s="265" t="s">
        <v>108</v>
      </c>
      <c r="E46" s="51" t="s">
        <v>109</v>
      </c>
      <c r="F46" s="276"/>
      <c r="G46" s="276">
        <v>24667298</v>
      </c>
      <c r="I46" s="80"/>
      <c r="L46" s="93" t="s">
        <v>896</v>
      </c>
      <c r="M46" s="51"/>
      <c r="N46" s="51"/>
      <c r="P46" s="51"/>
      <c r="Q46" s="51"/>
    </row>
    <row r="47" spans="2:17" ht="15" customHeight="1">
      <c r="C47" s="265" t="s">
        <v>108</v>
      </c>
      <c r="E47" s="51" t="s">
        <v>109</v>
      </c>
      <c r="F47" s="276"/>
      <c r="G47" s="276">
        <v>8072230</v>
      </c>
      <c r="I47" s="80"/>
      <c r="L47" s="93" t="s">
        <v>896</v>
      </c>
      <c r="M47" s="51"/>
      <c r="N47" s="51"/>
      <c r="P47" s="51"/>
      <c r="Q47" s="51"/>
    </row>
    <row r="48" spans="2:17" ht="15" customHeight="1">
      <c r="C48" s="265" t="s">
        <v>66</v>
      </c>
      <c r="F48" s="276"/>
      <c r="G48" s="276"/>
      <c r="I48" s="80"/>
      <c r="L48" s="93" t="s">
        <v>896</v>
      </c>
      <c r="M48" s="51"/>
      <c r="N48" s="51"/>
      <c r="P48" s="51"/>
      <c r="Q48" s="51"/>
    </row>
    <row r="49" spans="3:17" ht="15" customHeight="1">
      <c r="C49" s="265" t="s">
        <v>108</v>
      </c>
      <c r="D49" s="51" t="s">
        <v>109</v>
      </c>
      <c r="F49" s="276">
        <v>142445935200</v>
      </c>
      <c r="G49" s="276"/>
      <c r="I49" s="80"/>
      <c r="L49" s="93" t="s">
        <v>896</v>
      </c>
      <c r="M49" s="51"/>
      <c r="N49" s="51"/>
      <c r="P49" s="51"/>
      <c r="Q49" s="51"/>
    </row>
    <row r="50" spans="3:17" ht="15" customHeight="1">
      <c r="C50" s="265" t="s">
        <v>456</v>
      </c>
      <c r="E50" s="51" t="s">
        <v>457</v>
      </c>
      <c r="F50" s="276"/>
      <c r="G50" s="276">
        <v>142445935200</v>
      </c>
      <c r="I50" s="80"/>
      <c r="L50" s="93" t="s">
        <v>896</v>
      </c>
      <c r="M50" s="51"/>
      <c r="N50" s="51"/>
      <c r="P50" s="51"/>
      <c r="Q50" s="51"/>
    </row>
    <row r="51" spans="3:17" ht="15" customHeight="1">
      <c r="C51" s="265" t="s">
        <v>66</v>
      </c>
      <c r="F51" s="276"/>
      <c r="G51" s="276"/>
      <c r="I51" s="80"/>
      <c r="L51" s="93" t="s">
        <v>896</v>
      </c>
      <c r="M51" s="51"/>
      <c r="N51" s="51"/>
      <c r="P51" s="51"/>
      <c r="Q51" s="51"/>
    </row>
    <row r="52" spans="3:17" ht="15" customHeight="1">
      <c r="C52" s="265" t="s">
        <v>66</v>
      </c>
      <c r="F52" s="276"/>
      <c r="G52" s="276"/>
      <c r="I52" s="80"/>
      <c r="L52" s="93" t="s">
        <v>896</v>
      </c>
      <c r="M52" s="51"/>
      <c r="N52" s="51"/>
      <c r="P52" s="51"/>
      <c r="Q52" s="51"/>
    </row>
    <row r="53" spans="3:17" ht="15" customHeight="1">
      <c r="C53" s="265" t="s">
        <v>527</v>
      </c>
      <c r="D53" s="51" t="s">
        <v>528</v>
      </c>
      <c r="F53" s="276">
        <v>3869106</v>
      </c>
      <c r="G53" s="276"/>
      <c r="I53" s="80"/>
      <c r="L53" s="93" t="s">
        <v>896</v>
      </c>
      <c r="M53" s="51"/>
      <c r="N53" s="51"/>
      <c r="P53" s="51"/>
      <c r="Q53" s="51"/>
    </row>
    <row r="54" spans="3:17" ht="15" customHeight="1">
      <c r="C54" s="265" t="s">
        <v>473</v>
      </c>
      <c r="D54" s="51" t="s">
        <v>474</v>
      </c>
      <c r="F54" s="276">
        <v>-533640104</v>
      </c>
      <c r="G54" s="276"/>
      <c r="I54" s="80"/>
      <c r="L54" s="93" t="s">
        <v>896</v>
      </c>
      <c r="M54" s="51"/>
      <c r="N54" s="51"/>
      <c r="P54" s="51"/>
      <c r="Q54" s="51"/>
    </row>
    <row r="55" spans="3:17" ht="15" customHeight="1">
      <c r="C55" s="265" t="s">
        <v>473</v>
      </c>
      <c r="D55" s="51" t="s">
        <v>474</v>
      </c>
      <c r="F55" s="276">
        <v>798903977</v>
      </c>
      <c r="G55" s="276"/>
      <c r="I55" s="80"/>
      <c r="L55" s="93" t="s">
        <v>896</v>
      </c>
      <c r="M55" s="51"/>
      <c r="N55" s="51"/>
      <c r="P55" s="51"/>
      <c r="Q55" s="51"/>
    </row>
    <row r="56" spans="3:17" ht="15" customHeight="1">
      <c r="C56" s="265" t="s">
        <v>66</v>
      </c>
      <c r="F56" s="276"/>
      <c r="G56" s="276"/>
      <c r="I56" s="80"/>
      <c r="L56" s="93" t="s">
        <v>896</v>
      </c>
      <c r="M56" s="51"/>
      <c r="N56" s="51"/>
      <c r="P56" s="51"/>
      <c r="Q56" s="51"/>
    </row>
    <row r="57" spans="3:17" ht="15" customHeight="1">
      <c r="C57" s="265" t="s">
        <v>108</v>
      </c>
      <c r="E57" s="51" t="s">
        <v>109</v>
      </c>
      <c r="F57" s="276"/>
      <c r="G57" s="276">
        <v>3869106</v>
      </c>
      <c r="I57" s="80"/>
      <c r="L57" s="93" t="s">
        <v>896</v>
      </c>
      <c r="M57" s="51"/>
      <c r="N57" s="51"/>
      <c r="P57" s="51"/>
      <c r="Q57" s="51"/>
    </row>
    <row r="58" spans="3:17" ht="15" customHeight="1">
      <c r="C58" s="265" t="s">
        <v>108</v>
      </c>
      <c r="E58" s="51" t="s">
        <v>109</v>
      </c>
      <c r="F58" s="276"/>
      <c r="G58" s="276">
        <v>-533640104</v>
      </c>
      <c r="I58" s="80"/>
      <c r="L58" s="93" t="s">
        <v>896</v>
      </c>
      <c r="M58" s="51"/>
      <c r="N58" s="51"/>
      <c r="P58" s="51"/>
      <c r="Q58" s="51"/>
    </row>
    <row r="59" spans="3:17" ht="15" customHeight="1">
      <c r="C59" s="265" t="s">
        <v>108</v>
      </c>
      <c r="E59" s="51" t="s">
        <v>109</v>
      </c>
      <c r="F59" s="276"/>
      <c r="G59" s="276">
        <v>798903977</v>
      </c>
      <c r="I59" s="80"/>
      <c r="L59" s="93" t="s">
        <v>896</v>
      </c>
      <c r="M59" s="51"/>
      <c r="N59" s="51"/>
      <c r="P59" s="51"/>
      <c r="Q59" s="51"/>
    </row>
    <row r="60" spans="3:17" ht="15" customHeight="1">
      <c r="C60" s="265"/>
      <c r="F60" s="276"/>
      <c r="G60" s="276"/>
      <c r="I60" s="80"/>
      <c r="L60" s="93" t="s">
        <v>896</v>
      </c>
      <c r="M60" s="51"/>
      <c r="N60" s="51"/>
      <c r="P60" s="51"/>
      <c r="Q60" s="51"/>
    </row>
    <row r="61" spans="3:17" ht="15" customHeight="1">
      <c r="C61" s="265"/>
      <c r="F61" s="276"/>
      <c r="G61" s="276"/>
      <c r="I61" s="80"/>
      <c r="L61" s="93" t="s">
        <v>896</v>
      </c>
      <c r="M61" s="51"/>
      <c r="N61" s="51"/>
      <c r="P61" s="51"/>
      <c r="Q61" s="51"/>
    </row>
    <row r="62" spans="3:17" ht="15" customHeight="1">
      <c r="C62" s="265" t="s">
        <v>66</v>
      </c>
      <c r="F62" s="276"/>
      <c r="G62" s="276"/>
      <c r="I62" s="80"/>
      <c r="L62" s="93" t="s">
        <v>896</v>
      </c>
      <c r="M62" s="51"/>
      <c r="N62" s="51"/>
      <c r="P62" s="51"/>
      <c r="Q62" s="51"/>
    </row>
    <row r="63" spans="3:17" ht="15" customHeight="1">
      <c r="C63" s="265" t="s">
        <v>66</v>
      </c>
      <c r="F63" s="276"/>
      <c r="G63" s="276"/>
      <c r="I63" s="80"/>
      <c r="L63" s="93" t="s">
        <v>896</v>
      </c>
      <c r="M63" s="51"/>
      <c r="N63" s="51"/>
      <c r="P63" s="51"/>
      <c r="Q63" s="51"/>
    </row>
    <row r="64" spans="3:17" ht="15" customHeight="1">
      <c r="C64" s="248" t="s">
        <v>951</v>
      </c>
      <c r="F64" s="276"/>
      <c r="G64" s="276"/>
      <c r="I64" s="80"/>
      <c r="L64" s="93" t="s">
        <v>896</v>
      </c>
      <c r="M64" s="51"/>
      <c r="N64" s="51"/>
      <c r="P64" s="51"/>
      <c r="Q64" s="51"/>
    </row>
    <row r="65" spans="2:17" ht="15" customHeight="1">
      <c r="C65" s="265" t="s">
        <v>108</v>
      </c>
      <c r="D65" s="51" t="s">
        <v>109</v>
      </c>
      <c r="F65" s="283">
        <v>-22081943</v>
      </c>
      <c r="G65" s="283"/>
      <c r="I65" s="284"/>
      <c r="L65" s="93" t="s">
        <v>896</v>
      </c>
      <c r="M65" s="51"/>
      <c r="N65" s="51"/>
      <c r="P65" s="51"/>
      <c r="Q65" s="51"/>
    </row>
    <row r="66" spans="2:17" ht="15" customHeight="1">
      <c r="C66" s="265" t="s">
        <v>292</v>
      </c>
      <c r="E66" s="51" t="s">
        <v>293</v>
      </c>
      <c r="F66" s="283"/>
      <c r="G66" s="283">
        <v>-22081943</v>
      </c>
      <c r="I66" s="284"/>
      <c r="L66" s="93" t="s">
        <v>896</v>
      </c>
      <c r="M66" s="51"/>
      <c r="N66" s="51"/>
      <c r="P66" s="51"/>
      <c r="Q66" s="51"/>
    </row>
    <row r="67" spans="2:17" ht="15" customHeight="1">
      <c r="C67" s="265" t="s">
        <v>108</v>
      </c>
      <c r="D67" s="51" t="s">
        <v>109</v>
      </c>
      <c r="F67" s="283">
        <v>-22725883</v>
      </c>
      <c r="G67" s="283"/>
      <c r="I67" s="284"/>
      <c r="L67" s="93" t="s">
        <v>896</v>
      </c>
      <c r="M67" s="51"/>
      <c r="N67" s="51"/>
      <c r="P67" s="51"/>
      <c r="Q67" s="51"/>
    </row>
    <row r="68" spans="2:17" ht="15" customHeight="1">
      <c r="C68" s="265" t="s">
        <v>275</v>
      </c>
      <c r="E68" s="51" t="s">
        <v>276</v>
      </c>
      <c r="F68" s="283"/>
      <c r="G68" s="283">
        <v>-22725883</v>
      </c>
      <c r="I68" s="284"/>
      <c r="L68" s="93" t="s">
        <v>896</v>
      </c>
      <c r="M68" s="51"/>
      <c r="N68" s="51"/>
      <c r="P68" s="51"/>
      <c r="Q68" s="51"/>
    </row>
    <row r="69" spans="2:17" ht="15" customHeight="1">
      <c r="C69" s="265" t="s">
        <v>66</v>
      </c>
      <c r="F69" s="283"/>
      <c r="G69" s="283"/>
      <c r="I69" s="284"/>
      <c r="L69" s="93" t="s">
        <v>896</v>
      </c>
      <c r="M69" s="51"/>
      <c r="N69" s="51"/>
      <c r="P69" s="51"/>
      <c r="Q69" s="51"/>
    </row>
    <row r="70" spans="2:17" ht="15" customHeight="1">
      <c r="C70" s="265" t="s">
        <v>108</v>
      </c>
      <c r="D70" s="51" t="s">
        <v>109</v>
      </c>
      <c r="F70" s="283">
        <v>124772716</v>
      </c>
      <c r="G70" s="283"/>
      <c r="I70" s="284"/>
      <c r="L70" s="93" t="s">
        <v>896</v>
      </c>
      <c r="M70" s="51"/>
      <c r="N70" s="51"/>
      <c r="P70" s="51"/>
      <c r="Q70" s="51"/>
    </row>
    <row r="71" spans="2:17" ht="15" customHeight="1">
      <c r="C71" s="265" t="s">
        <v>456</v>
      </c>
      <c r="E71" s="51" t="s">
        <v>457</v>
      </c>
      <c r="F71" s="283"/>
      <c r="G71" s="283">
        <v>124772716</v>
      </c>
      <c r="I71" s="284"/>
      <c r="L71" s="93" t="s">
        <v>896</v>
      </c>
      <c r="M71" s="51"/>
      <c r="N71" s="51"/>
      <c r="P71" s="51"/>
      <c r="Q71" s="51"/>
    </row>
    <row r="72" spans="2:17" ht="15" customHeight="1">
      <c r="C72" s="265" t="s">
        <v>108</v>
      </c>
      <c r="D72" s="51" t="s">
        <v>109</v>
      </c>
      <c r="F72" s="283">
        <v>-274715975</v>
      </c>
      <c r="G72" s="283"/>
      <c r="I72" s="284"/>
      <c r="L72" s="93" t="s">
        <v>896</v>
      </c>
      <c r="M72" s="51"/>
      <c r="N72" s="51"/>
      <c r="P72" s="51"/>
      <c r="Q72" s="51"/>
    </row>
    <row r="73" spans="2:17" ht="15" customHeight="1">
      <c r="C73" s="265" t="s">
        <v>473</v>
      </c>
      <c r="E73" s="51" t="s">
        <v>474</v>
      </c>
      <c r="F73" s="283"/>
      <c r="G73" s="283">
        <v>-274715975</v>
      </c>
      <c r="I73" s="284"/>
      <c r="L73" s="93" t="s">
        <v>896</v>
      </c>
      <c r="M73" s="51"/>
      <c r="N73" s="51"/>
      <c r="P73" s="51"/>
      <c r="Q73" s="51"/>
    </row>
    <row r="74" spans="2:17" ht="15" customHeight="1">
      <c r="C74" s="265"/>
      <c r="F74" s="283"/>
      <c r="G74" s="283"/>
      <c r="I74" s="284"/>
      <c r="L74" s="93"/>
      <c r="M74" s="51"/>
      <c r="N74" s="51"/>
      <c r="P74" s="51"/>
      <c r="Q74" s="51"/>
    </row>
    <row r="75" spans="2:17" ht="15" customHeight="1">
      <c r="C75" s="51"/>
      <c r="F75" s="263"/>
      <c r="G75" s="263"/>
      <c r="I75" s="80"/>
      <c r="L75" s="93"/>
      <c r="M75" s="51"/>
      <c r="N75" s="51"/>
      <c r="P75" s="51"/>
      <c r="Q75" s="51"/>
    </row>
    <row r="76" spans="2:17" ht="15" customHeight="1">
      <c r="B76" s="246" t="s">
        <v>897</v>
      </c>
      <c r="C76" s="51"/>
      <c r="F76" s="286"/>
      <c r="G76" s="286"/>
      <c r="H76" s="99"/>
      <c r="I76" s="284" t="s">
        <v>66</v>
      </c>
      <c r="L76" s="93" t="s">
        <v>897</v>
      </c>
      <c r="M76" s="51"/>
      <c r="N76" s="51"/>
      <c r="P76" s="51"/>
      <c r="Q76" s="51"/>
    </row>
    <row r="77" spans="2:17" ht="15" customHeight="1">
      <c r="C77" s="51"/>
      <c r="F77" s="263"/>
      <c r="G77" s="263"/>
      <c r="H77" s="267"/>
      <c r="I77" s="80" t="s">
        <v>66</v>
      </c>
      <c r="L77" s="93" t="s">
        <v>897</v>
      </c>
      <c r="M77" s="51"/>
      <c r="N77" s="51"/>
      <c r="P77" s="51"/>
      <c r="Q77" s="51"/>
    </row>
    <row r="78" spans="2:17" ht="15" customHeight="1">
      <c r="C78" s="51" t="s">
        <v>948</v>
      </c>
      <c r="F78" s="263"/>
      <c r="G78" s="263"/>
      <c r="I78" s="80" t="s">
        <v>66</v>
      </c>
      <c r="L78" s="93" t="s">
        <v>897</v>
      </c>
      <c r="M78" s="51"/>
      <c r="N78" s="51"/>
      <c r="P78" s="51"/>
      <c r="Q78" s="51"/>
    </row>
    <row r="79" spans="2:17" ht="15" customHeight="1">
      <c r="F79" s="263"/>
      <c r="G79" s="263"/>
      <c r="I79" s="80"/>
      <c r="L79" s="93" t="s">
        <v>897</v>
      </c>
      <c r="M79" s="51"/>
      <c r="N79" s="51"/>
      <c r="P79" s="51"/>
      <c r="Q79" s="51"/>
    </row>
    <row r="80" spans="2:17" ht="15" customHeight="1">
      <c r="C80" s="265" t="s">
        <v>66</v>
      </c>
      <c r="D80" s="277" t="s">
        <v>947</v>
      </c>
      <c r="F80" s="263"/>
      <c r="G80" s="263"/>
      <c r="I80" s="80"/>
      <c r="L80" s="93" t="s">
        <v>897</v>
      </c>
      <c r="M80" s="51"/>
      <c r="N80" s="51"/>
      <c r="P80" s="51"/>
      <c r="Q80" s="51"/>
    </row>
    <row r="81" spans="3:17" ht="15" customHeight="1">
      <c r="C81" s="265" t="s">
        <v>66</v>
      </c>
      <c r="F81" s="263"/>
      <c r="G81" s="263"/>
      <c r="I81" s="80"/>
      <c r="L81" s="93" t="s">
        <v>897</v>
      </c>
      <c r="M81" s="51"/>
      <c r="N81" s="51"/>
      <c r="P81" s="51"/>
      <c r="Q81" s="51"/>
    </row>
    <row r="82" spans="3:17" ht="15" customHeight="1">
      <c r="C82" s="265" t="s">
        <v>292</v>
      </c>
      <c r="D82" s="51" t="s">
        <v>293</v>
      </c>
      <c r="F82" s="263">
        <v>-21660869</v>
      </c>
      <c r="G82" s="263"/>
      <c r="H82" s="267"/>
      <c r="I82" s="80"/>
      <c r="L82" s="93" t="s">
        <v>897</v>
      </c>
      <c r="M82" s="51"/>
      <c r="N82" s="51"/>
      <c r="P82" s="51"/>
      <c r="Q82" s="51"/>
    </row>
    <row r="83" spans="3:17" ht="15" customHeight="1">
      <c r="C83" s="265" t="s">
        <v>906</v>
      </c>
      <c r="E83" s="51" t="s">
        <v>908</v>
      </c>
      <c r="F83" s="263"/>
      <c r="G83" s="263">
        <v>-21660869</v>
      </c>
      <c r="H83" s="267"/>
      <c r="I83" s="80"/>
      <c r="L83" s="93" t="s">
        <v>897</v>
      </c>
      <c r="M83" s="51"/>
      <c r="N83" s="51"/>
      <c r="P83" s="51"/>
      <c r="Q83" s="51"/>
    </row>
    <row r="84" spans="3:17" ht="15" customHeight="1">
      <c r="C84" s="265" t="s">
        <v>66</v>
      </c>
      <c r="F84" s="263"/>
      <c r="G84" s="263"/>
      <c r="H84" s="267"/>
      <c r="I84" s="80"/>
      <c r="L84" s="93"/>
      <c r="M84" s="51"/>
      <c r="N84" s="51"/>
      <c r="P84" s="51"/>
      <c r="Q84" s="51"/>
    </row>
    <row r="85" spans="3:17" ht="15" customHeight="1">
      <c r="C85" s="265" t="s">
        <v>514</v>
      </c>
      <c r="E85" s="51" t="s">
        <v>515</v>
      </c>
      <c r="F85" s="263"/>
      <c r="G85" s="263">
        <v>-32245</v>
      </c>
      <c r="H85" s="267"/>
      <c r="I85" s="80"/>
      <c r="L85" s="93" t="s">
        <v>897</v>
      </c>
      <c r="M85" s="51"/>
      <c r="N85" s="51"/>
      <c r="P85" s="51"/>
      <c r="Q85" s="51"/>
    </row>
    <row r="86" spans="3:17" ht="15" customHeight="1">
      <c r="C86" s="265" t="s">
        <v>275</v>
      </c>
      <c r="E86" s="51" t="s">
        <v>276</v>
      </c>
      <c r="F86" s="263"/>
      <c r="G86" s="263">
        <v>-7202696</v>
      </c>
      <c r="H86" s="267"/>
      <c r="I86" s="80"/>
      <c r="L86" s="93" t="s">
        <v>897</v>
      </c>
      <c r="M86" s="51"/>
      <c r="N86" s="51"/>
      <c r="P86" s="51"/>
      <c r="Q86" s="51"/>
    </row>
    <row r="87" spans="3:17" ht="15" customHeight="1">
      <c r="C87" s="265" t="s">
        <v>66</v>
      </c>
      <c r="F87" s="263"/>
      <c r="G87" s="263"/>
      <c r="H87" s="267"/>
      <c r="I87" s="80"/>
      <c r="L87" s="93" t="s">
        <v>897</v>
      </c>
      <c r="M87" s="51"/>
      <c r="N87" s="51"/>
      <c r="P87" s="51"/>
      <c r="Q87" s="51"/>
    </row>
    <row r="88" spans="3:17" ht="15" customHeight="1">
      <c r="C88" s="265" t="s">
        <v>906</v>
      </c>
      <c r="D88" s="51" t="s">
        <v>908</v>
      </c>
      <c r="F88" s="263">
        <v>-7234941</v>
      </c>
      <c r="G88" s="263"/>
      <c r="H88" s="267"/>
      <c r="I88" s="80"/>
      <c r="L88" s="93" t="s">
        <v>897</v>
      </c>
      <c r="M88" s="51"/>
      <c r="N88" s="51"/>
      <c r="P88" s="51"/>
      <c r="Q88" s="51"/>
    </row>
    <row r="89" spans="3:17" ht="15" customHeight="1">
      <c r="C89" s="265" t="s">
        <v>66</v>
      </c>
      <c r="F89" s="263"/>
      <c r="G89" s="263"/>
      <c r="H89" s="267"/>
      <c r="I89" s="80"/>
      <c r="L89" s="93" t="s">
        <v>897</v>
      </c>
      <c r="M89" s="51"/>
      <c r="N89" s="51"/>
      <c r="P89" s="51"/>
      <c r="Q89" s="51"/>
    </row>
    <row r="90" spans="3:17" ht="15" customHeight="1">
      <c r="C90" s="265" t="s">
        <v>460</v>
      </c>
      <c r="D90" s="51" t="s">
        <v>461</v>
      </c>
      <c r="F90" s="263">
        <v>27415427309</v>
      </c>
      <c r="G90" s="263"/>
      <c r="H90" s="267"/>
      <c r="I90" s="80"/>
      <c r="L90" s="93"/>
      <c r="M90" s="51"/>
      <c r="N90" s="51"/>
      <c r="P90" s="51"/>
      <c r="Q90" s="51"/>
    </row>
    <row r="91" spans="3:17" ht="15" customHeight="1">
      <c r="C91" s="265" t="s">
        <v>906</v>
      </c>
      <c r="E91" s="51" t="s">
        <v>908</v>
      </c>
      <c r="F91" s="263"/>
      <c r="G91" s="263">
        <v>27415427309</v>
      </c>
      <c r="H91" s="267"/>
      <c r="I91" s="80"/>
      <c r="L91" s="93"/>
      <c r="M91" s="51"/>
      <c r="N91" s="51"/>
      <c r="P91" s="51"/>
      <c r="Q91" s="51"/>
    </row>
    <row r="92" spans="3:17" ht="15" customHeight="1">
      <c r="C92" s="265" t="s">
        <v>66</v>
      </c>
      <c r="F92" s="263"/>
      <c r="G92" s="263"/>
      <c r="H92" s="267"/>
      <c r="I92" s="80"/>
      <c r="L92" s="93"/>
      <c r="M92" s="51"/>
      <c r="N92" s="51"/>
      <c r="P92" s="51"/>
      <c r="Q92" s="51"/>
    </row>
    <row r="93" spans="3:17" ht="15" customHeight="1">
      <c r="C93" s="265" t="s">
        <v>527</v>
      </c>
      <c r="E93" s="51" t="s">
        <v>528</v>
      </c>
      <c r="F93" s="263"/>
      <c r="G93" s="263"/>
      <c r="H93" s="267"/>
      <c r="I93" s="80"/>
      <c r="L93" s="93"/>
      <c r="M93" s="51"/>
      <c r="N93" s="51"/>
      <c r="P93" s="51"/>
      <c r="Q93" s="51"/>
    </row>
    <row r="94" spans="3:17" ht="15" customHeight="1">
      <c r="C94" s="265" t="s">
        <v>473</v>
      </c>
      <c r="E94" s="51" t="s">
        <v>474</v>
      </c>
      <c r="F94" s="263"/>
      <c r="G94" s="263">
        <v>-752864</v>
      </c>
      <c r="H94" s="267"/>
      <c r="I94" s="80"/>
      <c r="L94" s="93"/>
      <c r="M94" s="51"/>
      <c r="N94" s="51"/>
      <c r="P94" s="51"/>
      <c r="Q94" s="51"/>
    </row>
    <row r="95" spans="3:17" ht="15" customHeight="1">
      <c r="C95" s="265" t="s">
        <v>527</v>
      </c>
      <c r="E95" s="51" t="s">
        <v>528</v>
      </c>
      <c r="F95" s="263"/>
      <c r="G95" s="263">
        <v>-74748239</v>
      </c>
      <c r="H95" s="267"/>
      <c r="I95" s="80"/>
      <c r="L95" s="93"/>
      <c r="M95" s="51"/>
      <c r="N95" s="51"/>
      <c r="P95" s="51"/>
      <c r="Q95" s="51"/>
    </row>
    <row r="96" spans="3:17" ht="15" customHeight="1">
      <c r="C96" s="265" t="s">
        <v>906</v>
      </c>
      <c r="D96" s="51" t="s">
        <v>908</v>
      </c>
      <c r="F96" s="263">
        <v>-75501103</v>
      </c>
      <c r="G96" s="263"/>
      <c r="H96" s="267"/>
      <c r="I96" s="80"/>
      <c r="L96" s="93"/>
      <c r="M96" s="51"/>
      <c r="N96" s="51"/>
      <c r="P96" s="51"/>
      <c r="Q96" s="51"/>
    </row>
    <row r="97" spans="2:17" ht="15" customHeight="1">
      <c r="C97" s="265"/>
      <c r="F97" s="263"/>
      <c r="G97" s="263"/>
      <c r="H97" s="267"/>
      <c r="I97" s="80"/>
      <c r="L97" s="93"/>
      <c r="M97" s="51"/>
      <c r="N97" s="51"/>
      <c r="P97" s="51"/>
      <c r="Q97" s="51"/>
    </row>
    <row r="98" spans="2:17" ht="15" customHeight="1">
      <c r="C98" s="265"/>
      <c r="F98" s="263"/>
      <c r="G98" s="263"/>
      <c r="H98" s="267"/>
      <c r="I98" s="80"/>
      <c r="L98" s="93"/>
      <c r="M98" s="51"/>
      <c r="N98" s="51"/>
      <c r="P98" s="51"/>
      <c r="Q98" s="51"/>
    </row>
    <row r="99" spans="2:17" ht="15" customHeight="1">
      <c r="C99" s="265"/>
      <c r="F99" s="263"/>
      <c r="G99" s="263"/>
      <c r="H99" s="267"/>
      <c r="I99" s="80"/>
      <c r="L99" s="93"/>
      <c r="M99" s="51"/>
      <c r="N99" s="51"/>
      <c r="P99" s="51"/>
      <c r="Q99" s="51"/>
    </row>
    <row r="100" spans="2:17" ht="15" customHeight="1">
      <c r="C100" s="265"/>
      <c r="F100" s="263"/>
      <c r="G100" s="263"/>
      <c r="H100" s="267"/>
      <c r="I100" s="80"/>
      <c r="L100" s="93"/>
      <c r="M100" s="51"/>
      <c r="N100" s="51"/>
      <c r="P100" s="51"/>
      <c r="Q100" s="51"/>
    </row>
    <row r="101" spans="2:17" ht="15" customHeight="1">
      <c r="C101" s="265"/>
      <c r="F101" s="263"/>
      <c r="G101" s="263"/>
      <c r="H101" s="267"/>
      <c r="I101" s="80"/>
      <c r="L101" s="93"/>
      <c r="M101" s="51"/>
      <c r="N101" s="51"/>
      <c r="P101" s="51"/>
      <c r="Q101" s="51"/>
    </row>
    <row r="102" spans="2:17" ht="15" customHeight="1">
      <c r="C102" s="265"/>
      <c r="F102" s="263"/>
      <c r="G102" s="263"/>
      <c r="H102" s="267"/>
      <c r="I102" s="80"/>
      <c r="L102" s="93"/>
      <c r="M102" s="51"/>
      <c r="N102" s="51"/>
      <c r="P102" s="51"/>
      <c r="Q102" s="51"/>
    </row>
    <row r="103" spans="2:17" ht="15" customHeight="1">
      <c r="C103" s="265"/>
      <c r="F103" s="263"/>
      <c r="G103" s="263"/>
      <c r="H103" s="267"/>
      <c r="I103" s="80"/>
      <c r="L103" s="93"/>
      <c r="M103" s="51"/>
      <c r="N103" s="51"/>
      <c r="P103" s="51"/>
      <c r="Q103" s="51"/>
    </row>
    <row r="104" spans="2:17" ht="15" customHeight="1">
      <c r="C104" s="265" t="s">
        <v>66</v>
      </c>
      <c r="F104" s="263"/>
      <c r="G104" s="263"/>
      <c r="H104" s="267"/>
      <c r="I104" s="80"/>
      <c r="L104" s="93" t="s">
        <v>897</v>
      </c>
      <c r="M104" s="51"/>
      <c r="N104" s="51"/>
      <c r="P104" s="51"/>
      <c r="Q104" s="51"/>
    </row>
    <row r="105" spans="2:17" ht="15" customHeight="1">
      <c r="C105" s="51"/>
      <c r="F105" s="276"/>
      <c r="G105" s="276"/>
      <c r="I105" s="80"/>
      <c r="L105" s="93"/>
      <c r="M105" s="51"/>
      <c r="N105" s="51"/>
      <c r="P105" s="51"/>
      <c r="Q105" s="51"/>
    </row>
    <row r="106" spans="2:17" ht="15" customHeight="1">
      <c r="B106" s="246" t="s">
        <v>898</v>
      </c>
      <c r="F106" s="276"/>
      <c r="G106" s="276"/>
      <c r="I106" s="80" t="s">
        <v>66</v>
      </c>
      <c r="L106" s="93" t="s">
        <v>898</v>
      </c>
      <c r="M106" s="51"/>
      <c r="N106" s="51"/>
      <c r="P106" s="51"/>
      <c r="Q106" s="51"/>
    </row>
    <row r="107" spans="2:17" ht="15" customHeight="1">
      <c r="C107" s="278"/>
      <c r="F107" s="276"/>
      <c r="G107" s="276"/>
      <c r="I107" s="80" t="s">
        <v>66</v>
      </c>
      <c r="L107" s="93" t="s">
        <v>898</v>
      </c>
      <c r="M107" s="51"/>
      <c r="N107" s="51"/>
      <c r="P107" s="51"/>
      <c r="Q107" s="51"/>
    </row>
    <row r="108" spans="2:17">
      <c r="C108" s="265" t="s">
        <v>66</v>
      </c>
      <c r="F108" s="276"/>
      <c r="G108" s="276"/>
      <c r="I108" s="80"/>
      <c r="J108" s="279"/>
      <c r="K108" s="280"/>
      <c r="L108" s="93" t="s">
        <v>898</v>
      </c>
      <c r="M108" s="51"/>
      <c r="N108" s="51"/>
      <c r="P108" s="51"/>
      <c r="Q108" s="51"/>
    </row>
    <row r="109" spans="2:17">
      <c r="C109" s="265" t="s">
        <v>66</v>
      </c>
      <c r="F109" s="276"/>
      <c r="G109" s="276"/>
      <c r="I109" s="80"/>
      <c r="J109" s="279">
        <v>0</v>
      </c>
      <c r="K109" s="280"/>
      <c r="L109" s="93" t="s">
        <v>898</v>
      </c>
      <c r="M109" s="51"/>
      <c r="N109" s="51"/>
      <c r="P109" s="51"/>
      <c r="Q109" s="51"/>
    </row>
    <row r="110" spans="2:17">
      <c r="C110" s="265" t="s">
        <v>66</v>
      </c>
      <c r="F110" s="276"/>
      <c r="G110" s="276"/>
      <c r="I110" s="80"/>
      <c r="J110" s="279">
        <v>0</v>
      </c>
      <c r="K110" s="280"/>
      <c r="L110" s="93" t="s">
        <v>898</v>
      </c>
      <c r="M110" s="51"/>
      <c r="N110" s="51"/>
      <c r="P110" s="51"/>
      <c r="Q110" s="51"/>
    </row>
    <row r="111" spans="2:17">
      <c r="C111" s="265" t="s">
        <v>66</v>
      </c>
      <c r="F111" s="276"/>
      <c r="G111" s="276"/>
      <c r="I111" s="80"/>
      <c r="J111" s="279">
        <v>0</v>
      </c>
      <c r="K111" s="280"/>
      <c r="L111" s="93" t="s">
        <v>898</v>
      </c>
      <c r="M111" s="51"/>
      <c r="N111" s="51"/>
      <c r="P111" s="51"/>
      <c r="Q111" s="51"/>
    </row>
    <row r="112" spans="2:17">
      <c r="C112" s="265" t="s">
        <v>66</v>
      </c>
      <c r="F112" s="276"/>
      <c r="G112" s="276"/>
      <c r="I112" s="80"/>
      <c r="J112" s="279">
        <v>0</v>
      </c>
      <c r="K112" s="280"/>
      <c r="L112" s="93" t="s">
        <v>898</v>
      </c>
      <c r="M112" s="51"/>
      <c r="N112" s="51"/>
      <c r="P112" s="51"/>
      <c r="Q112" s="51"/>
    </row>
    <row r="113" spans="3:17">
      <c r="C113" s="265" t="s">
        <v>66</v>
      </c>
      <c r="F113" s="276"/>
      <c r="G113" s="276"/>
      <c r="I113" s="80"/>
      <c r="J113" s="279">
        <v>0</v>
      </c>
      <c r="K113" s="280"/>
      <c r="L113" s="93" t="s">
        <v>898</v>
      </c>
      <c r="M113" s="51"/>
      <c r="N113" s="51"/>
      <c r="P113" s="51"/>
      <c r="Q113" s="51"/>
    </row>
    <row r="114" spans="3:17">
      <c r="C114" s="265" t="s">
        <v>66</v>
      </c>
      <c r="F114" s="276"/>
      <c r="G114" s="276"/>
      <c r="I114" s="80"/>
      <c r="J114" s="279">
        <v>0</v>
      </c>
      <c r="K114" s="280"/>
      <c r="L114" s="93" t="s">
        <v>898</v>
      </c>
      <c r="M114" s="51"/>
      <c r="N114" s="51"/>
      <c r="P114" s="51"/>
      <c r="Q114" s="51"/>
    </row>
    <row r="115" spans="3:17">
      <c r="C115" s="265" t="s">
        <v>66</v>
      </c>
      <c r="F115" s="276"/>
      <c r="G115" s="276"/>
      <c r="I115" s="80"/>
      <c r="J115" s="279">
        <v>0</v>
      </c>
      <c r="K115" s="280"/>
      <c r="L115" s="93" t="s">
        <v>898</v>
      </c>
      <c r="M115" s="51"/>
      <c r="N115" s="51"/>
      <c r="P115" s="51"/>
      <c r="Q115" s="51"/>
    </row>
    <row r="116" spans="3:17">
      <c r="C116" s="265" t="s">
        <v>66</v>
      </c>
      <c r="F116" s="276"/>
      <c r="G116" s="276"/>
      <c r="I116" s="80" t="s">
        <v>66</v>
      </c>
      <c r="J116" s="279"/>
      <c r="K116" s="280"/>
      <c r="L116" s="93"/>
      <c r="M116" s="51"/>
      <c r="N116" s="51"/>
      <c r="P116" s="51"/>
      <c r="Q116" s="51"/>
    </row>
    <row r="117" spans="3:17">
      <c r="C117" s="265" t="s">
        <v>66</v>
      </c>
      <c r="F117" s="276"/>
      <c r="G117" s="276"/>
      <c r="I117" s="80" t="s">
        <v>66</v>
      </c>
      <c r="J117" s="279"/>
      <c r="K117" s="280"/>
      <c r="L117" s="93"/>
      <c r="M117" s="51"/>
      <c r="N117" s="51"/>
      <c r="P117" s="51"/>
      <c r="Q117" s="51"/>
    </row>
    <row r="118" spans="3:17">
      <c r="C118" s="265" t="s">
        <v>66</v>
      </c>
      <c r="F118" s="276"/>
      <c r="G118" s="276"/>
      <c r="H118" s="80"/>
      <c r="I118" s="80" t="s">
        <v>66</v>
      </c>
      <c r="J118" s="279"/>
      <c r="K118" s="280"/>
      <c r="L118" s="93"/>
      <c r="M118" s="51"/>
      <c r="N118" s="51"/>
      <c r="P118" s="51"/>
      <c r="Q118" s="51"/>
    </row>
    <row r="119" spans="3:17">
      <c r="C119" s="265" t="s">
        <v>66</v>
      </c>
      <c r="F119" s="276"/>
      <c r="G119" s="276"/>
      <c r="I119" s="80" t="s">
        <v>66</v>
      </c>
      <c r="J119" s="279"/>
      <c r="K119" s="280"/>
      <c r="L119" s="93"/>
      <c r="M119" s="51"/>
      <c r="N119" s="51"/>
      <c r="P119" s="51"/>
      <c r="Q119" s="51"/>
    </row>
    <row r="120" spans="3:17">
      <c r="C120" s="51"/>
      <c r="F120" s="276"/>
      <c r="G120" s="276"/>
      <c r="I120" s="80" t="s">
        <v>66</v>
      </c>
      <c r="J120" s="279"/>
      <c r="K120" s="280"/>
      <c r="L120" s="93"/>
      <c r="M120" s="51"/>
      <c r="N120" s="51"/>
      <c r="P120" s="51"/>
      <c r="Q120" s="51"/>
    </row>
    <row r="121" spans="3:17">
      <c r="C121" s="51"/>
      <c r="F121" s="80"/>
      <c r="G121" s="80"/>
      <c r="I121" s="80" t="s">
        <v>66</v>
      </c>
      <c r="J121" s="279"/>
      <c r="K121" s="280"/>
      <c r="L121" s="93"/>
      <c r="M121" s="51"/>
      <c r="N121" s="51"/>
      <c r="P121" s="51"/>
      <c r="Q121" s="51"/>
    </row>
    <row r="122" spans="3:17">
      <c r="C122" s="51"/>
      <c r="F122" s="80"/>
      <c r="G122" s="80"/>
      <c r="I122" s="80" t="s">
        <v>66</v>
      </c>
      <c r="J122" s="279"/>
      <c r="K122" s="280"/>
      <c r="L122" s="93"/>
      <c r="M122" s="51"/>
      <c r="N122" s="51"/>
      <c r="P122" s="51"/>
      <c r="Q122" s="51"/>
    </row>
    <row r="123" spans="3:17">
      <c r="C123" s="51"/>
      <c r="F123" s="53"/>
      <c r="G123" s="53"/>
      <c r="I123" s="80" t="s">
        <v>66</v>
      </c>
      <c r="J123" s="279"/>
      <c r="K123" s="280"/>
      <c r="L123" s="93"/>
      <c r="M123" s="51"/>
      <c r="N123" s="51"/>
      <c r="P123" s="51"/>
      <c r="Q123" s="51"/>
    </row>
    <row r="124" spans="3:17">
      <c r="C124" s="51"/>
      <c r="F124" s="53"/>
      <c r="G124" s="53"/>
      <c r="I124" s="80" t="s">
        <v>66</v>
      </c>
      <c r="J124" s="279"/>
      <c r="K124" s="280"/>
      <c r="L124" s="93"/>
      <c r="M124" s="51"/>
      <c r="N124" s="51"/>
      <c r="P124" s="51"/>
      <c r="Q124" s="51"/>
    </row>
    <row r="125" spans="3:17">
      <c r="C125" s="51"/>
      <c r="F125" s="53"/>
      <c r="G125" s="53"/>
      <c r="I125" s="80" t="s">
        <v>66</v>
      </c>
      <c r="J125" s="279"/>
      <c r="K125" s="280"/>
      <c r="L125" s="93"/>
      <c r="M125" s="51"/>
      <c r="N125" s="51"/>
      <c r="P125" s="51"/>
      <c r="Q125" s="51"/>
    </row>
    <row r="126" spans="3:17">
      <c r="C126" s="51"/>
      <c r="F126" s="53"/>
      <c r="G126" s="53"/>
      <c r="I126" s="80" t="s">
        <v>66</v>
      </c>
      <c r="J126" s="279"/>
      <c r="K126" s="280"/>
      <c r="L126" s="93"/>
      <c r="M126" s="51"/>
      <c r="N126" s="51"/>
      <c r="P126" s="51"/>
      <c r="Q126" s="51"/>
    </row>
    <row r="127" spans="3:17">
      <c r="C127" s="51"/>
      <c r="F127" s="53"/>
      <c r="G127" s="53"/>
      <c r="I127" s="80" t="s">
        <v>66</v>
      </c>
      <c r="J127" s="279"/>
      <c r="K127" s="280"/>
      <c r="L127" s="93"/>
      <c r="M127" s="51"/>
      <c r="N127" s="51"/>
      <c r="P127" s="51"/>
      <c r="Q127" s="51"/>
    </row>
    <row r="128" spans="3:17">
      <c r="C128" s="51"/>
      <c r="F128" s="53"/>
      <c r="G128" s="53"/>
      <c r="I128" s="80" t="s">
        <v>66</v>
      </c>
      <c r="J128" s="279"/>
      <c r="K128" s="280"/>
      <c r="L128" s="93"/>
      <c r="M128" s="51"/>
      <c r="N128" s="51"/>
      <c r="P128" s="51"/>
      <c r="Q128" s="51"/>
    </row>
    <row r="129" spans="9:12" s="51" customFormat="1">
      <c r="I129" s="80" t="s">
        <v>66</v>
      </c>
      <c r="J129" s="279"/>
      <c r="K129" s="280"/>
      <c r="L129" s="93"/>
    </row>
    <row r="130" spans="9:12" s="51" customFormat="1">
      <c r="I130" s="80" t="s">
        <v>66</v>
      </c>
      <c r="J130" s="279"/>
      <c r="K130" s="280"/>
      <c r="L130" s="93"/>
    </row>
    <row r="131" spans="9:12" s="51" customFormat="1">
      <c r="I131" s="80" t="s">
        <v>66</v>
      </c>
      <c r="J131" s="279"/>
      <c r="K131" s="280"/>
      <c r="L131" s="93"/>
    </row>
    <row r="132" spans="9:12" s="51" customFormat="1">
      <c r="I132" s="80" t="s">
        <v>66</v>
      </c>
      <c r="J132" s="279"/>
      <c r="K132" s="280"/>
      <c r="L132" s="93"/>
    </row>
    <row r="133" spans="9:12" s="51" customFormat="1">
      <c r="I133" s="51" t="s">
        <v>66</v>
      </c>
      <c r="J133" s="279"/>
      <c r="K133" s="280"/>
      <c r="L133" s="93"/>
    </row>
    <row r="134" spans="9:12" s="51" customFormat="1">
      <c r="I134" s="51" t="s">
        <v>66</v>
      </c>
      <c r="J134" s="279"/>
      <c r="K134" s="280"/>
      <c r="L134" s="93"/>
    </row>
    <row r="135" spans="9:12" s="51" customFormat="1">
      <c r="I135" s="51" t="s">
        <v>66</v>
      </c>
      <c r="J135" s="279"/>
      <c r="K135" s="280"/>
      <c r="L135" s="93"/>
    </row>
    <row r="136" spans="9:12" s="51" customFormat="1">
      <c r="I136" s="51" t="s">
        <v>66</v>
      </c>
      <c r="J136" s="279"/>
      <c r="K136" s="280"/>
      <c r="L136" s="93"/>
    </row>
    <row r="137" spans="9:12" s="51" customFormat="1">
      <c r="I137" s="51" t="s">
        <v>66</v>
      </c>
      <c r="J137" s="279"/>
      <c r="K137" s="280"/>
      <c r="L137" s="93"/>
    </row>
    <row r="138" spans="9:12" s="51" customFormat="1">
      <c r="I138" s="51" t="s">
        <v>66</v>
      </c>
      <c r="J138" s="279"/>
      <c r="K138" s="280"/>
      <c r="L138" s="93"/>
    </row>
    <row r="139" spans="9:12" s="51" customFormat="1">
      <c r="I139" s="51" t="s">
        <v>66</v>
      </c>
      <c r="J139" s="279"/>
      <c r="K139" s="280"/>
      <c r="L139" s="93"/>
    </row>
    <row r="140" spans="9:12" s="51" customFormat="1" ht="15" customHeight="1">
      <c r="I140" s="51" t="s">
        <v>66</v>
      </c>
      <c r="J140" s="239"/>
      <c r="L140" s="93"/>
    </row>
    <row r="141" spans="9:12" s="51" customFormat="1" ht="15" customHeight="1">
      <c r="I141" s="51" t="s">
        <v>66</v>
      </c>
      <c r="J141" s="239"/>
      <c r="L141" s="93"/>
    </row>
    <row r="142" spans="9:12" s="51" customFormat="1" ht="15" customHeight="1">
      <c r="I142" s="51" t="s">
        <v>66</v>
      </c>
      <c r="J142" s="239"/>
      <c r="L142" s="93"/>
    </row>
    <row r="143" spans="9:12" s="51" customFormat="1" ht="15" customHeight="1">
      <c r="I143" s="51" t="s">
        <v>66</v>
      </c>
      <c r="J143" s="239"/>
      <c r="L143" s="93"/>
    </row>
    <row r="144" spans="9:12" s="51" customFormat="1" ht="15" customHeight="1">
      <c r="I144" s="51" t="s">
        <v>66</v>
      </c>
      <c r="J144" s="239"/>
      <c r="L144" s="93"/>
    </row>
    <row r="145" spans="9:12" s="51" customFormat="1" ht="15" customHeight="1">
      <c r="I145" s="51" t="s">
        <v>66</v>
      </c>
      <c r="J145" s="239"/>
      <c r="L145" s="93"/>
    </row>
    <row r="146" spans="9:12" s="51" customFormat="1" ht="15" customHeight="1">
      <c r="I146" s="51" t="s">
        <v>66</v>
      </c>
      <c r="J146" s="239"/>
      <c r="L146" s="93"/>
    </row>
    <row r="147" spans="9:12" s="51" customFormat="1" ht="15" customHeight="1">
      <c r="I147" s="51" t="s">
        <v>66</v>
      </c>
      <c r="J147" s="239"/>
      <c r="L147" s="93"/>
    </row>
    <row r="148" spans="9:12" s="51" customFormat="1" ht="15" customHeight="1">
      <c r="I148" s="51" t="s">
        <v>66</v>
      </c>
      <c r="J148" s="239"/>
      <c r="L148" s="93"/>
    </row>
    <row r="149" spans="9:12" s="51" customFormat="1" ht="15" customHeight="1">
      <c r="I149" s="51" t="s">
        <v>66</v>
      </c>
      <c r="J149" s="239"/>
      <c r="L149" s="93"/>
    </row>
    <row r="150" spans="9:12" s="51" customFormat="1" ht="15" customHeight="1">
      <c r="I150" s="51" t="s">
        <v>66</v>
      </c>
      <c r="J150" s="239"/>
      <c r="L150" s="93"/>
    </row>
    <row r="151" spans="9:12" s="51" customFormat="1" ht="15" customHeight="1">
      <c r="I151" s="51" t="s">
        <v>66</v>
      </c>
      <c r="J151" s="239"/>
      <c r="L151" s="93"/>
    </row>
    <row r="152" spans="9:12" s="51" customFormat="1" ht="15" customHeight="1">
      <c r="I152" s="51" t="s">
        <v>66</v>
      </c>
      <c r="J152" s="239"/>
      <c r="L152" s="93"/>
    </row>
    <row r="153" spans="9:12" s="51" customFormat="1" ht="15" customHeight="1">
      <c r="I153" s="51" t="s">
        <v>66</v>
      </c>
      <c r="J153" s="239"/>
      <c r="L153" s="93"/>
    </row>
    <row r="154" spans="9:12" s="51" customFormat="1" ht="15" customHeight="1">
      <c r="I154" s="51" t="s">
        <v>66</v>
      </c>
      <c r="J154" s="239"/>
      <c r="L154" s="93"/>
    </row>
    <row r="155" spans="9:12" s="51" customFormat="1" ht="15" customHeight="1">
      <c r="I155" s="51" t="s">
        <v>66</v>
      </c>
      <c r="J155" s="239"/>
      <c r="L155" s="93"/>
    </row>
    <row r="156" spans="9:12" s="51" customFormat="1" ht="15" customHeight="1">
      <c r="I156" s="51" t="s">
        <v>66</v>
      </c>
      <c r="J156" s="239"/>
      <c r="L156" s="93"/>
    </row>
    <row r="157" spans="9:12" s="51" customFormat="1" ht="15" customHeight="1">
      <c r="I157" s="51" t="s">
        <v>66</v>
      </c>
      <c r="J157" s="239"/>
      <c r="L157" s="93"/>
    </row>
    <row r="158" spans="9:12" s="51" customFormat="1" ht="15" customHeight="1">
      <c r="I158" s="51" t="s">
        <v>66</v>
      </c>
      <c r="J158" s="239"/>
      <c r="L158" s="93"/>
    </row>
    <row r="159" spans="9:12" s="51" customFormat="1" ht="15" customHeight="1">
      <c r="I159" s="51" t="s">
        <v>66</v>
      </c>
      <c r="J159" s="239"/>
      <c r="L159" s="93"/>
    </row>
    <row r="160" spans="9:12" s="51" customFormat="1" ht="15" customHeight="1">
      <c r="I160" s="51" t="s">
        <v>66</v>
      </c>
      <c r="J160" s="239"/>
    </row>
    <row r="161" spans="3:17" ht="15" customHeight="1">
      <c r="C161" s="51"/>
      <c r="F161" s="51"/>
      <c r="G161" s="51"/>
      <c r="I161" s="51" t="s">
        <v>66</v>
      </c>
      <c r="M161" s="51"/>
      <c r="N161" s="51"/>
      <c r="P161" s="51"/>
      <c r="Q161" s="51"/>
    </row>
    <row r="164" spans="3:17" ht="15" customHeight="1">
      <c r="F164" s="79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DD24-D68E-4426-9B81-85366CAAE941}">
  <sheetPr>
    <tabColor theme="9" tint="0.79998168889431442"/>
  </sheetPr>
  <dimension ref="B1:AC260"/>
  <sheetViews>
    <sheetView zoomScaleNormal="100" workbookViewId="0">
      <pane xSplit="7" ySplit="11" topLeftCell="H12" activePane="bottomRight" state="frozen"/>
      <selection activeCell="Z107" sqref="Z107"/>
      <selection pane="topRight" activeCell="Z107" sqref="Z107"/>
      <selection pane="bottomLeft" activeCell="Z107" sqref="Z107"/>
      <selection pane="bottomRight" activeCell="I14" sqref="I14"/>
    </sheetView>
  </sheetViews>
  <sheetFormatPr defaultRowHeight="12"/>
  <cols>
    <col min="1" max="1" width="3" style="114" customWidth="1"/>
    <col min="2" max="2" width="7.375" style="114" customWidth="1"/>
    <col min="3" max="3" width="17.375" style="114" customWidth="1"/>
    <col min="4" max="5" width="14.5" style="114" customWidth="1"/>
    <col min="6" max="6" width="14.25" style="114" customWidth="1"/>
    <col min="7" max="7" width="14.625" style="114" customWidth="1"/>
    <col min="8" max="8" width="12.75" style="114" customWidth="1"/>
    <col min="9" max="9" width="13.75" style="114" customWidth="1"/>
    <col min="10" max="13" width="12.75" style="114" customWidth="1"/>
    <col min="14" max="22" width="12.75" style="115" customWidth="1"/>
    <col min="23" max="23" width="14.625" style="115" customWidth="1"/>
    <col min="24" max="24" width="14.625" style="114" customWidth="1"/>
    <col min="25" max="26" width="15" style="114" customWidth="1"/>
    <col min="27" max="251" width="8.75" style="114"/>
    <col min="252" max="252" width="3" style="114" customWidth="1"/>
    <col min="253" max="253" width="17.375" style="114" customWidth="1"/>
    <col min="254" max="272" width="12.75" style="114" customWidth="1"/>
    <col min="273" max="274" width="16.75" style="114" customWidth="1"/>
    <col min="275" max="507" width="8.75" style="114"/>
    <col min="508" max="508" width="3" style="114" customWidth="1"/>
    <col min="509" max="509" width="17.375" style="114" customWidth="1"/>
    <col min="510" max="528" width="12.75" style="114" customWidth="1"/>
    <col min="529" max="530" width="16.75" style="114" customWidth="1"/>
    <col min="531" max="763" width="8.75" style="114"/>
    <col min="764" max="764" width="3" style="114" customWidth="1"/>
    <col min="765" max="765" width="17.375" style="114" customWidth="1"/>
    <col min="766" max="784" width="12.75" style="114" customWidth="1"/>
    <col min="785" max="786" width="16.75" style="114" customWidth="1"/>
    <col min="787" max="1019" width="8.75" style="114"/>
    <col min="1020" max="1020" width="3" style="114" customWidth="1"/>
    <col min="1021" max="1021" width="17.375" style="114" customWidth="1"/>
    <col min="1022" max="1040" width="12.75" style="114" customWidth="1"/>
    <col min="1041" max="1042" width="16.75" style="114" customWidth="1"/>
    <col min="1043" max="1275" width="8.75" style="114"/>
    <col min="1276" max="1276" width="3" style="114" customWidth="1"/>
    <col min="1277" max="1277" width="17.375" style="114" customWidth="1"/>
    <col min="1278" max="1296" width="12.75" style="114" customWidth="1"/>
    <col min="1297" max="1298" width="16.75" style="114" customWidth="1"/>
    <col min="1299" max="1531" width="8.75" style="114"/>
    <col min="1532" max="1532" width="3" style="114" customWidth="1"/>
    <col min="1533" max="1533" width="17.375" style="114" customWidth="1"/>
    <col min="1534" max="1552" width="12.75" style="114" customWidth="1"/>
    <col min="1553" max="1554" width="16.75" style="114" customWidth="1"/>
    <col min="1555" max="1787" width="8.75" style="114"/>
    <col min="1788" max="1788" width="3" style="114" customWidth="1"/>
    <col min="1789" max="1789" width="17.375" style="114" customWidth="1"/>
    <col min="1790" max="1808" width="12.75" style="114" customWidth="1"/>
    <col min="1809" max="1810" width="16.75" style="114" customWidth="1"/>
    <col min="1811" max="2043" width="8.75" style="114"/>
    <col min="2044" max="2044" width="3" style="114" customWidth="1"/>
    <col min="2045" max="2045" width="17.375" style="114" customWidth="1"/>
    <col min="2046" max="2064" width="12.75" style="114" customWidth="1"/>
    <col min="2065" max="2066" width="16.75" style="114" customWidth="1"/>
    <col min="2067" max="2299" width="8.75" style="114"/>
    <col min="2300" max="2300" width="3" style="114" customWidth="1"/>
    <col min="2301" max="2301" width="17.375" style="114" customWidth="1"/>
    <col min="2302" max="2320" width="12.75" style="114" customWidth="1"/>
    <col min="2321" max="2322" width="16.75" style="114" customWidth="1"/>
    <col min="2323" max="2555" width="8.75" style="114"/>
    <col min="2556" max="2556" width="3" style="114" customWidth="1"/>
    <col min="2557" max="2557" width="17.375" style="114" customWidth="1"/>
    <col min="2558" max="2576" width="12.75" style="114" customWidth="1"/>
    <col min="2577" max="2578" width="16.75" style="114" customWidth="1"/>
    <col min="2579" max="2811" width="8.75" style="114"/>
    <col min="2812" max="2812" width="3" style="114" customWidth="1"/>
    <col min="2813" max="2813" width="17.375" style="114" customWidth="1"/>
    <col min="2814" max="2832" width="12.75" style="114" customWidth="1"/>
    <col min="2833" max="2834" width="16.75" style="114" customWidth="1"/>
    <col min="2835" max="3067" width="8.75" style="114"/>
    <col min="3068" max="3068" width="3" style="114" customWidth="1"/>
    <col min="3069" max="3069" width="17.375" style="114" customWidth="1"/>
    <col min="3070" max="3088" width="12.75" style="114" customWidth="1"/>
    <col min="3089" max="3090" width="16.75" style="114" customWidth="1"/>
    <col min="3091" max="3323" width="8.75" style="114"/>
    <col min="3324" max="3324" width="3" style="114" customWidth="1"/>
    <col min="3325" max="3325" width="17.375" style="114" customWidth="1"/>
    <col min="3326" max="3344" width="12.75" style="114" customWidth="1"/>
    <col min="3345" max="3346" width="16.75" style="114" customWidth="1"/>
    <col min="3347" max="3579" width="8.75" style="114"/>
    <col min="3580" max="3580" width="3" style="114" customWidth="1"/>
    <col min="3581" max="3581" width="17.375" style="114" customWidth="1"/>
    <col min="3582" max="3600" width="12.75" style="114" customWidth="1"/>
    <col min="3601" max="3602" width="16.75" style="114" customWidth="1"/>
    <col min="3603" max="3835" width="8.75" style="114"/>
    <col min="3836" max="3836" width="3" style="114" customWidth="1"/>
    <col min="3837" max="3837" width="17.375" style="114" customWidth="1"/>
    <col min="3838" max="3856" width="12.75" style="114" customWidth="1"/>
    <col min="3857" max="3858" width="16.75" style="114" customWidth="1"/>
    <col min="3859" max="4091" width="8.75" style="114"/>
    <col min="4092" max="4092" width="3" style="114" customWidth="1"/>
    <col min="4093" max="4093" width="17.375" style="114" customWidth="1"/>
    <col min="4094" max="4112" width="12.75" style="114" customWidth="1"/>
    <col min="4113" max="4114" width="16.75" style="114" customWidth="1"/>
    <col min="4115" max="4347" width="8.75" style="114"/>
    <col min="4348" max="4348" width="3" style="114" customWidth="1"/>
    <col min="4349" max="4349" width="17.375" style="114" customWidth="1"/>
    <col min="4350" max="4368" width="12.75" style="114" customWidth="1"/>
    <col min="4369" max="4370" width="16.75" style="114" customWidth="1"/>
    <col min="4371" max="4603" width="8.75" style="114"/>
    <col min="4604" max="4604" width="3" style="114" customWidth="1"/>
    <col min="4605" max="4605" width="17.375" style="114" customWidth="1"/>
    <col min="4606" max="4624" width="12.75" style="114" customWidth="1"/>
    <col min="4625" max="4626" width="16.75" style="114" customWidth="1"/>
    <col min="4627" max="4859" width="8.75" style="114"/>
    <col min="4860" max="4860" width="3" style="114" customWidth="1"/>
    <col min="4861" max="4861" width="17.375" style="114" customWidth="1"/>
    <col min="4862" max="4880" width="12.75" style="114" customWidth="1"/>
    <col min="4881" max="4882" width="16.75" style="114" customWidth="1"/>
    <col min="4883" max="5115" width="8.75" style="114"/>
    <col min="5116" max="5116" width="3" style="114" customWidth="1"/>
    <col min="5117" max="5117" width="17.375" style="114" customWidth="1"/>
    <col min="5118" max="5136" width="12.75" style="114" customWidth="1"/>
    <col min="5137" max="5138" width="16.75" style="114" customWidth="1"/>
    <col min="5139" max="5371" width="8.75" style="114"/>
    <col min="5372" max="5372" width="3" style="114" customWidth="1"/>
    <col min="5373" max="5373" width="17.375" style="114" customWidth="1"/>
    <col min="5374" max="5392" width="12.75" style="114" customWidth="1"/>
    <col min="5393" max="5394" width="16.75" style="114" customWidth="1"/>
    <col min="5395" max="5627" width="8.75" style="114"/>
    <col min="5628" max="5628" width="3" style="114" customWidth="1"/>
    <col min="5629" max="5629" width="17.375" style="114" customWidth="1"/>
    <col min="5630" max="5648" width="12.75" style="114" customWidth="1"/>
    <col min="5649" max="5650" width="16.75" style="114" customWidth="1"/>
    <col min="5651" max="5883" width="8.75" style="114"/>
    <col min="5884" max="5884" width="3" style="114" customWidth="1"/>
    <col min="5885" max="5885" width="17.375" style="114" customWidth="1"/>
    <col min="5886" max="5904" width="12.75" style="114" customWidth="1"/>
    <col min="5905" max="5906" width="16.75" style="114" customWidth="1"/>
    <col min="5907" max="6139" width="8.75" style="114"/>
    <col min="6140" max="6140" width="3" style="114" customWidth="1"/>
    <col min="6141" max="6141" width="17.375" style="114" customWidth="1"/>
    <col min="6142" max="6160" width="12.75" style="114" customWidth="1"/>
    <col min="6161" max="6162" width="16.75" style="114" customWidth="1"/>
    <col min="6163" max="6395" width="8.75" style="114"/>
    <col min="6396" max="6396" width="3" style="114" customWidth="1"/>
    <col min="6397" max="6397" width="17.375" style="114" customWidth="1"/>
    <col min="6398" max="6416" width="12.75" style="114" customWidth="1"/>
    <col min="6417" max="6418" width="16.75" style="114" customWidth="1"/>
    <col min="6419" max="6651" width="8.75" style="114"/>
    <col min="6652" max="6652" width="3" style="114" customWidth="1"/>
    <col min="6653" max="6653" width="17.375" style="114" customWidth="1"/>
    <col min="6654" max="6672" width="12.75" style="114" customWidth="1"/>
    <col min="6673" max="6674" width="16.75" style="114" customWidth="1"/>
    <col min="6675" max="6907" width="8.75" style="114"/>
    <col min="6908" max="6908" width="3" style="114" customWidth="1"/>
    <col min="6909" max="6909" width="17.375" style="114" customWidth="1"/>
    <col min="6910" max="6928" width="12.75" style="114" customWidth="1"/>
    <col min="6929" max="6930" width="16.75" style="114" customWidth="1"/>
    <col min="6931" max="7163" width="8.75" style="114"/>
    <col min="7164" max="7164" width="3" style="114" customWidth="1"/>
    <col min="7165" max="7165" width="17.375" style="114" customWidth="1"/>
    <col min="7166" max="7184" width="12.75" style="114" customWidth="1"/>
    <col min="7185" max="7186" width="16.75" style="114" customWidth="1"/>
    <col min="7187" max="7419" width="8.75" style="114"/>
    <col min="7420" max="7420" width="3" style="114" customWidth="1"/>
    <col min="7421" max="7421" width="17.375" style="114" customWidth="1"/>
    <col min="7422" max="7440" width="12.75" style="114" customWidth="1"/>
    <col min="7441" max="7442" width="16.75" style="114" customWidth="1"/>
    <col min="7443" max="7675" width="8.75" style="114"/>
    <col min="7676" max="7676" width="3" style="114" customWidth="1"/>
    <col min="7677" max="7677" width="17.375" style="114" customWidth="1"/>
    <col min="7678" max="7696" width="12.75" style="114" customWidth="1"/>
    <col min="7697" max="7698" width="16.75" style="114" customWidth="1"/>
    <col min="7699" max="7931" width="8.75" style="114"/>
    <col min="7932" max="7932" width="3" style="114" customWidth="1"/>
    <col min="7933" max="7933" width="17.375" style="114" customWidth="1"/>
    <col min="7934" max="7952" width="12.75" style="114" customWidth="1"/>
    <col min="7953" max="7954" width="16.75" style="114" customWidth="1"/>
    <col min="7955" max="8187" width="8.75" style="114"/>
    <col min="8188" max="8188" width="3" style="114" customWidth="1"/>
    <col min="8189" max="8189" width="17.375" style="114" customWidth="1"/>
    <col min="8190" max="8208" width="12.75" style="114" customWidth="1"/>
    <col min="8209" max="8210" width="16.75" style="114" customWidth="1"/>
    <col min="8211" max="8443" width="8.75" style="114"/>
    <col min="8444" max="8444" width="3" style="114" customWidth="1"/>
    <col min="8445" max="8445" width="17.375" style="114" customWidth="1"/>
    <col min="8446" max="8464" width="12.75" style="114" customWidth="1"/>
    <col min="8465" max="8466" width="16.75" style="114" customWidth="1"/>
    <col min="8467" max="8699" width="8.75" style="114"/>
    <col min="8700" max="8700" width="3" style="114" customWidth="1"/>
    <col min="8701" max="8701" width="17.375" style="114" customWidth="1"/>
    <col min="8702" max="8720" width="12.75" style="114" customWidth="1"/>
    <col min="8721" max="8722" width="16.75" style="114" customWidth="1"/>
    <col min="8723" max="8955" width="8.75" style="114"/>
    <col min="8956" max="8956" width="3" style="114" customWidth="1"/>
    <col min="8957" max="8957" width="17.375" style="114" customWidth="1"/>
    <col min="8958" max="8976" width="12.75" style="114" customWidth="1"/>
    <col min="8977" max="8978" width="16.75" style="114" customWidth="1"/>
    <col min="8979" max="9211" width="8.75" style="114"/>
    <col min="9212" max="9212" width="3" style="114" customWidth="1"/>
    <col min="9213" max="9213" width="17.375" style="114" customWidth="1"/>
    <col min="9214" max="9232" width="12.75" style="114" customWidth="1"/>
    <col min="9233" max="9234" width="16.75" style="114" customWidth="1"/>
    <col min="9235" max="9467" width="8.75" style="114"/>
    <col min="9468" max="9468" width="3" style="114" customWidth="1"/>
    <col min="9469" max="9469" width="17.375" style="114" customWidth="1"/>
    <col min="9470" max="9488" width="12.75" style="114" customWidth="1"/>
    <col min="9489" max="9490" width="16.75" style="114" customWidth="1"/>
    <col min="9491" max="9723" width="8.75" style="114"/>
    <col min="9724" max="9724" width="3" style="114" customWidth="1"/>
    <col min="9725" max="9725" width="17.375" style="114" customWidth="1"/>
    <col min="9726" max="9744" width="12.75" style="114" customWidth="1"/>
    <col min="9745" max="9746" width="16.75" style="114" customWidth="1"/>
    <col min="9747" max="9979" width="8.75" style="114"/>
    <col min="9980" max="9980" width="3" style="114" customWidth="1"/>
    <col min="9981" max="9981" width="17.375" style="114" customWidth="1"/>
    <col min="9982" max="10000" width="12.75" style="114" customWidth="1"/>
    <col min="10001" max="10002" width="16.75" style="114" customWidth="1"/>
    <col min="10003" max="10235" width="8.75" style="114"/>
    <col min="10236" max="10236" width="3" style="114" customWidth="1"/>
    <col min="10237" max="10237" width="17.375" style="114" customWidth="1"/>
    <col min="10238" max="10256" width="12.75" style="114" customWidth="1"/>
    <col min="10257" max="10258" width="16.75" style="114" customWidth="1"/>
    <col min="10259" max="10491" width="8.75" style="114"/>
    <col min="10492" max="10492" width="3" style="114" customWidth="1"/>
    <col min="10493" max="10493" width="17.375" style="114" customWidth="1"/>
    <col min="10494" max="10512" width="12.75" style="114" customWidth="1"/>
    <col min="10513" max="10514" width="16.75" style="114" customWidth="1"/>
    <col min="10515" max="10747" width="8.75" style="114"/>
    <col min="10748" max="10748" width="3" style="114" customWidth="1"/>
    <col min="10749" max="10749" width="17.375" style="114" customWidth="1"/>
    <col min="10750" max="10768" width="12.75" style="114" customWidth="1"/>
    <col min="10769" max="10770" width="16.75" style="114" customWidth="1"/>
    <col min="10771" max="11003" width="8.75" style="114"/>
    <col min="11004" max="11004" width="3" style="114" customWidth="1"/>
    <col min="11005" max="11005" width="17.375" style="114" customWidth="1"/>
    <col min="11006" max="11024" width="12.75" style="114" customWidth="1"/>
    <col min="11025" max="11026" width="16.75" style="114" customWidth="1"/>
    <col min="11027" max="11259" width="8.75" style="114"/>
    <col min="11260" max="11260" width="3" style="114" customWidth="1"/>
    <col min="11261" max="11261" width="17.375" style="114" customWidth="1"/>
    <col min="11262" max="11280" width="12.75" style="114" customWidth="1"/>
    <col min="11281" max="11282" width="16.75" style="114" customWidth="1"/>
    <col min="11283" max="11515" width="8.75" style="114"/>
    <col min="11516" max="11516" width="3" style="114" customWidth="1"/>
    <col min="11517" max="11517" width="17.375" style="114" customWidth="1"/>
    <col min="11518" max="11536" width="12.75" style="114" customWidth="1"/>
    <col min="11537" max="11538" width="16.75" style="114" customWidth="1"/>
    <col min="11539" max="11771" width="8.75" style="114"/>
    <col min="11772" max="11772" width="3" style="114" customWidth="1"/>
    <col min="11773" max="11773" width="17.375" style="114" customWidth="1"/>
    <col min="11774" max="11792" width="12.75" style="114" customWidth="1"/>
    <col min="11793" max="11794" width="16.75" style="114" customWidth="1"/>
    <col min="11795" max="12027" width="8.75" style="114"/>
    <col min="12028" max="12028" width="3" style="114" customWidth="1"/>
    <col min="12029" max="12029" width="17.375" style="114" customWidth="1"/>
    <col min="12030" max="12048" width="12.75" style="114" customWidth="1"/>
    <col min="12049" max="12050" width="16.75" style="114" customWidth="1"/>
    <col min="12051" max="12283" width="8.75" style="114"/>
    <col min="12284" max="12284" width="3" style="114" customWidth="1"/>
    <col min="12285" max="12285" width="17.375" style="114" customWidth="1"/>
    <col min="12286" max="12304" width="12.75" style="114" customWidth="1"/>
    <col min="12305" max="12306" width="16.75" style="114" customWidth="1"/>
    <col min="12307" max="12539" width="8.75" style="114"/>
    <col min="12540" max="12540" width="3" style="114" customWidth="1"/>
    <col min="12541" max="12541" width="17.375" style="114" customWidth="1"/>
    <col min="12542" max="12560" width="12.75" style="114" customWidth="1"/>
    <col min="12561" max="12562" width="16.75" style="114" customWidth="1"/>
    <col min="12563" max="12795" width="8.75" style="114"/>
    <col min="12796" max="12796" width="3" style="114" customWidth="1"/>
    <col min="12797" max="12797" width="17.375" style="114" customWidth="1"/>
    <col min="12798" max="12816" width="12.75" style="114" customWidth="1"/>
    <col min="12817" max="12818" width="16.75" style="114" customWidth="1"/>
    <col min="12819" max="13051" width="8.75" style="114"/>
    <col min="13052" max="13052" width="3" style="114" customWidth="1"/>
    <col min="13053" max="13053" width="17.375" style="114" customWidth="1"/>
    <col min="13054" max="13072" width="12.75" style="114" customWidth="1"/>
    <col min="13073" max="13074" width="16.75" style="114" customWidth="1"/>
    <col min="13075" max="13307" width="8.75" style="114"/>
    <col min="13308" max="13308" width="3" style="114" customWidth="1"/>
    <col min="13309" max="13309" width="17.375" style="114" customWidth="1"/>
    <col min="13310" max="13328" width="12.75" style="114" customWidth="1"/>
    <col min="13329" max="13330" width="16.75" style="114" customWidth="1"/>
    <col min="13331" max="13563" width="8.75" style="114"/>
    <col min="13564" max="13564" width="3" style="114" customWidth="1"/>
    <col min="13565" max="13565" width="17.375" style="114" customWidth="1"/>
    <col min="13566" max="13584" width="12.75" style="114" customWidth="1"/>
    <col min="13585" max="13586" width="16.75" style="114" customWidth="1"/>
    <col min="13587" max="13819" width="8.75" style="114"/>
    <col min="13820" max="13820" width="3" style="114" customWidth="1"/>
    <col min="13821" max="13821" width="17.375" style="114" customWidth="1"/>
    <col min="13822" max="13840" width="12.75" style="114" customWidth="1"/>
    <col min="13841" max="13842" width="16.75" style="114" customWidth="1"/>
    <col min="13843" max="14075" width="8.75" style="114"/>
    <col min="14076" max="14076" width="3" style="114" customWidth="1"/>
    <col min="14077" max="14077" width="17.375" style="114" customWidth="1"/>
    <col min="14078" max="14096" width="12.75" style="114" customWidth="1"/>
    <col min="14097" max="14098" width="16.75" style="114" customWidth="1"/>
    <col min="14099" max="14331" width="8.75" style="114"/>
    <col min="14332" max="14332" width="3" style="114" customWidth="1"/>
    <col min="14333" max="14333" width="17.375" style="114" customWidth="1"/>
    <col min="14334" max="14352" width="12.75" style="114" customWidth="1"/>
    <col min="14353" max="14354" width="16.75" style="114" customWidth="1"/>
    <col min="14355" max="14587" width="8.75" style="114"/>
    <col min="14588" max="14588" width="3" style="114" customWidth="1"/>
    <col min="14589" max="14589" width="17.375" style="114" customWidth="1"/>
    <col min="14590" max="14608" width="12.75" style="114" customWidth="1"/>
    <col min="14609" max="14610" width="16.75" style="114" customWidth="1"/>
    <col min="14611" max="14843" width="8.75" style="114"/>
    <col min="14844" max="14844" width="3" style="114" customWidth="1"/>
    <col min="14845" max="14845" width="17.375" style="114" customWidth="1"/>
    <col min="14846" max="14864" width="12.75" style="114" customWidth="1"/>
    <col min="14865" max="14866" width="16.75" style="114" customWidth="1"/>
    <col min="14867" max="15099" width="8.75" style="114"/>
    <col min="15100" max="15100" width="3" style="114" customWidth="1"/>
    <col min="15101" max="15101" width="17.375" style="114" customWidth="1"/>
    <col min="15102" max="15120" width="12.75" style="114" customWidth="1"/>
    <col min="15121" max="15122" width="16.75" style="114" customWidth="1"/>
    <col min="15123" max="15355" width="8.75" style="114"/>
    <col min="15356" max="15356" width="3" style="114" customWidth="1"/>
    <col min="15357" max="15357" width="17.375" style="114" customWidth="1"/>
    <col min="15358" max="15376" width="12.75" style="114" customWidth="1"/>
    <col min="15377" max="15378" width="16.75" style="114" customWidth="1"/>
    <col min="15379" max="15611" width="8.75" style="114"/>
    <col min="15612" max="15612" width="3" style="114" customWidth="1"/>
    <col min="15613" max="15613" width="17.375" style="114" customWidth="1"/>
    <col min="15614" max="15632" width="12.75" style="114" customWidth="1"/>
    <col min="15633" max="15634" width="16.75" style="114" customWidth="1"/>
    <col min="15635" max="15867" width="8.75" style="114"/>
    <col min="15868" max="15868" width="3" style="114" customWidth="1"/>
    <col min="15869" max="15869" width="17.375" style="114" customWidth="1"/>
    <col min="15870" max="15888" width="12.75" style="114" customWidth="1"/>
    <col min="15889" max="15890" width="16.75" style="114" customWidth="1"/>
    <col min="15891" max="16123" width="8.75" style="114"/>
    <col min="16124" max="16124" width="3" style="114" customWidth="1"/>
    <col min="16125" max="16125" width="17.375" style="114" customWidth="1"/>
    <col min="16126" max="16144" width="12.75" style="114" customWidth="1"/>
    <col min="16145" max="16146" width="16.75" style="114" customWidth="1"/>
    <col min="16147" max="16384" width="8.75" style="114"/>
  </cols>
  <sheetData>
    <row r="1" spans="2:28">
      <c r="B1" s="237"/>
      <c r="C1" s="237" t="str">
        <f>'A-1. 별도FS_20'!D1</f>
        <v>연결 v6.0</v>
      </c>
    </row>
    <row r="2" spans="2:28" ht="17.45" customHeight="1">
      <c r="B2" s="112"/>
      <c r="C2" s="113"/>
      <c r="D2" s="364" t="s">
        <v>752</v>
      </c>
      <c r="E2" s="365"/>
    </row>
    <row r="3" spans="2:28" ht="19.899999999999999" customHeight="1">
      <c r="B3" s="112"/>
      <c r="C3" s="113"/>
      <c r="D3" s="365"/>
      <c r="E3" s="365"/>
      <c r="W3" s="116"/>
    </row>
    <row r="4" spans="2:28" s="117" customFormat="1">
      <c r="C4" s="118" t="str">
        <f>[197]정산표!C5</f>
        <v>Balance Verification</v>
      </c>
      <c r="D4" s="119">
        <f>D100-D153</f>
        <v>0</v>
      </c>
      <c r="E4" s="119">
        <f>E100-E153</f>
        <v>544000000</v>
      </c>
      <c r="F4" s="117" t="s">
        <v>543</v>
      </c>
      <c r="G4" s="120">
        <f>SUM(G8:G153)</f>
        <v>0</v>
      </c>
      <c r="I4" s="121"/>
      <c r="N4" s="122"/>
      <c r="O4" s="122"/>
      <c r="P4" s="122"/>
      <c r="Q4" s="122"/>
      <c r="R4" s="122"/>
      <c r="S4" s="122"/>
      <c r="T4" s="123" t="s">
        <v>544</v>
      </c>
      <c r="U4" s="124"/>
      <c r="V4" s="125">
        <f>T154-V154</f>
        <v>0</v>
      </c>
      <c r="W4" s="122"/>
      <c r="X4" s="126">
        <f>SUM(W10:W153)-SUM(X10:X153)</f>
        <v>0</v>
      </c>
      <c r="Y4" s="122"/>
      <c r="Z4" s="126">
        <f>SUM(Y10:Y153)-SUM(Z10:Z153)</f>
        <v>-20300003</v>
      </c>
    </row>
    <row r="5" spans="2:28" s="117" customFormat="1" ht="13.15" customHeight="1">
      <c r="B5" s="366" t="s">
        <v>545</v>
      </c>
      <c r="C5" s="367" t="s">
        <v>546</v>
      </c>
      <c r="D5" s="127">
        <v>43830</v>
      </c>
      <c r="E5" s="127">
        <v>44196</v>
      </c>
      <c r="F5" s="368" t="s">
        <v>547</v>
      </c>
      <c r="G5" s="368" t="s">
        <v>548</v>
      </c>
      <c r="H5" s="128"/>
      <c r="I5" s="128"/>
      <c r="J5" s="128" t="s">
        <v>549</v>
      </c>
      <c r="K5" s="128"/>
      <c r="L5" s="128"/>
      <c r="M5" s="128"/>
      <c r="N5" s="129"/>
      <c r="O5" s="362" t="s">
        <v>550</v>
      </c>
      <c r="P5" s="362"/>
      <c r="Q5" s="361" t="s">
        <v>551</v>
      </c>
      <c r="R5" s="361"/>
      <c r="S5" s="362" t="s">
        <v>552</v>
      </c>
      <c r="T5" s="362"/>
      <c r="U5" s="362"/>
      <c r="V5" s="362"/>
      <c r="W5" s="363" t="s">
        <v>699</v>
      </c>
      <c r="X5" s="363"/>
      <c r="Y5" s="362" t="s">
        <v>601</v>
      </c>
      <c r="Z5" s="362"/>
    </row>
    <row r="6" spans="2:28" s="117" customFormat="1" ht="24">
      <c r="B6" s="367"/>
      <c r="C6" s="367"/>
      <c r="D6" s="130" t="s">
        <v>553</v>
      </c>
      <c r="E6" s="130" t="s">
        <v>553</v>
      </c>
      <c r="F6" s="369"/>
      <c r="G6" s="369"/>
      <c r="H6" s="128" t="s">
        <v>554</v>
      </c>
      <c r="I6" s="128" t="s">
        <v>555</v>
      </c>
      <c r="J6" s="128" t="s">
        <v>556</v>
      </c>
      <c r="K6" s="128" t="s">
        <v>557</v>
      </c>
      <c r="L6" s="128" t="s">
        <v>558</v>
      </c>
      <c r="M6" s="128" t="s">
        <v>559</v>
      </c>
      <c r="N6" s="131" t="s">
        <v>560</v>
      </c>
      <c r="O6" s="132" t="s">
        <v>561</v>
      </c>
      <c r="P6" s="132" t="s">
        <v>562</v>
      </c>
      <c r="Q6" s="129" t="s">
        <v>561</v>
      </c>
      <c r="R6" s="129" t="s">
        <v>562</v>
      </c>
      <c r="S6" s="132" t="s">
        <v>563</v>
      </c>
      <c r="T6" s="132" t="s">
        <v>564</v>
      </c>
      <c r="U6" s="132" t="s">
        <v>563</v>
      </c>
      <c r="V6" s="132" t="s">
        <v>565</v>
      </c>
      <c r="W6" s="133" t="s">
        <v>564</v>
      </c>
      <c r="X6" s="133" t="s">
        <v>565</v>
      </c>
      <c r="Y6" s="188" t="s">
        <v>750</v>
      </c>
      <c r="Z6" s="188" t="s">
        <v>751</v>
      </c>
    </row>
    <row r="7" spans="2:28">
      <c r="B7" s="134"/>
      <c r="C7" s="134" t="s">
        <v>14</v>
      </c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</row>
    <row r="8" spans="2:28">
      <c r="B8" s="134"/>
      <c r="C8" s="134" t="s">
        <v>566</v>
      </c>
      <c r="D8" s="136">
        <f>D9+D34</f>
        <v>24638446052</v>
      </c>
      <c r="E8" s="136">
        <f>E9+E34</f>
        <v>574153013684</v>
      </c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</row>
    <row r="9" spans="2:28">
      <c r="B9" s="137"/>
      <c r="C9" s="137" t="s">
        <v>567</v>
      </c>
      <c r="D9" s="138">
        <f>SUM(D10:D33)</f>
        <v>16881583202</v>
      </c>
      <c r="E9" s="138">
        <f>SUM(E10:E33)</f>
        <v>521058894587</v>
      </c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 spans="2:28">
      <c r="B10" s="139" t="s">
        <v>17</v>
      </c>
      <c r="C10" s="139" t="s">
        <v>18</v>
      </c>
      <c r="D10" s="140">
        <f>CFwp_Korea!D10+CFwp_US_KRW!D10</f>
        <v>1058619929</v>
      </c>
      <c r="E10" s="140">
        <f>CFwp_Korea!E10+CFwp_US_KRW!E10</f>
        <v>9847943</v>
      </c>
      <c r="F10" s="141"/>
      <c r="G10" s="142"/>
      <c r="H10" s="143" t="s">
        <v>410</v>
      </c>
      <c r="I10" s="140">
        <f>CFwp_Korea!I10+CFwp_US_KRW!I10</f>
        <v>0</v>
      </c>
      <c r="J10" s="140">
        <f>CFwp_Korea!J10+CFwp_US_KRW!J10</f>
        <v>384991529</v>
      </c>
      <c r="K10" s="140">
        <f>CFwp_Korea!K10+CFwp_US_KRW!K10</f>
        <v>0</v>
      </c>
      <c r="L10" s="140">
        <f>CFwp_Korea!L10+CFwp_US_KRW!L10</f>
        <v>0</v>
      </c>
      <c r="M10" s="140">
        <f>CFwp_Korea!M10+CFwp_US_KRW!M10</f>
        <v>0</v>
      </c>
      <c r="N10" s="140">
        <f>CFwp_Korea!N10+CFwp_US_KRW!N10</f>
        <v>0</v>
      </c>
      <c r="O10" s="140">
        <f>CFwp_Korea!O10+CFwp_US_KRW!O10</f>
        <v>0</v>
      </c>
      <c r="P10" s="140">
        <f>CFwp_Korea!P10+CFwp_US_KRW!P10</f>
        <v>0</v>
      </c>
      <c r="Q10" s="140">
        <f>CFwp_Korea!Q10+CFwp_US_KRW!Q10</f>
        <v>0</v>
      </c>
      <c r="R10" s="140">
        <f>CFwp_Korea!R10+CFwp_US_KRW!R10</f>
        <v>0</v>
      </c>
      <c r="S10" s="140">
        <f>CFwp_Korea!S10+CFwp_US_KRW!S10</f>
        <v>0</v>
      </c>
      <c r="T10" s="140">
        <f>CFwp_Korea!T10+CFwp_US_KRW!T10</f>
        <v>0</v>
      </c>
      <c r="U10" s="140">
        <f>CFwp_Korea!U10+CFwp_US_KRW!U10</f>
        <v>0</v>
      </c>
      <c r="V10" s="140">
        <f>CFwp_Korea!V10+CFwp_US_KRW!V10</f>
        <v>0</v>
      </c>
      <c r="W10" s="140">
        <f>CFwp_Korea!W10+CFwp_US_KRW!W10</f>
        <v>0</v>
      </c>
      <c r="X10" s="140">
        <f>CFwp_Korea!X10+CFwp_US_KRW!X10</f>
        <v>0</v>
      </c>
      <c r="Y10" s="140">
        <f>CFwp_Korea!Y10+CFwp_US_KRW!Y10</f>
        <v>0</v>
      </c>
      <c r="Z10" s="140">
        <f>CFwp_Korea!Z10+CFwp_US_KRW!Z10</f>
        <v>0</v>
      </c>
      <c r="AA10" s="182"/>
      <c r="AB10" s="182"/>
    </row>
    <row r="11" spans="2:28">
      <c r="B11" s="139" t="s">
        <v>21</v>
      </c>
      <c r="C11" s="139" t="s">
        <v>22</v>
      </c>
      <c r="D11" s="140">
        <f>CFwp_Korea!D11+CFwp_US_KRW!D11</f>
        <v>5517522912</v>
      </c>
      <c r="E11" s="140">
        <f>CFwp_Korea!E11+CFwp_US_KRW!E11</f>
        <v>123627275922</v>
      </c>
      <c r="F11" s="141"/>
      <c r="G11" s="142"/>
      <c r="H11" s="143" t="s">
        <v>428</v>
      </c>
      <c r="I11" s="140">
        <f>CFwp_Korea!I11+CFwp_US_KRW!I11</f>
        <v>384991529</v>
      </c>
      <c r="J11" s="140">
        <f>CFwp_Korea!J11+CFwp_US_KRW!J11</f>
        <v>0</v>
      </c>
      <c r="K11" s="140">
        <f>CFwp_Korea!K11+CFwp_US_KRW!K11</f>
        <v>0</v>
      </c>
      <c r="L11" s="140">
        <f>CFwp_Korea!L11+CFwp_US_KRW!L11</f>
        <v>0</v>
      </c>
      <c r="M11" s="140">
        <f>CFwp_Korea!M11+CFwp_US_KRW!M11</f>
        <v>0</v>
      </c>
      <c r="N11" s="140">
        <f>CFwp_Korea!N11+CFwp_US_KRW!N11</f>
        <v>0</v>
      </c>
      <c r="O11" s="140">
        <f>CFwp_Korea!O11+CFwp_US_KRW!O11</f>
        <v>0</v>
      </c>
      <c r="P11" s="140">
        <f>CFwp_Korea!P11+CFwp_US_KRW!P11</f>
        <v>0</v>
      </c>
      <c r="Q11" s="140">
        <f>CFwp_Korea!Q11+CFwp_US_KRW!Q11</f>
        <v>0</v>
      </c>
      <c r="R11" s="140">
        <f>CFwp_Korea!R11+CFwp_US_KRW!R11</f>
        <v>0</v>
      </c>
      <c r="S11" s="140">
        <f>CFwp_Korea!S11+CFwp_US_KRW!S11</f>
        <v>0</v>
      </c>
      <c r="T11" s="140">
        <f>CFwp_Korea!T11+CFwp_US_KRW!T11</f>
        <v>0</v>
      </c>
      <c r="U11" s="140">
        <f>CFwp_Korea!U11+CFwp_US_KRW!U11</f>
        <v>0</v>
      </c>
      <c r="V11" s="140">
        <f>CFwp_Korea!V11+CFwp_US_KRW!V11</f>
        <v>0</v>
      </c>
      <c r="W11" s="140">
        <f>CFwp_Korea!W11+CFwp_US_KRW!W11</f>
        <v>0</v>
      </c>
      <c r="X11" s="140">
        <f>CFwp_Korea!X11+CFwp_US_KRW!X11</f>
        <v>0</v>
      </c>
      <c r="Y11" s="140">
        <f>CFwp_Korea!Y11+CFwp_US_KRW!Y11</f>
        <v>0</v>
      </c>
      <c r="Z11" s="140">
        <f>CFwp_Korea!Z11+CFwp_US_KRW!Z11</f>
        <v>0</v>
      </c>
      <c r="AA11" s="182"/>
      <c r="AB11" s="182"/>
    </row>
    <row r="12" spans="2:28">
      <c r="B12" s="139" t="s">
        <v>23</v>
      </c>
      <c r="C12" s="139" t="s">
        <v>24</v>
      </c>
      <c r="D12" s="140">
        <f>CFwp_Korea!D12+CFwp_US_KRW!D12</f>
        <v>0</v>
      </c>
      <c r="E12" s="140">
        <f>CFwp_Korea!E12+CFwp_US_KRW!E12</f>
        <v>-13293321</v>
      </c>
      <c r="F12" s="146"/>
      <c r="G12" s="146"/>
      <c r="H12" s="147"/>
      <c r="I12" s="140">
        <f>CFwp_Korea!I12+CFwp_US_KRW!I12</f>
        <v>0</v>
      </c>
      <c r="J12" s="140">
        <f>CFwp_Korea!J12+CFwp_US_KRW!J12</f>
        <v>0</v>
      </c>
      <c r="K12" s="140">
        <f>CFwp_Korea!K12+CFwp_US_KRW!K12</f>
        <v>0</v>
      </c>
      <c r="L12" s="140">
        <f>CFwp_Korea!L12+CFwp_US_KRW!L12</f>
        <v>0</v>
      </c>
      <c r="M12" s="140">
        <f>CFwp_Korea!M12+CFwp_US_KRW!M12</f>
        <v>0</v>
      </c>
      <c r="N12" s="140">
        <f>CFwp_Korea!N12+CFwp_US_KRW!N12</f>
        <v>0</v>
      </c>
      <c r="O12" s="140">
        <f>CFwp_Korea!O12+CFwp_US_KRW!O12</f>
        <v>0</v>
      </c>
      <c r="P12" s="140">
        <f>CFwp_Korea!P12+CFwp_US_KRW!P12</f>
        <v>0</v>
      </c>
      <c r="Q12" s="140">
        <f>CFwp_Korea!Q12+CFwp_US_KRW!Q12</f>
        <v>0</v>
      </c>
      <c r="R12" s="140">
        <f>CFwp_Korea!R12+CFwp_US_KRW!R12</f>
        <v>0</v>
      </c>
      <c r="S12" s="140">
        <f>CFwp_Korea!S12+CFwp_US_KRW!S12</f>
        <v>0</v>
      </c>
      <c r="T12" s="140">
        <f>CFwp_Korea!T12+CFwp_US_KRW!T12</f>
        <v>0</v>
      </c>
      <c r="U12" s="140">
        <f>CFwp_Korea!U12+CFwp_US_KRW!U12</f>
        <v>0</v>
      </c>
      <c r="V12" s="140">
        <f>CFwp_Korea!V12+CFwp_US_KRW!V12</f>
        <v>0</v>
      </c>
      <c r="W12" s="140">
        <f>CFwp_Korea!W12+CFwp_US_KRW!W12</f>
        <v>0</v>
      </c>
      <c r="X12" s="140">
        <f>CFwp_Korea!X12+CFwp_US_KRW!X12</f>
        <v>0</v>
      </c>
      <c r="Y12" s="140">
        <f>CFwp_Korea!Y12+CFwp_US_KRW!Y12</f>
        <v>0</v>
      </c>
      <c r="Z12" s="140">
        <f>CFwp_Korea!Z12+CFwp_US_KRW!Z12</f>
        <v>0</v>
      </c>
      <c r="AA12" s="182"/>
      <c r="AB12" s="182"/>
    </row>
    <row r="13" spans="2:28">
      <c r="B13" s="139" t="s">
        <v>25</v>
      </c>
      <c r="C13" s="139" t="s">
        <v>26</v>
      </c>
      <c r="D13" s="140">
        <f>CFwp_Korea!D13+CFwp_US_KRW!D13</f>
        <v>0</v>
      </c>
      <c r="E13" s="140">
        <f>CFwp_Korea!E13+CFwp_US_KRW!E13</f>
        <v>40000000000</v>
      </c>
      <c r="F13" s="146">
        <f>E13-D13</f>
        <v>40000000000</v>
      </c>
      <c r="G13" s="146">
        <f>J13-K13+N13+O13-P13+Q13-R13-T13+V13+F13-W13+X13-Y13+Z13</f>
        <v>0</v>
      </c>
      <c r="H13" s="147"/>
      <c r="I13" s="140">
        <f>CFwp_Korea!I13+CFwp_US_KRW!I13</f>
        <v>0</v>
      </c>
      <c r="J13" s="140">
        <f>CFwp_Korea!J13+CFwp_US_KRW!J13</f>
        <v>0</v>
      </c>
      <c r="K13" s="140">
        <f>CFwp_Korea!K13+CFwp_US_KRW!K13</f>
        <v>0</v>
      </c>
      <c r="L13" s="140">
        <f>CFwp_Korea!L13+CFwp_US_KRW!L13</f>
        <v>0</v>
      </c>
      <c r="M13" s="140">
        <f>CFwp_Korea!M13+CFwp_US_KRW!M13</f>
        <v>0</v>
      </c>
      <c r="N13" s="140">
        <f>CFwp_Korea!N13+CFwp_US_KRW!N13</f>
        <v>0</v>
      </c>
      <c r="O13" s="140">
        <f>CFwp_Korea!O13+CFwp_US_KRW!O13</f>
        <v>0</v>
      </c>
      <c r="P13" s="140">
        <f>CFwp_Korea!P13+CFwp_US_KRW!P13</f>
        <v>40000000000</v>
      </c>
      <c r="Q13" s="140">
        <f>CFwp_Korea!Q13+CFwp_US_KRW!Q13</f>
        <v>0</v>
      </c>
      <c r="R13" s="140">
        <f>CFwp_Korea!R13+CFwp_US_KRW!R13</f>
        <v>0</v>
      </c>
      <c r="S13" s="140">
        <f>CFwp_Korea!S13+CFwp_US_KRW!S13</f>
        <v>0</v>
      </c>
      <c r="T13" s="140">
        <f>CFwp_Korea!T13+CFwp_US_KRW!T13</f>
        <v>0</v>
      </c>
      <c r="U13" s="140">
        <f>CFwp_Korea!U13+CFwp_US_KRW!U13</f>
        <v>0</v>
      </c>
      <c r="V13" s="140">
        <f>CFwp_Korea!V13+CFwp_US_KRW!V13</f>
        <v>0</v>
      </c>
      <c r="W13" s="140">
        <f>CFwp_Korea!W13+CFwp_US_KRW!W13</f>
        <v>0</v>
      </c>
      <c r="X13" s="140">
        <f>CFwp_Korea!X13+CFwp_US_KRW!X13</f>
        <v>0</v>
      </c>
      <c r="Y13" s="140">
        <f>CFwp_Korea!Y13+CFwp_US_KRW!Y13</f>
        <v>0</v>
      </c>
      <c r="Z13" s="140">
        <f>CFwp_Korea!Z13+CFwp_US_KRW!Z13</f>
        <v>0</v>
      </c>
      <c r="AA13" s="182"/>
      <c r="AB13" s="182"/>
    </row>
    <row r="14" spans="2:28">
      <c r="B14" s="139" t="s">
        <v>29</v>
      </c>
      <c r="C14" s="139" t="s">
        <v>30</v>
      </c>
      <c r="D14" s="140">
        <f>CFwp_Korea!D14+CFwp_US_KRW!D14</f>
        <v>1001420524</v>
      </c>
      <c r="E14" s="140">
        <f>CFwp_Korea!E14+CFwp_US_KRW!E14</f>
        <v>40530571199</v>
      </c>
      <c r="F14" s="146">
        <f>E14-D14</f>
        <v>39529150675</v>
      </c>
      <c r="G14" s="146">
        <f t="shared" ref="G14:G34" si="0">J14-K14+N14+O14-P14+Q14-R14-T14+V14+F14-W14+X14-Y14+Z14</f>
        <v>0</v>
      </c>
      <c r="H14" s="147" t="s">
        <v>526</v>
      </c>
      <c r="I14" s="140">
        <f>CFwp_Korea!I14+CFwp_US_KRW!I14</f>
        <v>29150675</v>
      </c>
      <c r="J14" s="140">
        <f>CFwp_Korea!J14+CFwp_US_KRW!J14</f>
        <v>0</v>
      </c>
      <c r="K14" s="140">
        <f>CFwp_Korea!K14+CFwp_US_KRW!K14</f>
        <v>36575537</v>
      </c>
      <c r="L14" s="140">
        <f>CFwp_Korea!L14+CFwp_US_KRW!L14</f>
        <v>0</v>
      </c>
      <c r="M14" s="140">
        <f>CFwp_Korea!M14+CFwp_US_KRW!M14</f>
        <v>0</v>
      </c>
      <c r="N14" s="140">
        <f>CFwp_Korea!N14+CFwp_US_KRW!N14</f>
        <v>0</v>
      </c>
      <c r="O14" s="140">
        <f>CFwp_Korea!O14+CFwp_US_KRW!O14</f>
        <v>8107424862</v>
      </c>
      <c r="P14" s="140">
        <f>CFwp_Korea!P14+CFwp_US_KRW!P14</f>
        <v>47600000000</v>
      </c>
      <c r="Q14" s="140">
        <f>CFwp_Korea!Q14+CFwp_US_KRW!Q14</f>
        <v>0</v>
      </c>
      <c r="R14" s="140">
        <f>CFwp_Korea!R14+CFwp_US_KRW!R14</f>
        <v>0</v>
      </c>
      <c r="S14" s="140">
        <f>CFwp_Korea!S14+CFwp_US_KRW!S14</f>
        <v>0</v>
      </c>
      <c r="T14" s="140">
        <f>CFwp_Korea!T14+CFwp_US_KRW!T14</f>
        <v>0</v>
      </c>
      <c r="U14" s="140">
        <f>CFwp_Korea!U14+CFwp_US_KRW!U14</f>
        <v>0</v>
      </c>
      <c r="V14" s="140">
        <f>CFwp_Korea!V14+CFwp_US_KRW!V14</f>
        <v>0</v>
      </c>
      <c r="W14" s="140">
        <f>CFwp_Korea!W14+CFwp_US_KRW!W14</f>
        <v>0</v>
      </c>
      <c r="X14" s="140">
        <f>CFwp_Korea!X14+CFwp_US_KRW!X14</f>
        <v>0</v>
      </c>
      <c r="Y14" s="140">
        <f>CFwp_Korea!Y14+CFwp_US_KRW!Y14</f>
        <v>0</v>
      </c>
      <c r="Z14" s="140">
        <f>CFwp_Korea!Z14+CFwp_US_KRW!Z14</f>
        <v>0</v>
      </c>
      <c r="AA14" s="182"/>
      <c r="AB14" s="182"/>
    </row>
    <row r="15" spans="2:28">
      <c r="B15" s="139"/>
      <c r="C15" s="139"/>
      <c r="D15" s="140"/>
      <c r="E15" s="140"/>
      <c r="F15" s="146"/>
      <c r="G15" s="146"/>
      <c r="H15" s="147" t="s">
        <v>959</v>
      </c>
      <c r="I15" s="140">
        <f>CFwp_Korea!I15+CFwp_US_KRW!I15</f>
        <v>7424862</v>
      </c>
      <c r="J15" s="140">
        <f>CFwp_Korea!J15+CFwp_US_KRW!J15</f>
        <v>0</v>
      </c>
      <c r="K15" s="140">
        <f>CFwp_Korea!K15+CFwp_US_KRW!K15</f>
        <v>0</v>
      </c>
      <c r="L15" s="140">
        <f>CFwp_Korea!L15+CFwp_US_KRW!L15</f>
        <v>0</v>
      </c>
      <c r="M15" s="140">
        <f>CFwp_Korea!M15+CFwp_US_KRW!M15</f>
        <v>0</v>
      </c>
      <c r="N15" s="140">
        <f>CFwp_Korea!N15+CFwp_US_KRW!N15</f>
        <v>0</v>
      </c>
      <c r="O15" s="140">
        <f>CFwp_Korea!O15+CFwp_US_KRW!O15</f>
        <v>0</v>
      </c>
      <c r="P15" s="140">
        <f>CFwp_Korea!P15+CFwp_US_KRW!P15</f>
        <v>0</v>
      </c>
      <c r="Q15" s="140">
        <f>CFwp_Korea!Q15+CFwp_US_KRW!Q15</f>
        <v>0</v>
      </c>
      <c r="R15" s="140">
        <f>CFwp_Korea!R15+CFwp_US_KRW!R15</f>
        <v>0</v>
      </c>
      <c r="S15" s="140">
        <f>CFwp_Korea!S15+CFwp_US_KRW!S15</f>
        <v>0</v>
      </c>
      <c r="T15" s="140">
        <f>CFwp_Korea!T15+CFwp_US_KRW!T15</f>
        <v>0</v>
      </c>
      <c r="U15" s="140">
        <f>CFwp_Korea!U15+CFwp_US_KRW!U15</f>
        <v>0</v>
      </c>
      <c r="V15" s="140">
        <f>CFwp_Korea!V15+CFwp_US_KRW!V15</f>
        <v>0</v>
      </c>
      <c r="W15" s="140">
        <f>CFwp_Korea!W15+CFwp_US_KRW!W15</f>
        <v>0</v>
      </c>
      <c r="X15" s="140">
        <f>CFwp_Korea!X15+CFwp_US_KRW!X15</f>
        <v>0</v>
      </c>
      <c r="Y15" s="140">
        <f>CFwp_Korea!Y15+CFwp_US_KRW!Y15</f>
        <v>0</v>
      </c>
      <c r="Z15" s="140">
        <f>CFwp_Korea!Z15+CFwp_US_KRW!Z15</f>
        <v>0</v>
      </c>
      <c r="AA15" s="182"/>
      <c r="AB15" s="182"/>
    </row>
    <row r="16" spans="2:28">
      <c r="B16" s="139" t="s">
        <v>31</v>
      </c>
      <c r="C16" s="139" t="s">
        <v>32</v>
      </c>
      <c r="D16" s="140">
        <f>CFwp_Korea!D16+CFwp_US_KRW!D16</f>
        <v>9358066120</v>
      </c>
      <c r="E16" s="140">
        <f>CFwp_Korea!E16+CFwp_US_KRW!E16</f>
        <v>311336848615</v>
      </c>
      <c r="F16" s="146">
        <f t="shared" ref="F16:F34" si="1">E16-D16</f>
        <v>301978782495</v>
      </c>
      <c r="G16" s="146">
        <f t="shared" si="0"/>
        <v>0</v>
      </c>
      <c r="H16" s="143" t="s">
        <v>410</v>
      </c>
      <c r="I16" s="140">
        <f>CFwp_Korea!I16+CFwp_US_KRW!I16</f>
        <v>0</v>
      </c>
      <c r="J16" s="140">
        <f>CFwp_Korea!J16+CFwp_US_KRW!J16</f>
        <v>3249273607</v>
      </c>
      <c r="K16" s="140">
        <f>CFwp_Korea!K16+CFwp_US_KRW!K16</f>
        <v>0</v>
      </c>
      <c r="L16" s="140">
        <f>CFwp_Korea!L16+CFwp_US_KRW!L16</f>
        <v>-305620951415</v>
      </c>
      <c r="M16" s="140">
        <f>CFwp_Korea!M16+CFwp_US_KRW!M16</f>
        <v>0</v>
      </c>
      <c r="N16" s="140">
        <f>CFwp_Korea!N16+CFwp_US_KRW!N16</f>
        <v>-305620951415</v>
      </c>
      <c r="O16" s="140">
        <f>CFwp_Korea!O16+CFwp_US_KRW!O16</f>
        <v>0</v>
      </c>
      <c r="P16" s="140">
        <f>CFwp_Korea!P16+CFwp_US_KRW!P16</f>
        <v>0</v>
      </c>
      <c r="Q16" s="140">
        <f>CFwp_Korea!Q16+CFwp_US_KRW!Q16</f>
        <v>0</v>
      </c>
      <c r="R16" s="140">
        <f>CFwp_Korea!R16+CFwp_US_KRW!R16</f>
        <v>0</v>
      </c>
      <c r="S16" s="140">
        <f>CFwp_Korea!S16+CFwp_US_KRW!S16</f>
        <v>0</v>
      </c>
      <c r="T16" s="140">
        <f>CFwp_Korea!T16+CFwp_US_KRW!T16</f>
        <v>0</v>
      </c>
      <c r="U16" s="140">
        <f>CFwp_Korea!U16+CFwp_US_KRW!U16</f>
        <v>0</v>
      </c>
      <c r="V16" s="140">
        <f>CFwp_Korea!V16+CFwp_US_KRW!V16</f>
        <v>384410227</v>
      </c>
      <c r="W16" s="140">
        <f>CFwp_Korea!W16+CFwp_US_KRW!W16</f>
        <v>0</v>
      </c>
      <c r="X16" s="140">
        <f>CFwp_Korea!X16+CFwp_US_KRW!X16</f>
        <v>0</v>
      </c>
      <c r="Y16" s="140">
        <f>CFwp_Korea!Y16+CFwp_US_KRW!Y16</f>
        <v>0</v>
      </c>
      <c r="Z16" s="140">
        <f>CFwp_Korea!Z16+CFwp_US_KRW!Z16</f>
        <v>8485086</v>
      </c>
      <c r="AA16" s="182"/>
      <c r="AB16" s="182"/>
    </row>
    <row r="17" spans="2:28">
      <c r="B17" s="139"/>
      <c r="C17" s="139"/>
      <c r="D17" s="140">
        <f>CFwp_Korea!D17+CFwp_US_KRW!D17</f>
        <v>0</v>
      </c>
      <c r="E17" s="140">
        <f>CFwp_Korea!E17+CFwp_US_KRW!E17</f>
        <v>0</v>
      </c>
      <c r="F17" s="146"/>
      <c r="G17" s="146">
        <f t="shared" si="0"/>
        <v>0</v>
      </c>
      <c r="H17" s="143" t="s">
        <v>428</v>
      </c>
      <c r="I17" s="140">
        <f>CFwp_Korea!I17+CFwp_US_KRW!I17</f>
        <v>3249273607</v>
      </c>
      <c r="J17" s="140">
        <f>CFwp_Korea!J17+CFwp_US_KRW!J17</f>
        <v>0</v>
      </c>
      <c r="K17" s="140">
        <f>CFwp_Korea!K17+CFwp_US_KRW!K17</f>
        <v>0</v>
      </c>
      <c r="L17" s="140">
        <f>CFwp_Korea!L17+CFwp_US_KRW!L17</f>
        <v>0</v>
      </c>
      <c r="M17" s="140">
        <f>CFwp_Korea!M17+CFwp_US_KRW!M17</f>
        <v>0</v>
      </c>
      <c r="N17" s="140">
        <f>CFwp_Korea!N17+CFwp_US_KRW!N17</f>
        <v>0</v>
      </c>
      <c r="O17" s="140">
        <f>CFwp_Korea!O17+CFwp_US_KRW!O17</f>
        <v>0</v>
      </c>
      <c r="P17" s="140">
        <f>CFwp_Korea!P17+CFwp_US_KRW!P17</f>
        <v>0</v>
      </c>
      <c r="Q17" s="140">
        <f>CFwp_Korea!Q17+CFwp_US_KRW!Q17</f>
        <v>0</v>
      </c>
      <c r="R17" s="140">
        <f>CFwp_Korea!R17+CFwp_US_KRW!R17</f>
        <v>0</v>
      </c>
      <c r="S17" s="140">
        <f>CFwp_Korea!S17+CFwp_US_KRW!S17</f>
        <v>0</v>
      </c>
      <c r="T17" s="140">
        <f>CFwp_Korea!T17+CFwp_US_KRW!T17</f>
        <v>0</v>
      </c>
      <c r="U17" s="140">
        <f>CFwp_Korea!U17+CFwp_US_KRW!U17</f>
        <v>0</v>
      </c>
      <c r="V17" s="140">
        <f>CFwp_Korea!V17+CFwp_US_KRW!V17</f>
        <v>0</v>
      </c>
      <c r="W17" s="140">
        <f>CFwp_Korea!W17+CFwp_US_KRW!W17</f>
        <v>0</v>
      </c>
      <c r="X17" s="140">
        <f>CFwp_Korea!X17+CFwp_US_KRW!X17</f>
        <v>0</v>
      </c>
      <c r="Y17" s="140">
        <f>CFwp_Korea!Y17+CFwp_US_KRW!Y17</f>
        <v>0</v>
      </c>
      <c r="Z17" s="140">
        <f>CFwp_Korea!Z17+CFwp_US_KRW!Z17</f>
        <v>0</v>
      </c>
      <c r="AA17" s="182"/>
      <c r="AB17" s="182"/>
    </row>
    <row r="18" spans="2:28">
      <c r="B18" s="139" t="s">
        <v>35</v>
      </c>
      <c r="C18" s="139" t="s">
        <v>36</v>
      </c>
      <c r="D18" s="140">
        <f>CFwp_Korea!D18+CFwp_US_KRW!D18</f>
        <v>0</v>
      </c>
      <c r="E18" s="140">
        <f>CFwp_Korea!E18+CFwp_US_KRW!E18</f>
        <v>0</v>
      </c>
      <c r="F18" s="146">
        <f t="shared" si="1"/>
        <v>0</v>
      </c>
      <c r="G18" s="146">
        <f t="shared" si="0"/>
        <v>0</v>
      </c>
      <c r="H18" s="143" t="s">
        <v>390</v>
      </c>
      <c r="I18" s="140">
        <f>CFwp_Korea!I18+CFwp_US_KRW!I18</f>
        <v>0</v>
      </c>
      <c r="J18" s="140">
        <f>CFwp_Korea!J18+CFwp_US_KRW!J18</f>
        <v>0</v>
      </c>
      <c r="K18" s="140">
        <f>CFwp_Korea!K18+CFwp_US_KRW!K18</f>
        <v>0</v>
      </c>
      <c r="L18" s="140">
        <f>CFwp_Korea!L18+CFwp_US_KRW!L18</f>
        <v>0</v>
      </c>
      <c r="M18" s="140">
        <f>CFwp_Korea!M18+CFwp_US_KRW!M18</f>
        <v>0</v>
      </c>
      <c r="N18" s="140">
        <f>CFwp_Korea!N18+CFwp_US_KRW!N18</f>
        <v>0</v>
      </c>
      <c r="O18" s="140">
        <f>CFwp_Korea!O18+CFwp_US_KRW!O18</f>
        <v>0</v>
      </c>
      <c r="P18" s="140">
        <f>CFwp_Korea!P18+CFwp_US_KRW!P18</f>
        <v>0</v>
      </c>
      <c r="Q18" s="140">
        <f>CFwp_Korea!Q18+CFwp_US_KRW!Q18</f>
        <v>0</v>
      </c>
      <c r="R18" s="140">
        <f>CFwp_Korea!R18+CFwp_US_KRW!R18</f>
        <v>0</v>
      </c>
      <c r="S18" s="140">
        <f>CFwp_Korea!S18+CFwp_US_KRW!S18</f>
        <v>0</v>
      </c>
      <c r="T18" s="140">
        <f>CFwp_Korea!T18+CFwp_US_KRW!T18</f>
        <v>0</v>
      </c>
      <c r="U18" s="140">
        <f>CFwp_Korea!U18+CFwp_US_KRW!U18</f>
        <v>0</v>
      </c>
      <c r="V18" s="140">
        <f>CFwp_Korea!V18+CFwp_US_KRW!V18</f>
        <v>0</v>
      </c>
      <c r="W18" s="140">
        <f>CFwp_Korea!W18+CFwp_US_KRW!W18</f>
        <v>0</v>
      </c>
      <c r="X18" s="140">
        <f>CFwp_Korea!X18+CFwp_US_KRW!X18</f>
        <v>0</v>
      </c>
      <c r="Y18" s="140">
        <f>CFwp_Korea!Y18+CFwp_US_KRW!Y18</f>
        <v>0</v>
      </c>
      <c r="Z18" s="140">
        <f>CFwp_Korea!Z18+CFwp_US_KRW!Z18</f>
        <v>0</v>
      </c>
      <c r="AA18" s="182"/>
      <c r="AB18" s="182"/>
    </row>
    <row r="19" spans="2:28">
      <c r="B19" s="139" t="s">
        <v>37</v>
      </c>
      <c r="C19" s="139" t="s">
        <v>38</v>
      </c>
      <c r="D19" s="140">
        <f>CFwp_Korea!D19+CFwp_US_KRW!D19</f>
        <v>0</v>
      </c>
      <c r="E19" s="140">
        <f>CFwp_Korea!E19+CFwp_US_KRW!E19</f>
        <v>0</v>
      </c>
      <c r="F19" s="146">
        <f t="shared" si="1"/>
        <v>0</v>
      </c>
      <c r="G19" s="146">
        <f t="shared" si="0"/>
        <v>0</v>
      </c>
      <c r="H19" s="143" t="s">
        <v>441</v>
      </c>
      <c r="I19" s="140">
        <f>CFwp_Korea!I19+CFwp_US_KRW!I19</f>
        <v>0</v>
      </c>
      <c r="J19" s="140">
        <f>CFwp_Korea!J19+CFwp_US_KRW!J19</f>
        <v>0</v>
      </c>
      <c r="K19" s="140">
        <f>CFwp_Korea!K19+CFwp_US_KRW!K19</f>
        <v>0</v>
      </c>
      <c r="L19" s="140">
        <f>CFwp_Korea!L19+CFwp_US_KRW!L19</f>
        <v>0</v>
      </c>
      <c r="M19" s="140">
        <f>CFwp_Korea!M19+CFwp_US_KRW!M19</f>
        <v>0</v>
      </c>
      <c r="N19" s="140">
        <f>CFwp_Korea!N19+CFwp_US_KRW!N19</f>
        <v>0</v>
      </c>
      <c r="O19" s="140">
        <f>CFwp_Korea!O19+CFwp_US_KRW!O19</f>
        <v>0</v>
      </c>
      <c r="P19" s="140">
        <f>CFwp_Korea!P19+CFwp_US_KRW!P19</f>
        <v>0</v>
      </c>
      <c r="Q19" s="140">
        <f>CFwp_Korea!Q19+CFwp_US_KRW!Q19</f>
        <v>0</v>
      </c>
      <c r="R19" s="140">
        <f>CFwp_Korea!R19+CFwp_US_KRW!R19</f>
        <v>0</v>
      </c>
      <c r="S19" s="140">
        <f>CFwp_Korea!S19+CFwp_US_KRW!S19</f>
        <v>0</v>
      </c>
      <c r="T19" s="140">
        <f>CFwp_Korea!T19+CFwp_US_KRW!T19</f>
        <v>0</v>
      </c>
      <c r="U19" s="140">
        <f>CFwp_Korea!U19+CFwp_US_KRW!U19</f>
        <v>0</v>
      </c>
      <c r="V19" s="140">
        <f>CFwp_Korea!V19+CFwp_US_KRW!V19</f>
        <v>0</v>
      </c>
      <c r="W19" s="140">
        <f>CFwp_Korea!W19+CFwp_US_KRW!W19</f>
        <v>0</v>
      </c>
      <c r="X19" s="140">
        <f>CFwp_Korea!X19+CFwp_US_KRW!X19</f>
        <v>0</v>
      </c>
      <c r="Y19" s="140">
        <f>CFwp_Korea!Y19+CFwp_US_KRW!Y19</f>
        <v>0</v>
      </c>
      <c r="Z19" s="140">
        <f>CFwp_Korea!Z19+CFwp_US_KRW!Z19</f>
        <v>0</v>
      </c>
      <c r="AA19" s="182"/>
      <c r="AB19" s="182"/>
    </row>
    <row r="20" spans="2:28">
      <c r="B20" s="139" t="s">
        <v>39</v>
      </c>
      <c r="C20" s="139" t="s">
        <v>40</v>
      </c>
      <c r="D20" s="140">
        <f>CFwp_Korea!D20+CFwp_US_KRW!D20</f>
        <v>-533323483</v>
      </c>
      <c r="E20" s="140">
        <f>CFwp_Korea!E20+CFwp_US_KRW!E20</f>
        <v>-619075951</v>
      </c>
      <c r="F20" s="146">
        <f t="shared" si="1"/>
        <v>-85752468</v>
      </c>
      <c r="G20" s="146">
        <f t="shared" si="0"/>
        <v>0</v>
      </c>
      <c r="H20" s="143" t="s">
        <v>390</v>
      </c>
      <c r="I20" s="140">
        <f>CFwp_Korea!I20+CFwp_US_KRW!I20</f>
        <v>470162695</v>
      </c>
      <c r="J20" s="140">
        <f>CFwp_Korea!J20+CFwp_US_KRW!J20</f>
        <v>470162695</v>
      </c>
      <c r="K20" s="140">
        <f>CFwp_Korea!K20+CFwp_US_KRW!K20</f>
        <v>0</v>
      </c>
      <c r="L20" s="140">
        <f>CFwp_Korea!L20+CFwp_US_KRW!L20</f>
        <v>0</v>
      </c>
      <c r="M20" s="140">
        <f>CFwp_Korea!M20+CFwp_US_KRW!M20</f>
        <v>0</v>
      </c>
      <c r="N20" s="140">
        <f>CFwp_Korea!N20+CFwp_US_KRW!N20</f>
        <v>0</v>
      </c>
      <c r="O20" s="140">
        <f>CFwp_Korea!O20+CFwp_US_KRW!O20</f>
        <v>0</v>
      </c>
      <c r="P20" s="140">
        <f>CFwp_Korea!P20+CFwp_US_KRW!P20</f>
        <v>0</v>
      </c>
      <c r="Q20" s="140">
        <f>CFwp_Korea!Q20+CFwp_US_KRW!Q20</f>
        <v>0</v>
      </c>
      <c r="R20" s="140">
        <f>CFwp_Korea!R20+CFwp_US_KRW!R20</f>
        <v>0</v>
      </c>
      <c r="S20" s="140">
        <f>CFwp_Korea!S20+CFwp_US_KRW!S20</f>
        <v>0</v>
      </c>
      <c r="T20" s="140">
        <f>CFwp_Korea!T20+CFwp_US_KRW!T20</f>
        <v>384410227</v>
      </c>
      <c r="U20" s="140">
        <f>CFwp_Korea!U20+CFwp_US_KRW!U20</f>
        <v>0</v>
      </c>
      <c r="V20" s="140">
        <f>CFwp_Korea!V20+CFwp_US_KRW!V20</f>
        <v>0</v>
      </c>
      <c r="W20" s="140">
        <f>CFwp_Korea!W20+CFwp_US_KRW!W20</f>
        <v>0</v>
      </c>
      <c r="X20" s="140">
        <f>CFwp_Korea!X20+CFwp_US_KRW!X20</f>
        <v>0</v>
      </c>
      <c r="Y20" s="140">
        <f>CFwp_Korea!Y20+CFwp_US_KRW!Y20</f>
        <v>0</v>
      </c>
      <c r="Z20" s="140">
        <f>CFwp_Korea!Z20+CFwp_US_KRW!Z20</f>
        <v>0</v>
      </c>
      <c r="AA20" s="182"/>
      <c r="AB20" s="182"/>
    </row>
    <row r="21" spans="2:28">
      <c r="B21" s="139" t="s">
        <v>41</v>
      </c>
      <c r="C21" s="139" t="s">
        <v>42</v>
      </c>
      <c r="D21" s="140">
        <f>CFwp_Korea!D21+CFwp_US_KRW!D21</f>
        <v>0</v>
      </c>
      <c r="E21" s="140">
        <f>CFwp_Korea!E21+CFwp_US_KRW!E21</f>
        <v>0</v>
      </c>
      <c r="F21" s="146">
        <f t="shared" si="1"/>
        <v>0</v>
      </c>
      <c r="G21" s="146">
        <f t="shared" si="0"/>
        <v>0</v>
      </c>
      <c r="H21" s="143"/>
      <c r="I21" s="140">
        <f>CFwp_Korea!I21+CFwp_US_KRW!I21</f>
        <v>0</v>
      </c>
      <c r="J21" s="140">
        <f>CFwp_Korea!J21+CFwp_US_KRW!J21</f>
        <v>0</v>
      </c>
      <c r="K21" s="140">
        <f>CFwp_Korea!K21+CFwp_US_KRW!K21</f>
        <v>0</v>
      </c>
      <c r="L21" s="140">
        <f>CFwp_Korea!L21+CFwp_US_KRW!L21</f>
        <v>0</v>
      </c>
      <c r="M21" s="140">
        <f>CFwp_Korea!M21+CFwp_US_KRW!M21</f>
        <v>0</v>
      </c>
      <c r="N21" s="140">
        <f>CFwp_Korea!N21+CFwp_US_KRW!N21</f>
        <v>0</v>
      </c>
      <c r="O21" s="140">
        <f>CFwp_Korea!O21+CFwp_US_KRW!O21</f>
        <v>0</v>
      </c>
      <c r="P21" s="140">
        <f>CFwp_Korea!P21+CFwp_US_KRW!P21</f>
        <v>0</v>
      </c>
      <c r="Q21" s="140">
        <f>CFwp_Korea!Q21+CFwp_US_KRW!Q21</f>
        <v>0</v>
      </c>
      <c r="R21" s="140">
        <f>CFwp_Korea!R21+CFwp_US_KRW!R21</f>
        <v>0</v>
      </c>
      <c r="S21" s="140">
        <f>CFwp_Korea!S21+CFwp_US_KRW!S21</f>
        <v>0</v>
      </c>
      <c r="T21" s="140">
        <f>CFwp_Korea!T21+CFwp_US_KRW!T21</f>
        <v>0</v>
      </c>
      <c r="U21" s="140">
        <f>CFwp_Korea!U21+CFwp_US_KRW!U21</f>
        <v>0</v>
      </c>
      <c r="V21" s="140">
        <f>CFwp_Korea!V21+CFwp_US_KRW!V21</f>
        <v>0</v>
      </c>
      <c r="W21" s="140">
        <f>CFwp_Korea!W21+CFwp_US_KRW!W21</f>
        <v>0</v>
      </c>
      <c r="X21" s="140">
        <f>CFwp_Korea!X21+CFwp_US_KRW!X21</f>
        <v>0</v>
      </c>
      <c r="Y21" s="140">
        <f>CFwp_Korea!Y21+CFwp_US_KRW!Y21</f>
        <v>0</v>
      </c>
      <c r="Z21" s="140">
        <f>CFwp_Korea!Z21+CFwp_US_KRW!Z21</f>
        <v>0</v>
      </c>
      <c r="AA21" s="182"/>
      <c r="AB21" s="182"/>
    </row>
    <row r="22" spans="2:28">
      <c r="B22" s="139" t="s">
        <v>43</v>
      </c>
      <c r="C22" s="139" t="s">
        <v>44</v>
      </c>
      <c r="D22" s="140">
        <f>CFwp_Korea!D22+CFwp_US_KRW!D22</f>
        <v>0</v>
      </c>
      <c r="E22" s="140">
        <f>CFwp_Korea!E22+CFwp_US_KRW!E22</f>
        <v>0</v>
      </c>
      <c r="F22" s="146">
        <f t="shared" si="1"/>
        <v>0</v>
      </c>
      <c r="G22" s="146">
        <f t="shared" si="0"/>
        <v>0</v>
      </c>
      <c r="H22" s="143"/>
      <c r="I22" s="140">
        <f>CFwp_Korea!I22+CFwp_US_KRW!I22</f>
        <v>0</v>
      </c>
      <c r="J22" s="140">
        <f>CFwp_Korea!J22+CFwp_US_KRW!J22</f>
        <v>0</v>
      </c>
      <c r="K22" s="140">
        <f>CFwp_Korea!K22+CFwp_US_KRW!K22</f>
        <v>0</v>
      </c>
      <c r="L22" s="140">
        <f>CFwp_Korea!L22+CFwp_US_KRW!L22</f>
        <v>0</v>
      </c>
      <c r="M22" s="140">
        <f>CFwp_Korea!M22+CFwp_US_KRW!M22</f>
        <v>0</v>
      </c>
      <c r="N22" s="140">
        <f>CFwp_Korea!N22+CFwp_US_KRW!N22</f>
        <v>0</v>
      </c>
      <c r="O22" s="140">
        <f>CFwp_Korea!O22+CFwp_US_KRW!O22</f>
        <v>0</v>
      </c>
      <c r="P22" s="140">
        <f>CFwp_Korea!P22+CFwp_US_KRW!P22</f>
        <v>0</v>
      </c>
      <c r="Q22" s="140">
        <f>CFwp_Korea!Q22+CFwp_US_KRW!Q22</f>
        <v>0</v>
      </c>
      <c r="R22" s="140">
        <f>CFwp_Korea!R22+CFwp_US_KRW!R22</f>
        <v>0</v>
      </c>
      <c r="S22" s="140">
        <f>CFwp_Korea!S22+CFwp_US_KRW!S22</f>
        <v>0</v>
      </c>
      <c r="T22" s="140">
        <f>CFwp_Korea!T22+CFwp_US_KRW!T22</f>
        <v>0</v>
      </c>
      <c r="U22" s="140">
        <f>CFwp_Korea!U22+CFwp_US_KRW!U22</f>
        <v>0</v>
      </c>
      <c r="V22" s="140">
        <f>CFwp_Korea!V22+CFwp_US_KRW!V22</f>
        <v>0</v>
      </c>
      <c r="W22" s="140">
        <f>CFwp_Korea!W22+CFwp_US_KRW!W22</f>
        <v>0</v>
      </c>
      <c r="X22" s="140">
        <f>CFwp_Korea!X22+CFwp_US_KRW!X22</f>
        <v>0</v>
      </c>
      <c r="Y22" s="140">
        <f>CFwp_Korea!Y22+CFwp_US_KRW!Y22</f>
        <v>0</v>
      </c>
      <c r="Z22" s="140">
        <f>CFwp_Korea!Z22+CFwp_US_KRW!Z22</f>
        <v>0</v>
      </c>
      <c r="AA22" s="182"/>
      <c r="AB22" s="182"/>
    </row>
    <row r="23" spans="2:28">
      <c r="B23" s="139" t="s">
        <v>47</v>
      </c>
      <c r="C23" s="139" t="s">
        <v>48</v>
      </c>
      <c r="D23" s="140">
        <f>CFwp_Korea!D23+CFwp_US_KRW!D23</f>
        <v>0</v>
      </c>
      <c r="E23" s="140">
        <f>CFwp_Korea!E23+CFwp_US_KRW!E23</f>
        <v>0</v>
      </c>
      <c r="F23" s="146">
        <f t="shared" si="1"/>
        <v>0</v>
      </c>
      <c r="G23" s="146">
        <f t="shared" si="0"/>
        <v>0</v>
      </c>
      <c r="H23" s="143" t="s">
        <v>441</v>
      </c>
      <c r="I23" s="140">
        <f>CFwp_Korea!I23+CFwp_US_KRW!I23</f>
        <v>0</v>
      </c>
      <c r="J23" s="140">
        <f>CFwp_Korea!J23+CFwp_US_KRW!J23</f>
        <v>0</v>
      </c>
      <c r="K23" s="140">
        <f>CFwp_Korea!K23+CFwp_US_KRW!K23</f>
        <v>0</v>
      </c>
      <c r="L23" s="140">
        <f>CFwp_Korea!L23+CFwp_US_KRW!L23</f>
        <v>0</v>
      </c>
      <c r="M23" s="140">
        <f>CFwp_Korea!M23+CFwp_US_KRW!M23</f>
        <v>0</v>
      </c>
      <c r="N23" s="140">
        <f>CFwp_Korea!N23+CFwp_US_KRW!N23</f>
        <v>0</v>
      </c>
      <c r="O23" s="140">
        <f>CFwp_Korea!O23+CFwp_US_KRW!O23</f>
        <v>0</v>
      </c>
      <c r="P23" s="140">
        <f>CFwp_Korea!P23+CFwp_US_KRW!P23</f>
        <v>0</v>
      </c>
      <c r="Q23" s="140">
        <f>CFwp_Korea!Q23+CFwp_US_KRW!Q23</f>
        <v>0</v>
      </c>
      <c r="R23" s="140">
        <f>CFwp_Korea!R23+CFwp_US_KRW!R23</f>
        <v>0</v>
      </c>
      <c r="S23" s="140">
        <f>CFwp_Korea!S23+CFwp_US_KRW!S23</f>
        <v>0</v>
      </c>
      <c r="T23" s="140">
        <f>CFwp_Korea!T23+CFwp_US_KRW!T23</f>
        <v>0</v>
      </c>
      <c r="U23" s="140">
        <f>CFwp_Korea!U23+CFwp_US_KRW!U23</f>
        <v>0</v>
      </c>
      <c r="V23" s="140">
        <f>CFwp_Korea!V23+CFwp_US_KRW!V23</f>
        <v>0</v>
      </c>
      <c r="W23" s="140">
        <f>CFwp_Korea!W23+CFwp_US_KRW!W23</f>
        <v>0</v>
      </c>
      <c r="X23" s="140">
        <f>CFwp_Korea!X23+CFwp_US_KRW!X23</f>
        <v>0</v>
      </c>
      <c r="Y23" s="140">
        <f>CFwp_Korea!Y23+CFwp_US_KRW!Y23</f>
        <v>0</v>
      </c>
      <c r="Z23" s="140">
        <f>CFwp_Korea!Z23+CFwp_US_KRW!Z23</f>
        <v>0</v>
      </c>
      <c r="AA23" s="182"/>
      <c r="AB23" s="182"/>
    </row>
    <row r="24" spans="2:28">
      <c r="B24" s="139" t="s">
        <v>49</v>
      </c>
      <c r="C24" s="139" t="s">
        <v>50</v>
      </c>
      <c r="D24" s="140">
        <f>CFwp_Korea!D24+CFwp_US_KRW!D24</f>
        <v>0</v>
      </c>
      <c r="E24" s="140">
        <f>CFwp_Korea!E24+CFwp_US_KRW!E24</f>
        <v>0</v>
      </c>
      <c r="F24" s="146">
        <f t="shared" si="1"/>
        <v>0</v>
      </c>
      <c r="G24" s="146">
        <f t="shared" si="0"/>
        <v>0</v>
      </c>
      <c r="H24" s="143" t="s">
        <v>441</v>
      </c>
      <c r="I24" s="140">
        <f>CFwp_Korea!I24+CFwp_US_KRW!I24</f>
        <v>37557679</v>
      </c>
      <c r="J24" s="140">
        <f>CFwp_Korea!J24+CFwp_US_KRW!J24</f>
        <v>0</v>
      </c>
      <c r="K24" s="140">
        <f>CFwp_Korea!K24+CFwp_US_KRW!K24</f>
        <v>37557679</v>
      </c>
      <c r="L24" s="140">
        <f>CFwp_Korea!L24+CFwp_US_KRW!L24</f>
        <v>0</v>
      </c>
      <c r="M24" s="140">
        <f>CFwp_Korea!M24+CFwp_US_KRW!M24</f>
        <v>37557679</v>
      </c>
      <c r="N24" s="140">
        <f>CFwp_Korea!N24+CFwp_US_KRW!N24</f>
        <v>37557679</v>
      </c>
      <c r="O24" s="140">
        <f>CFwp_Korea!O24+CFwp_US_KRW!O24</f>
        <v>0</v>
      </c>
      <c r="P24" s="140">
        <f>CFwp_Korea!P24+CFwp_US_KRW!P24</f>
        <v>0</v>
      </c>
      <c r="Q24" s="140">
        <f>CFwp_Korea!Q24+CFwp_US_KRW!Q24</f>
        <v>0</v>
      </c>
      <c r="R24" s="140">
        <f>CFwp_Korea!R24+CFwp_US_KRW!R24</f>
        <v>0</v>
      </c>
      <c r="S24" s="140">
        <f>CFwp_Korea!S24+CFwp_US_KRW!S24</f>
        <v>0</v>
      </c>
      <c r="T24" s="140">
        <f>CFwp_Korea!T24+CFwp_US_KRW!T24</f>
        <v>0</v>
      </c>
      <c r="U24" s="140">
        <f>CFwp_Korea!U24+CFwp_US_KRW!U24</f>
        <v>0</v>
      </c>
      <c r="V24" s="140">
        <f>CFwp_Korea!V24+CFwp_US_KRW!V24</f>
        <v>0</v>
      </c>
      <c r="W24" s="140">
        <f>CFwp_Korea!W24+CFwp_US_KRW!W24</f>
        <v>0</v>
      </c>
      <c r="X24" s="140">
        <f>CFwp_Korea!X24+CFwp_US_KRW!X24</f>
        <v>0</v>
      </c>
      <c r="Y24" s="140">
        <f>CFwp_Korea!Y24+CFwp_US_KRW!Y24</f>
        <v>0</v>
      </c>
      <c r="Z24" s="140">
        <f>CFwp_Korea!Z24+CFwp_US_KRW!Z24</f>
        <v>0</v>
      </c>
      <c r="AA24" s="182"/>
      <c r="AB24" s="182"/>
    </row>
    <row r="25" spans="2:28">
      <c r="B25" s="139" t="s">
        <v>51</v>
      </c>
      <c r="C25" s="139" t="s">
        <v>52</v>
      </c>
      <c r="D25" s="140">
        <f>CFwp_Korea!D25+CFwp_US_KRW!D25</f>
        <v>145946788</v>
      </c>
      <c r="E25" s="140">
        <f>CFwp_Korea!E25+CFwp_US_KRW!E25</f>
        <v>86832198</v>
      </c>
      <c r="F25" s="146">
        <f t="shared" si="1"/>
        <v>-59114590</v>
      </c>
      <c r="G25" s="146">
        <f t="shared" si="0"/>
        <v>0</v>
      </c>
      <c r="H25" s="143" t="s">
        <v>428</v>
      </c>
      <c r="I25" s="140">
        <f>CFwp_Korea!I25+CFwp_US_KRW!I25</f>
        <v>1635565</v>
      </c>
      <c r="J25" s="140">
        <f>CFwp_Korea!J25+CFwp_US_KRW!J25</f>
        <v>1635565</v>
      </c>
      <c r="K25" s="140">
        <f>CFwp_Korea!K25+CFwp_US_KRW!K25</f>
        <v>0</v>
      </c>
      <c r="L25" s="140">
        <f>CFwp_Korea!L25+CFwp_US_KRW!L25</f>
        <v>57479025</v>
      </c>
      <c r="M25" s="140">
        <f>CFwp_Korea!M25+CFwp_US_KRW!M25</f>
        <v>0</v>
      </c>
      <c r="N25" s="140">
        <f>CFwp_Korea!N25+CFwp_US_KRW!N25</f>
        <v>57479025</v>
      </c>
      <c r="O25" s="140">
        <f>CFwp_Korea!O25+CFwp_US_KRW!O25</f>
        <v>0</v>
      </c>
      <c r="P25" s="140">
        <f>CFwp_Korea!P25+CFwp_US_KRW!P25</f>
        <v>0</v>
      </c>
      <c r="Q25" s="140">
        <f>CFwp_Korea!Q25+CFwp_US_KRW!Q25</f>
        <v>0</v>
      </c>
      <c r="R25" s="140">
        <f>CFwp_Korea!R25+CFwp_US_KRW!R25</f>
        <v>0</v>
      </c>
      <c r="S25" s="140">
        <f>CFwp_Korea!S25+CFwp_US_KRW!S25</f>
        <v>0</v>
      </c>
      <c r="T25" s="140">
        <f>CFwp_Korea!T25+CFwp_US_KRW!T25</f>
        <v>0</v>
      </c>
      <c r="U25" s="140">
        <f>CFwp_Korea!U25+CFwp_US_KRW!U25</f>
        <v>0</v>
      </c>
      <c r="V25" s="140">
        <f>CFwp_Korea!V25+CFwp_US_KRW!V25</f>
        <v>0</v>
      </c>
      <c r="W25" s="140">
        <f>CFwp_Korea!W25+CFwp_US_KRW!W25</f>
        <v>0</v>
      </c>
      <c r="X25" s="140">
        <f>CFwp_Korea!X25+CFwp_US_KRW!X25</f>
        <v>0</v>
      </c>
      <c r="Y25" s="140">
        <f>CFwp_Korea!Y25+CFwp_US_KRW!Y25</f>
        <v>0</v>
      </c>
      <c r="Z25" s="140">
        <f>CFwp_Korea!Z25+CFwp_US_KRW!Z25</f>
        <v>0</v>
      </c>
      <c r="AA25" s="182"/>
      <c r="AB25" s="182"/>
    </row>
    <row r="26" spans="2:28">
      <c r="B26" s="139" t="s">
        <v>53</v>
      </c>
      <c r="C26" s="139" t="s">
        <v>54</v>
      </c>
      <c r="D26" s="140">
        <f>CFwp_Korea!D26+CFwp_US_KRW!D26</f>
        <v>306501376</v>
      </c>
      <c r="E26" s="140">
        <f>CFwp_Korea!E26+CFwp_US_KRW!E26</f>
        <v>6079778624</v>
      </c>
      <c r="F26" s="146">
        <f t="shared" si="1"/>
        <v>5773277248</v>
      </c>
      <c r="G26" s="146">
        <f t="shared" si="0"/>
        <v>0</v>
      </c>
      <c r="H26" s="143" t="s">
        <v>461</v>
      </c>
      <c r="I26" s="140">
        <f>CFwp_Korea!I26+CFwp_US_KRW!I26</f>
        <v>460536740</v>
      </c>
      <c r="J26" s="140">
        <f>CFwp_Korea!J26+CFwp_US_KRW!J26</f>
        <v>460536740</v>
      </c>
      <c r="K26" s="140">
        <f>CFwp_Korea!K26+CFwp_US_KRW!K26</f>
        <v>0</v>
      </c>
      <c r="L26" s="140">
        <f>CFwp_Korea!L26+CFwp_US_KRW!L26</f>
        <v>-6233813988</v>
      </c>
      <c r="M26" s="140">
        <f>CFwp_Korea!M26+CFwp_US_KRW!M26</f>
        <v>0</v>
      </c>
      <c r="N26" s="140">
        <f>CFwp_Korea!N26+CFwp_US_KRW!N26</f>
        <v>-6233813988</v>
      </c>
      <c r="O26" s="140">
        <f>CFwp_Korea!O26+CFwp_US_KRW!O26</f>
        <v>0</v>
      </c>
      <c r="P26" s="140">
        <f>CFwp_Korea!P26+CFwp_US_KRW!P26</f>
        <v>0</v>
      </c>
      <c r="Q26" s="140">
        <f>CFwp_Korea!Q26+CFwp_US_KRW!Q26</f>
        <v>0</v>
      </c>
      <c r="R26" s="140">
        <f>CFwp_Korea!R26+CFwp_US_KRW!R26</f>
        <v>0</v>
      </c>
      <c r="S26" s="140">
        <f>CFwp_Korea!S26+CFwp_US_KRW!S26</f>
        <v>0</v>
      </c>
      <c r="T26" s="140">
        <f>CFwp_Korea!T26+CFwp_US_KRW!T26</f>
        <v>0</v>
      </c>
      <c r="U26" s="140">
        <f>CFwp_Korea!U26+CFwp_US_KRW!U26</f>
        <v>0</v>
      </c>
      <c r="V26" s="140">
        <f>CFwp_Korea!V26+CFwp_US_KRW!V26</f>
        <v>0</v>
      </c>
      <c r="W26" s="140">
        <f>CFwp_Korea!W26+CFwp_US_KRW!W26</f>
        <v>0</v>
      </c>
      <c r="X26" s="140">
        <f>CFwp_Korea!X26+CFwp_US_KRW!X26</f>
        <v>0</v>
      </c>
      <c r="Y26" s="140">
        <f>CFwp_Korea!Y26+CFwp_US_KRW!Y26</f>
        <v>0</v>
      </c>
      <c r="Z26" s="140">
        <f>CFwp_Korea!Z26+CFwp_US_KRW!Z26</f>
        <v>0</v>
      </c>
      <c r="AA26" s="182"/>
      <c r="AB26" s="182"/>
    </row>
    <row r="27" spans="2:28">
      <c r="B27" s="139" t="s">
        <v>57</v>
      </c>
      <c r="C27" s="139" t="s">
        <v>58</v>
      </c>
      <c r="D27" s="140">
        <f>CFwp_Korea!D27+CFwp_US_KRW!D27</f>
        <v>26829036</v>
      </c>
      <c r="E27" s="140">
        <f>CFwp_Korea!E27+CFwp_US_KRW!E27</f>
        <v>20109358</v>
      </c>
      <c r="F27" s="146">
        <f t="shared" si="1"/>
        <v>-6719678</v>
      </c>
      <c r="G27" s="146">
        <f t="shared" si="0"/>
        <v>0</v>
      </c>
      <c r="H27" s="143"/>
      <c r="I27" s="140">
        <f>CFwp_Korea!I27+CFwp_US_KRW!I27</f>
        <v>0</v>
      </c>
      <c r="J27" s="140">
        <f>CFwp_Korea!J27+CFwp_US_KRW!J27</f>
        <v>0</v>
      </c>
      <c r="K27" s="140">
        <f>CFwp_Korea!K27+CFwp_US_KRW!K27</f>
        <v>0</v>
      </c>
      <c r="L27" s="140">
        <f>CFwp_Korea!L27+CFwp_US_KRW!L27</f>
        <v>6719678</v>
      </c>
      <c r="M27" s="140">
        <f>CFwp_Korea!M27+CFwp_US_KRW!M27</f>
        <v>0</v>
      </c>
      <c r="N27" s="140">
        <f>CFwp_Korea!N27+CFwp_US_KRW!N27</f>
        <v>6719678</v>
      </c>
      <c r="O27" s="140">
        <f>CFwp_Korea!O27+CFwp_US_KRW!O27</f>
        <v>0</v>
      </c>
      <c r="P27" s="140">
        <f>CFwp_Korea!P27+CFwp_US_KRW!P27</f>
        <v>0</v>
      </c>
      <c r="Q27" s="140">
        <f>CFwp_Korea!Q27+CFwp_US_KRW!Q27</f>
        <v>0</v>
      </c>
      <c r="R27" s="140">
        <f>CFwp_Korea!R27+CFwp_US_KRW!R27</f>
        <v>0</v>
      </c>
      <c r="S27" s="140">
        <f>CFwp_Korea!S27+CFwp_US_KRW!S27</f>
        <v>0</v>
      </c>
      <c r="T27" s="140">
        <f>CFwp_Korea!T27+CFwp_US_KRW!T27</f>
        <v>0</v>
      </c>
      <c r="U27" s="140">
        <f>CFwp_Korea!U27+CFwp_US_KRW!U27</f>
        <v>0</v>
      </c>
      <c r="V27" s="140">
        <f>CFwp_Korea!V27+CFwp_US_KRW!V27</f>
        <v>0</v>
      </c>
      <c r="W27" s="140">
        <f>CFwp_Korea!W27+CFwp_US_KRW!W27</f>
        <v>0</v>
      </c>
      <c r="X27" s="140">
        <f>CFwp_Korea!X27+CFwp_US_KRW!X27</f>
        <v>0</v>
      </c>
      <c r="Y27" s="140">
        <f>CFwp_Korea!Y27+CFwp_US_KRW!Y27</f>
        <v>0</v>
      </c>
      <c r="Z27" s="140">
        <f>CFwp_Korea!Z27+CFwp_US_KRW!Z27</f>
        <v>0</v>
      </c>
      <c r="AA27" s="182"/>
      <c r="AB27" s="182"/>
    </row>
    <row r="28" spans="2:28">
      <c r="B28" s="139" t="s">
        <v>837</v>
      </c>
      <c r="C28" s="139" t="s">
        <v>838</v>
      </c>
      <c r="D28" s="140">
        <f>CFwp_Korea!D28+CFwp_US_KRW!D28</f>
        <v>0</v>
      </c>
      <c r="E28" s="140">
        <f>CFwp_Korea!E28+CFwp_US_KRW!E28</f>
        <v>0</v>
      </c>
      <c r="F28" s="146">
        <f t="shared" ref="F28" si="2">E28-D28</f>
        <v>0</v>
      </c>
      <c r="G28" s="146">
        <f t="shared" ref="G28" si="3">J28-K28+N28+O28-P28+Q28-R28-T28+V28+F28-W28+X28-Y28+Z28</f>
        <v>0</v>
      </c>
      <c r="H28" s="143"/>
      <c r="I28" s="140">
        <f>CFwp_Korea!I28+CFwp_US_KRW!I28</f>
        <v>0</v>
      </c>
      <c r="J28" s="140">
        <f>CFwp_Korea!J28+CFwp_US_KRW!J28</f>
        <v>0</v>
      </c>
      <c r="K28" s="140">
        <f>CFwp_Korea!K28+CFwp_US_KRW!K28</f>
        <v>0</v>
      </c>
      <c r="L28" s="140">
        <f>CFwp_Korea!L28+CFwp_US_KRW!L28</f>
        <v>0</v>
      </c>
      <c r="M28" s="140">
        <f>CFwp_Korea!M28+CFwp_US_KRW!M28</f>
        <v>0</v>
      </c>
      <c r="N28" s="140">
        <f>CFwp_Korea!N28+CFwp_US_KRW!N28</f>
        <v>0</v>
      </c>
      <c r="O28" s="140">
        <f>CFwp_Korea!O28+CFwp_US_KRW!O28</f>
        <v>0</v>
      </c>
      <c r="P28" s="140">
        <f>CFwp_Korea!P28+CFwp_US_KRW!P28</f>
        <v>0</v>
      </c>
      <c r="Q28" s="140">
        <f>CFwp_Korea!Q28+CFwp_US_KRW!Q28</f>
        <v>0</v>
      </c>
      <c r="R28" s="140">
        <f>CFwp_Korea!R28+CFwp_US_KRW!R28</f>
        <v>0</v>
      </c>
      <c r="S28" s="140">
        <f>CFwp_Korea!S28+CFwp_US_KRW!S28</f>
        <v>0</v>
      </c>
      <c r="T28" s="140">
        <f>CFwp_Korea!T28+CFwp_US_KRW!T28</f>
        <v>0</v>
      </c>
      <c r="U28" s="140">
        <f>CFwp_Korea!U28+CFwp_US_KRW!U28</f>
        <v>0</v>
      </c>
      <c r="V28" s="140">
        <f>CFwp_Korea!V28+CFwp_US_KRW!V28</f>
        <v>0</v>
      </c>
      <c r="W28" s="140">
        <f>CFwp_Korea!W28+CFwp_US_KRW!W28</f>
        <v>0</v>
      </c>
      <c r="X28" s="140">
        <f>CFwp_Korea!X28+CFwp_US_KRW!X28</f>
        <v>0</v>
      </c>
      <c r="Y28" s="140">
        <f>CFwp_Korea!Y28+CFwp_US_KRW!Y28</f>
        <v>0</v>
      </c>
      <c r="Z28" s="140">
        <f>CFwp_Korea!Z28+CFwp_US_KRW!Z28</f>
        <v>0</v>
      </c>
      <c r="AA28" s="182"/>
      <c r="AB28" s="182"/>
    </row>
    <row r="29" spans="2:28">
      <c r="B29" s="139" t="s">
        <v>59</v>
      </c>
      <c r="C29" s="139" t="s">
        <v>60</v>
      </c>
      <c r="D29" s="140">
        <f>CFwp_Korea!D29+CFwp_US_KRW!D29</f>
        <v>0</v>
      </c>
      <c r="E29" s="140">
        <f>CFwp_Korea!E29+CFwp_US_KRW!E29</f>
        <v>0</v>
      </c>
      <c r="F29" s="146">
        <f t="shared" si="1"/>
        <v>0</v>
      </c>
      <c r="G29" s="146">
        <f t="shared" si="0"/>
        <v>0</v>
      </c>
      <c r="H29" s="143"/>
      <c r="I29" s="140">
        <f>CFwp_Korea!I29+CFwp_US_KRW!I29</f>
        <v>0</v>
      </c>
      <c r="J29" s="140">
        <f>CFwp_Korea!J29+CFwp_US_KRW!J29</f>
        <v>0</v>
      </c>
      <c r="K29" s="140">
        <f>CFwp_Korea!K29+CFwp_US_KRW!K29</f>
        <v>0</v>
      </c>
      <c r="L29" s="140">
        <f>CFwp_Korea!L29+CFwp_US_KRW!L29</f>
        <v>0</v>
      </c>
      <c r="M29" s="140">
        <f>CFwp_Korea!M29+CFwp_US_KRW!M29</f>
        <v>0</v>
      </c>
      <c r="N29" s="140">
        <f>CFwp_Korea!N29+CFwp_US_KRW!N29</f>
        <v>0</v>
      </c>
      <c r="O29" s="140">
        <f>CFwp_Korea!O29+CFwp_US_KRW!O29</f>
        <v>0</v>
      </c>
      <c r="P29" s="140">
        <f>CFwp_Korea!P29+CFwp_US_KRW!P29</f>
        <v>0</v>
      </c>
      <c r="Q29" s="140">
        <f>CFwp_Korea!Q29+CFwp_US_KRW!Q29</f>
        <v>0</v>
      </c>
      <c r="R29" s="140">
        <f>CFwp_Korea!R29+CFwp_US_KRW!R29</f>
        <v>0</v>
      </c>
      <c r="S29" s="140">
        <f>CFwp_Korea!S29+CFwp_US_KRW!S29</f>
        <v>0</v>
      </c>
      <c r="T29" s="140">
        <f>CFwp_Korea!T29+CFwp_US_KRW!T29</f>
        <v>0</v>
      </c>
      <c r="U29" s="140">
        <f>CFwp_Korea!U29+CFwp_US_KRW!U29</f>
        <v>0</v>
      </c>
      <c r="V29" s="140">
        <f>CFwp_Korea!V29+CFwp_US_KRW!V29</f>
        <v>0</v>
      </c>
      <c r="W29" s="140">
        <f>CFwp_Korea!W29+CFwp_US_KRW!W29</f>
        <v>0</v>
      </c>
      <c r="X29" s="140">
        <f>CFwp_Korea!X29+CFwp_US_KRW!X29</f>
        <v>0</v>
      </c>
      <c r="Y29" s="140">
        <f>CFwp_Korea!Y29+CFwp_US_KRW!Y29</f>
        <v>0</v>
      </c>
      <c r="Z29" s="140">
        <f>CFwp_Korea!Z29+CFwp_US_KRW!Z29</f>
        <v>0</v>
      </c>
      <c r="AA29" s="182"/>
      <c r="AB29" s="182"/>
    </row>
    <row r="30" spans="2:28">
      <c r="B30" s="139" t="s">
        <v>62</v>
      </c>
      <c r="C30" s="139" t="s">
        <v>63</v>
      </c>
      <c r="D30" s="140">
        <f>CFwp_Korea!D30+CFwp_US_KRW!D30</f>
        <v>0</v>
      </c>
      <c r="E30" s="140">
        <f>CFwp_Korea!E30+CFwp_US_KRW!E30</f>
        <v>0</v>
      </c>
      <c r="F30" s="146">
        <f t="shared" si="1"/>
        <v>0</v>
      </c>
      <c r="G30" s="146">
        <f t="shared" si="0"/>
        <v>0</v>
      </c>
      <c r="H30" s="143"/>
      <c r="I30" s="140">
        <f>CFwp_Korea!I30+CFwp_US_KRW!I30</f>
        <v>0</v>
      </c>
      <c r="J30" s="140">
        <f>CFwp_Korea!J30+CFwp_US_KRW!J30</f>
        <v>0</v>
      </c>
      <c r="K30" s="140">
        <f>CFwp_Korea!K30+CFwp_US_KRW!K30</f>
        <v>0</v>
      </c>
      <c r="L30" s="140">
        <f>CFwp_Korea!L30+CFwp_US_KRW!L30</f>
        <v>0</v>
      </c>
      <c r="M30" s="140">
        <f>CFwp_Korea!M30+CFwp_US_KRW!M30</f>
        <v>0</v>
      </c>
      <c r="N30" s="140">
        <f>CFwp_Korea!N30+CFwp_US_KRW!N30</f>
        <v>0</v>
      </c>
      <c r="O30" s="140">
        <f>CFwp_Korea!O30+CFwp_US_KRW!O30</f>
        <v>0</v>
      </c>
      <c r="P30" s="140">
        <f>CFwp_Korea!P30+CFwp_US_KRW!P30</f>
        <v>0</v>
      </c>
      <c r="Q30" s="140">
        <f>CFwp_Korea!Q30+CFwp_US_KRW!Q30</f>
        <v>0</v>
      </c>
      <c r="R30" s="140">
        <f>CFwp_Korea!R30+CFwp_US_KRW!R30</f>
        <v>0</v>
      </c>
      <c r="S30" s="140">
        <f>CFwp_Korea!S30+CFwp_US_KRW!S30</f>
        <v>0</v>
      </c>
      <c r="T30" s="140">
        <f>CFwp_Korea!T30+CFwp_US_KRW!T30</f>
        <v>0</v>
      </c>
      <c r="U30" s="140">
        <f>CFwp_Korea!U30+CFwp_US_KRW!U30</f>
        <v>0</v>
      </c>
      <c r="V30" s="140">
        <f>CFwp_Korea!V30+CFwp_US_KRW!V30</f>
        <v>0</v>
      </c>
      <c r="W30" s="140">
        <f>CFwp_Korea!W30+CFwp_US_KRW!W30</f>
        <v>0</v>
      </c>
      <c r="X30" s="140">
        <f>CFwp_Korea!X30+CFwp_US_KRW!X30</f>
        <v>0</v>
      </c>
      <c r="Y30" s="140">
        <f>CFwp_Korea!Y30+CFwp_US_KRW!Y30</f>
        <v>0</v>
      </c>
      <c r="Z30" s="140">
        <f>CFwp_Korea!Z30+CFwp_US_KRW!Z30</f>
        <v>0</v>
      </c>
      <c r="AA30" s="182"/>
      <c r="AB30" s="182"/>
    </row>
    <row r="31" spans="2:28">
      <c r="B31" s="50" t="s">
        <v>505</v>
      </c>
      <c r="C31" s="2" t="s">
        <v>506</v>
      </c>
      <c r="D31" s="140">
        <f>CFwp_Korea!D31+CFwp_US_KRW!D31</f>
        <v>0</v>
      </c>
      <c r="E31" s="140">
        <f>CFwp_Korea!E31+CFwp_US_KRW!E31</f>
        <v>0</v>
      </c>
      <c r="F31" s="146">
        <f t="shared" si="1"/>
        <v>0</v>
      </c>
      <c r="G31" s="146">
        <f t="shared" si="0"/>
        <v>0</v>
      </c>
      <c r="H31" s="143"/>
      <c r="I31" s="140">
        <f>CFwp_Korea!I31+CFwp_US_KRW!I31</f>
        <v>0</v>
      </c>
      <c r="J31" s="140">
        <f>CFwp_Korea!J31+CFwp_US_KRW!J31</f>
        <v>0</v>
      </c>
      <c r="K31" s="140">
        <f>CFwp_Korea!K31+CFwp_US_KRW!K31</f>
        <v>0</v>
      </c>
      <c r="L31" s="140">
        <f>CFwp_Korea!L31+CFwp_US_KRW!L31</f>
        <v>0</v>
      </c>
      <c r="M31" s="140">
        <f>CFwp_Korea!M31+CFwp_US_KRW!M31</f>
        <v>0</v>
      </c>
      <c r="N31" s="140">
        <f>CFwp_Korea!N31+CFwp_US_KRW!N31</f>
        <v>0</v>
      </c>
      <c r="O31" s="140">
        <f>CFwp_Korea!O31+CFwp_US_KRW!O31</f>
        <v>0</v>
      </c>
      <c r="P31" s="140">
        <f>CFwp_Korea!P31+CFwp_US_KRW!P31</f>
        <v>0</v>
      </c>
      <c r="Q31" s="140">
        <f>CFwp_Korea!Q31+CFwp_US_KRW!Q31</f>
        <v>0</v>
      </c>
      <c r="R31" s="140">
        <f>CFwp_Korea!R31+CFwp_US_KRW!R31</f>
        <v>0</v>
      </c>
      <c r="S31" s="140">
        <f>CFwp_Korea!S31+CFwp_US_KRW!S31</f>
        <v>0</v>
      </c>
      <c r="T31" s="140">
        <f>CFwp_Korea!T31+CFwp_US_KRW!T31</f>
        <v>0</v>
      </c>
      <c r="U31" s="140">
        <f>CFwp_Korea!U31+CFwp_US_KRW!U31</f>
        <v>0</v>
      </c>
      <c r="V31" s="140">
        <f>CFwp_Korea!V31+CFwp_US_KRW!V31</f>
        <v>0</v>
      </c>
      <c r="W31" s="140">
        <f>CFwp_Korea!W31+CFwp_US_KRW!W31</f>
        <v>0</v>
      </c>
      <c r="X31" s="140">
        <f>CFwp_Korea!X31+CFwp_US_KRW!X31</f>
        <v>0</v>
      </c>
      <c r="Y31" s="140">
        <f>CFwp_Korea!Y31+CFwp_US_KRW!Y31</f>
        <v>0</v>
      </c>
      <c r="Z31" s="140">
        <f>CFwp_Korea!Z31+CFwp_US_KRW!Z31</f>
        <v>0</v>
      </c>
      <c r="AA31" s="182"/>
      <c r="AB31" s="182"/>
    </row>
    <row r="32" spans="2:28">
      <c r="B32" s="139" t="s">
        <v>839</v>
      </c>
      <c r="C32" s="139" t="s">
        <v>840</v>
      </c>
      <c r="D32" s="140">
        <f>CFwp_Korea!D32+CFwp_US_KRW!D32</f>
        <v>0</v>
      </c>
      <c r="E32" s="140">
        <f>CFwp_Korea!E32+CFwp_US_KRW!E32</f>
        <v>0</v>
      </c>
      <c r="F32" s="146">
        <f t="shared" si="1"/>
        <v>0</v>
      </c>
      <c r="G32" s="146">
        <f t="shared" si="0"/>
        <v>0</v>
      </c>
      <c r="H32" s="143"/>
      <c r="I32" s="140">
        <f>CFwp_Korea!I32+CFwp_US_KRW!I32</f>
        <v>0</v>
      </c>
      <c r="J32" s="140">
        <f>CFwp_Korea!J32+CFwp_US_KRW!J32</f>
        <v>0</v>
      </c>
      <c r="K32" s="140">
        <f>CFwp_Korea!K32+CFwp_US_KRW!K32</f>
        <v>0</v>
      </c>
      <c r="L32" s="140">
        <f>CFwp_Korea!L32+CFwp_US_KRW!L32</f>
        <v>0</v>
      </c>
      <c r="M32" s="140">
        <f>CFwp_Korea!M32+CFwp_US_KRW!M32</f>
        <v>0</v>
      </c>
      <c r="N32" s="140">
        <f>CFwp_Korea!N32+CFwp_US_KRW!N32</f>
        <v>0</v>
      </c>
      <c r="O32" s="140">
        <f>CFwp_Korea!O32+CFwp_US_KRW!O32</f>
        <v>0</v>
      </c>
      <c r="P32" s="140">
        <f>CFwp_Korea!P32+CFwp_US_KRW!P32</f>
        <v>0</v>
      </c>
      <c r="Q32" s="140">
        <f>CFwp_Korea!Q32+CFwp_US_KRW!Q32</f>
        <v>0</v>
      </c>
      <c r="R32" s="140">
        <f>CFwp_Korea!R32+CFwp_US_KRW!R32</f>
        <v>0</v>
      </c>
      <c r="S32" s="140">
        <f>CFwp_Korea!S32+CFwp_US_KRW!S32</f>
        <v>0</v>
      </c>
      <c r="T32" s="140">
        <f>CFwp_Korea!T32+CFwp_US_KRW!T32</f>
        <v>0</v>
      </c>
      <c r="U32" s="140">
        <f>CFwp_Korea!U32+CFwp_US_KRW!U32</f>
        <v>0</v>
      </c>
      <c r="V32" s="140">
        <f>CFwp_Korea!V32+CFwp_US_KRW!V32</f>
        <v>0</v>
      </c>
      <c r="W32" s="140">
        <f>CFwp_Korea!W32+CFwp_US_KRW!W32</f>
        <v>0</v>
      </c>
      <c r="X32" s="140">
        <f>CFwp_Korea!X32+CFwp_US_KRW!X32</f>
        <v>0</v>
      </c>
      <c r="Y32" s="140">
        <f>CFwp_Korea!Y32+CFwp_US_KRW!Y32</f>
        <v>0</v>
      </c>
      <c r="Z32" s="140">
        <f>CFwp_Korea!Z32+CFwp_US_KRW!Z32</f>
        <v>0</v>
      </c>
      <c r="AA32" s="182"/>
      <c r="AB32" s="182"/>
    </row>
    <row r="33" spans="2:28">
      <c r="B33" s="139"/>
      <c r="C33" s="139"/>
      <c r="D33" s="140"/>
      <c r="E33" s="140"/>
      <c r="F33" s="146">
        <f t="shared" si="1"/>
        <v>0</v>
      </c>
      <c r="G33" s="146">
        <f t="shared" si="0"/>
        <v>0</v>
      </c>
      <c r="H33" s="143"/>
      <c r="I33" s="140">
        <f>CFwp_Korea!I33+CFwp_US_KRW!I33</f>
        <v>0</v>
      </c>
      <c r="J33" s="140">
        <f>CFwp_Korea!J33+CFwp_US_KRW!J33</f>
        <v>0</v>
      </c>
      <c r="K33" s="140">
        <f>CFwp_Korea!K33+CFwp_US_KRW!K33</f>
        <v>0</v>
      </c>
      <c r="L33" s="140">
        <f>CFwp_Korea!L33+CFwp_US_KRW!L33</f>
        <v>0</v>
      </c>
      <c r="M33" s="140">
        <f>CFwp_Korea!M33+CFwp_US_KRW!M33</f>
        <v>0</v>
      </c>
      <c r="N33" s="140">
        <f>CFwp_Korea!N33+CFwp_US_KRW!N33</f>
        <v>0</v>
      </c>
      <c r="O33" s="140">
        <f>CFwp_Korea!O33+CFwp_US_KRW!O33</f>
        <v>0</v>
      </c>
      <c r="P33" s="140">
        <f>CFwp_Korea!P33+CFwp_US_KRW!P33</f>
        <v>0</v>
      </c>
      <c r="Q33" s="140">
        <f>CFwp_Korea!Q33+CFwp_US_KRW!Q33</f>
        <v>0</v>
      </c>
      <c r="R33" s="140">
        <f>CFwp_Korea!R33+CFwp_US_KRW!R33</f>
        <v>0</v>
      </c>
      <c r="S33" s="140">
        <f>CFwp_Korea!S33+CFwp_US_KRW!S33</f>
        <v>0</v>
      </c>
      <c r="T33" s="140">
        <f>CFwp_Korea!T33+CFwp_US_KRW!T33</f>
        <v>0</v>
      </c>
      <c r="U33" s="140">
        <f>CFwp_Korea!U33+CFwp_US_KRW!U33</f>
        <v>0</v>
      </c>
      <c r="V33" s="140">
        <f>CFwp_Korea!V33+CFwp_US_KRW!V33</f>
        <v>0</v>
      </c>
      <c r="W33" s="140">
        <f>CFwp_Korea!W33+CFwp_US_KRW!W33</f>
        <v>0</v>
      </c>
      <c r="X33" s="140">
        <f>CFwp_Korea!X33+CFwp_US_KRW!X33</f>
        <v>0</v>
      </c>
      <c r="Y33" s="140">
        <f>CFwp_Korea!Y33+CFwp_US_KRW!Y33</f>
        <v>0</v>
      </c>
      <c r="Z33" s="140">
        <f>CFwp_Korea!Z33+CFwp_US_KRW!Z33</f>
        <v>0</v>
      </c>
      <c r="AA33" s="182"/>
      <c r="AB33" s="182"/>
    </row>
    <row r="34" spans="2:28">
      <c r="B34" s="137" t="s">
        <v>807</v>
      </c>
      <c r="C34" s="137" t="s">
        <v>574</v>
      </c>
      <c r="D34" s="138">
        <f>SUM(D35:D47)</f>
        <v>7756862850</v>
      </c>
      <c r="E34" s="138">
        <f>SUM(E35:E47)</f>
        <v>53094119097</v>
      </c>
      <c r="F34" s="138">
        <f t="shared" si="1"/>
        <v>45337256247</v>
      </c>
      <c r="G34" s="214">
        <f t="shared" si="0"/>
        <v>0</v>
      </c>
      <c r="H34" s="214" t="s">
        <v>871</v>
      </c>
      <c r="I34" s="214">
        <f>CFwp_Korea!I34+CFwp_US_KRW!I34</f>
        <v>2840492158</v>
      </c>
      <c r="J34" s="214">
        <f>CFwp_Korea!J34+CFwp_US_KRW!J34</f>
        <v>2840492158</v>
      </c>
      <c r="K34" s="214">
        <f>CFwp_Korea!K34+CFwp_US_KRW!K34</f>
        <v>0</v>
      </c>
      <c r="L34" s="214">
        <f>CFwp_Korea!L34+CFwp_US_KRW!L34</f>
        <v>-48181888500</v>
      </c>
      <c r="M34" s="214">
        <f>CFwp_Korea!M34+CFwp_US_KRW!M34</f>
        <v>0</v>
      </c>
      <c r="N34" s="214">
        <f>CFwp_Korea!N34+CFwp_US_KRW!N34</f>
        <v>-48181888500</v>
      </c>
      <c r="O34" s="214">
        <f>CFwp_Korea!O34+CFwp_US_KRW!O34</f>
        <v>0</v>
      </c>
      <c r="P34" s="214">
        <f>CFwp_Korea!P34+CFwp_US_KRW!P34</f>
        <v>0</v>
      </c>
      <c r="Q34" s="214">
        <f>CFwp_Korea!Q34+CFwp_US_KRW!Q34</f>
        <v>0</v>
      </c>
      <c r="R34" s="214">
        <f>CFwp_Korea!R34+CFwp_US_KRW!R34</f>
        <v>0</v>
      </c>
      <c r="S34" s="214">
        <f>CFwp_Korea!S34+CFwp_US_KRW!S34</f>
        <v>0</v>
      </c>
      <c r="T34" s="214">
        <f>CFwp_Korea!T34+CFwp_US_KRW!T34</f>
        <v>0</v>
      </c>
      <c r="U34" s="214">
        <f>CFwp_Korea!U34+CFwp_US_KRW!U34</f>
        <v>0</v>
      </c>
      <c r="V34" s="214">
        <f>CFwp_Korea!V34+CFwp_US_KRW!V34</f>
        <v>0</v>
      </c>
      <c r="W34" s="214">
        <f>CFwp_Korea!W34+CFwp_US_KRW!W34</f>
        <v>0</v>
      </c>
      <c r="X34" s="214">
        <f>CFwp_Korea!X34+CFwp_US_KRW!X34</f>
        <v>0</v>
      </c>
      <c r="Y34" s="214">
        <f>CFwp_Korea!Y34+CFwp_US_KRW!Y34</f>
        <v>0</v>
      </c>
      <c r="Z34" s="214">
        <f>CFwp_Korea!Z34+CFwp_US_KRW!Z34</f>
        <v>4140095</v>
      </c>
      <c r="AA34" s="182"/>
      <c r="AB34" s="182"/>
    </row>
    <row r="35" spans="2:28">
      <c r="B35" s="139" t="s">
        <v>67</v>
      </c>
      <c r="C35" s="139" t="s">
        <v>68</v>
      </c>
      <c r="D35" s="140">
        <f>CFwp_Korea!D35+CFwp_US_KRW!D35</f>
        <v>545308589</v>
      </c>
      <c r="E35" s="140">
        <f>CFwp_Korea!E35+CFwp_US_KRW!E35</f>
        <v>1072162530</v>
      </c>
      <c r="F35" s="146"/>
      <c r="G35" s="146"/>
      <c r="H35" s="143"/>
      <c r="I35" s="140">
        <f>CFwp_Korea!I35+CFwp_US_KRW!I35</f>
        <v>0</v>
      </c>
      <c r="J35" s="140">
        <f>CFwp_Korea!J35+CFwp_US_KRW!J35</f>
        <v>0</v>
      </c>
      <c r="K35" s="140">
        <f>CFwp_Korea!K35+CFwp_US_KRW!K35</f>
        <v>0</v>
      </c>
      <c r="L35" s="140">
        <f>CFwp_Korea!L35+CFwp_US_KRW!L35</f>
        <v>0</v>
      </c>
      <c r="M35" s="140">
        <f>CFwp_Korea!M35+CFwp_US_KRW!M35</f>
        <v>0</v>
      </c>
      <c r="N35" s="140">
        <f>CFwp_Korea!N35+CFwp_US_KRW!N35</f>
        <v>0</v>
      </c>
      <c r="O35" s="140">
        <f>CFwp_Korea!O35+CFwp_US_KRW!O35</f>
        <v>0</v>
      </c>
      <c r="P35" s="140">
        <f>CFwp_Korea!P35+CFwp_US_KRW!P35</f>
        <v>0</v>
      </c>
      <c r="Q35" s="140">
        <f>CFwp_Korea!Q35+CFwp_US_KRW!Q35</f>
        <v>0</v>
      </c>
      <c r="R35" s="140">
        <f>CFwp_Korea!R35+CFwp_US_KRW!R35</f>
        <v>0</v>
      </c>
      <c r="S35" s="140">
        <f>CFwp_Korea!S35+CFwp_US_KRW!S35</f>
        <v>0</v>
      </c>
      <c r="T35" s="140">
        <f>CFwp_Korea!T35+CFwp_US_KRW!T35</f>
        <v>0</v>
      </c>
      <c r="U35" s="140">
        <f>CFwp_Korea!U35+CFwp_US_KRW!U35</f>
        <v>0</v>
      </c>
      <c r="V35" s="140">
        <f>CFwp_Korea!V35+CFwp_US_KRW!V35</f>
        <v>0</v>
      </c>
      <c r="W35" s="140">
        <f>CFwp_Korea!W35+CFwp_US_KRW!W35</f>
        <v>0</v>
      </c>
      <c r="X35" s="140">
        <f>CFwp_Korea!X35+CFwp_US_KRW!X35</f>
        <v>0</v>
      </c>
      <c r="Y35" s="140">
        <f>CFwp_Korea!Y35+CFwp_US_KRW!Y35</f>
        <v>0</v>
      </c>
      <c r="Z35" s="140">
        <f>CFwp_Korea!Z35+CFwp_US_KRW!Z35</f>
        <v>0</v>
      </c>
      <c r="AA35" s="182"/>
      <c r="AB35" s="182"/>
    </row>
    <row r="36" spans="2:28">
      <c r="B36" s="139" t="s">
        <v>71</v>
      </c>
      <c r="C36" s="139" t="s">
        <v>72</v>
      </c>
      <c r="D36" s="140">
        <f>CFwp_Korea!D36+CFwp_US_KRW!D36</f>
        <v>524830179</v>
      </c>
      <c r="E36" s="140">
        <f>CFwp_Korea!E36+CFwp_US_KRW!E36</f>
        <v>9749294700</v>
      </c>
      <c r="F36" s="146"/>
      <c r="G36" s="146"/>
      <c r="H36" s="143"/>
      <c r="I36" s="140">
        <f>CFwp_Korea!I36+CFwp_US_KRW!I36</f>
        <v>0</v>
      </c>
      <c r="J36" s="140">
        <f>CFwp_Korea!J36+CFwp_US_KRW!J36</f>
        <v>0</v>
      </c>
      <c r="K36" s="140">
        <f>CFwp_Korea!K36+CFwp_US_KRW!K36</f>
        <v>0</v>
      </c>
      <c r="L36" s="140">
        <f>CFwp_Korea!L36+CFwp_US_KRW!L36</f>
        <v>0</v>
      </c>
      <c r="M36" s="140">
        <f>CFwp_Korea!M36+CFwp_US_KRW!M36</f>
        <v>0</v>
      </c>
      <c r="N36" s="140">
        <f>CFwp_Korea!N36+CFwp_US_KRW!N36</f>
        <v>0</v>
      </c>
      <c r="O36" s="140">
        <f>CFwp_Korea!O36+CFwp_US_KRW!O36</f>
        <v>0</v>
      </c>
      <c r="P36" s="140">
        <f>CFwp_Korea!P36+CFwp_US_KRW!P36</f>
        <v>0</v>
      </c>
      <c r="Q36" s="140">
        <f>CFwp_Korea!Q36+CFwp_US_KRW!Q36</f>
        <v>0</v>
      </c>
      <c r="R36" s="140">
        <f>CFwp_Korea!R36+CFwp_US_KRW!R36</f>
        <v>0</v>
      </c>
      <c r="S36" s="140">
        <f>CFwp_Korea!S36+CFwp_US_KRW!S36</f>
        <v>0</v>
      </c>
      <c r="T36" s="140">
        <f>CFwp_Korea!T36+CFwp_US_KRW!T36</f>
        <v>0</v>
      </c>
      <c r="U36" s="140">
        <f>CFwp_Korea!U36+CFwp_US_KRW!U36</f>
        <v>0</v>
      </c>
      <c r="V36" s="140">
        <f>CFwp_Korea!V36+CFwp_US_KRW!V36</f>
        <v>0</v>
      </c>
      <c r="W36" s="140">
        <f>CFwp_Korea!W36+CFwp_US_KRW!W36</f>
        <v>0</v>
      </c>
      <c r="X36" s="140">
        <f>CFwp_Korea!X36+CFwp_US_KRW!X36</f>
        <v>0</v>
      </c>
      <c r="Y36" s="140">
        <f>CFwp_Korea!Y36+CFwp_US_KRW!Y36</f>
        <v>0</v>
      </c>
      <c r="Z36" s="140">
        <f>CFwp_Korea!Z36+CFwp_US_KRW!Z36</f>
        <v>0</v>
      </c>
      <c r="AA36" s="182"/>
      <c r="AB36" s="182"/>
    </row>
    <row r="37" spans="2:28">
      <c r="B37" s="139" t="s">
        <v>73</v>
      </c>
      <c r="C37" s="139" t="s">
        <v>74</v>
      </c>
      <c r="D37" s="140">
        <f>CFwp_Korea!D37+CFwp_US_KRW!D37</f>
        <v>0</v>
      </c>
      <c r="E37" s="140">
        <f>CFwp_Korea!E37+CFwp_US_KRW!E37</f>
        <v>-692503942</v>
      </c>
      <c r="F37" s="146"/>
      <c r="G37" s="146"/>
      <c r="H37" s="143"/>
      <c r="I37" s="140">
        <f>CFwp_Korea!I37+CFwp_US_KRW!I37</f>
        <v>0</v>
      </c>
      <c r="J37" s="140">
        <f>CFwp_Korea!J37+CFwp_US_KRW!J37</f>
        <v>0</v>
      </c>
      <c r="K37" s="140">
        <f>CFwp_Korea!K37+CFwp_US_KRW!K37</f>
        <v>0</v>
      </c>
      <c r="L37" s="140">
        <f>CFwp_Korea!L37+CFwp_US_KRW!L37</f>
        <v>0</v>
      </c>
      <c r="M37" s="140">
        <f>CFwp_Korea!M37+CFwp_US_KRW!M37</f>
        <v>0</v>
      </c>
      <c r="N37" s="140">
        <f>CFwp_Korea!N37+CFwp_US_KRW!N37</f>
        <v>0</v>
      </c>
      <c r="O37" s="140">
        <f>CFwp_Korea!O37+CFwp_US_KRW!O37</f>
        <v>0</v>
      </c>
      <c r="P37" s="140">
        <f>CFwp_Korea!P37+CFwp_US_KRW!P37</f>
        <v>0</v>
      </c>
      <c r="Q37" s="140">
        <f>CFwp_Korea!Q37+CFwp_US_KRW!Q37</f>
        <v>0</v>
      </c>
      <c r="R37" s="140">
        <f>CFwp_Korea!R37+CFwp_US_KRW!R37</f>
        <v>0</v>
      </c>
      <c r="S37" s="140">
        <f>CFwp_Korea!S37+CFwp_US_KRW!S37</f>
        <v>0</v>
      </c>
      <c r="T37" s="140">
        <f>CFwp_Korea!T37+CFwp_US_KRW!T37</f>
        <v>0</v>
      </c>
      <c r="U37" s="140">
        <f>CFwp_Korea!U37+CFwp_US_KRW!U37</f>
        <v>0</v>
      </c>
      <c r="V37" s="140">
        <f>CFwp_Korea!V37+CFwp_US_KRW!V37</f>
        <v>0</v>
      </c>
      <c r="W37" s="140">
        <f>CFwp_Korea!W37+CFwp_US_KRW!W37</f>
        <v>0</v>
      </c>
      <c r="X37" s="140">
        <f>CFwp_Korea!X37+CFwp_US_KRW!X37</f>
        <v>0</v>
      </c>
      <c r="Y37" s="140">
        <f>CFwp_Korea!Y37+CFwp_US_KRW!Y37</f>
        <v>0</v>
      </c>
      <c r="Z37" s="140">
        <f>CFwp_Korea!Z37+CFwp_US_KRW!Z37</f>
        <v>0</v>
      </c>
      <c r="AA37" s="182"/>
      <c r="AB37" s="182"/>
    </row>
    <row r="38" spans="2:28">
      <c r="B38" s="139" t="s">
        <v>75</v>
      </c>
      <c r="C38" s="139" t="s">
        <v>76</v>
      </c>
      <c r="D38" s="140">
        <f>CFwp_Korea!D38+CFwp_US_KRW!D38</f>
        <v>3077150977</v>
      </c>
      <c r="E38" s="140">
        <f>CFwp_Korea!E38+CFwp_US_KRW!E38</f>
        <v>17942503420</v>
      </c>
      <c r="F38" s="146"/>
      <c r="G38" s="146"/>
      <c r="H38" s="143"/>
      <c r="I38" s="140">
        <f>CFwp_Korea!I38+CFwp_US_KRW!I38</f>
        <v>0</v>
      </c>
      <c r="J38" s="140">
        <f>CFwp_Korea!J38+CFwp_US_KRW!J38</f>
        <v>0</v>
      </c>
      <c r="K38" s="140">
        <f>CFwp_Korea!K38+CFwp_US_KRW!K38</f>
        <v>0</v>
      </c>
      <c r="L38" s="140">
        <f>CFwp_Korea!L38+CFwp_US_KRW!L38</f>
        <v>0</v>
      </c>
      <c r="M38" s="140">
        <f>CFwp_Korea!M38+CFwp_US_KRW!M38</f>
        <v>0</v>
      </c>
      <c r="N38" s="140">
        <f>CFwp_Korea!N38+CFwp_US_KRW!N38</f>
        <v>0</v>
      </c>
      <c r="O38" s="140">
        <f>CFwp_Korea!O38+CFwp_US_KRW!O38</f>
        <v>0</v>
      </c>
      <c r="P38" s="140">
        <f>CFwp_Korea!P38+CFwp_US_KRW!P38</f>
        <v>0</v>
      </c>
      <c r="Q38" s="140">
        <f>CFwp_Korea!Q38+CFwp_US_KRW!Q38</f>
        <v>0</v>
      </c>
      <c r="R38" s="140">
        <f>CFwp_Korea!R38+CFwp_US_KRW!R38</f>
        <v>0</v>
      </c>
      <c r="S38" s="140">
        <f>CFwp_Korea!S38+CFwp_US_KRW!S38</f>
        <v>0</v>
      </c>
      <c r="T38" s="140">
        <f>CFwp_Korea!T38+CFwp_US_KRW!T38</f>
        <v>0</v>
      </c>
      <c r="U38" s="140">
        <f>CFwp_Korea!U38+CFwp_US_KRW!U38</f>
        <v>0</v>
      </c>
      <c r="V38" s="140">
        <f>CFwp_Korea!V38+CFwp_US_KRW!V38</f>
        <v>0</v>
      </c>
      <c r="W38" s="140">
        <f>CFwp_Korea!W38+CFwp_US_KRW!W38</f>
        <v>0</v>
      </c>
      <c r="X38" s="140">
        <f>CFwp_Korea!X38+CFwp_US_KRW!X38</f>
        <v>0</v>
      </c>
      <c r="Y38" s="140">
        <f>CFwp_Korea!Y38+CFwp_US_KRW!Y38</f>
        <v>0</v>
      </c>
      <c r="Z38" s="140">
        <f>CFwp_Korea!Z38+CFwp_US_KRW!Z38</f>
        <v>0</v>
      </c>
      <c r="AA38" s="182"/>
      <c r="AB38" s="182"/>
    </row>
    <row r="39" spans="2:28">
      <c r="B39" s="139" t="s">
        <v>77</v>
      </c>
      <c r="C39" s="139" t="s">
        <v>78</v>
      </c>
      <c r="D39" s="140">
        <f>CFwp_Korea!D39+CFwp_US_KRW!D39</f>
        <v>0</v>
      </c>
      <c r="E39" s="140">
        <f>CFwp_Korea!E39+CFwp_US_KRW!E39</f>
        <v>-840869466</v>
      </c>
      <c r="F39" s="146"/>
      <c r="G39" s="146"/>
      <c r="H39" s="143"/>
      <c r="I39" s="140">
        <f>CFwp_Korea!I39+CFwp_US_KRW!I39</f>
        <v>0</v>
      </c>
      <c r="J39" s="140">
        <f>CFwp_Korea!J39+CFwp_US_KRW!J39</f>
        <v>0</v>
      </c>
      <c r="K39" s="140">
        <f>CFwp_Korea!K39+CFwp_US_KRW!K39</f>
        <v>0</v>
      </c>
      <c r="L39" s="140">
        <f>CFwp_Korea!L39+CFwp_US_KRW!L39</f>
        <v>0</v>
      </c>
      <c r="M39" s="140">
        <f>CFwp_Korea!M39+CFwp_US_KRW!M39</f>
        <v>0</v>
      </c>
      <c r="N39" s="140">
        <f>CFwp_Korea!N39+CFwp_US_KRW!N39</f>
        <v>0</v>
      </c>
      <c r="O39" s="140">
        <f>CFwp_Korea!O39+CFwp_US_KRW!O39</f>
        <v>0</v>
      </c>
      <c r="P39" s="140">
        <f>CFwp_Korea!P39+CFwp_US_KRW!P39</f>
        <v>0</v>
      </c>
      <c r="Q39" s="140">
        <f>CFwp_Korea!Q39+CFwp_US_KRW!Q39</f>
        <v>0</v>
      </c>
      <c r="R39" s="140">
        <f>CFwp_Korea!R39+CFwp_US_KRW!R39</f>
        <v>0</v>
      </c>
      <c r="S39" s="140">
        <f>CFwp_Korea!S39+CFwp_US_KRW!S39</f>
        <v>0</v>
      </c>
      <c r="T39" s="140">
        <f>CFwp_Korea!T39+CFwp_US_KRW!T39</f>
        <v>0</v>
      </c>
      <c r="U39" s="140">
        <f>CFwp_Korea!U39+CFwp_US_KRW!U39</f>
        <v>0</v>
      </c>
      <c r="V39" s="140">
        <f>CFwp_Korea!V39+CFwp_US_KRW!V39</f>
        <v>0</v>
      </c>
      <c r="W39" s="140">
        <f>CFwp_Korea!W39+CFwp_US_KRW!W39</f>
        <v>0</v>
      </c>
      <c r="X39" s="140">
        <f>CFwp_Korea!X39+CFwp_US_KRW!X39</f>
        <v>0</v>
      </c>
      <c r="Y39" s="140">
        <f>CFwp_Korea!Y39+CFwp_US_KRW!Y39</f>
        <v>0</v>
      </c>
      <c r="Z39" s="140">
        <f>CFwp_Korea!Z39+CFwp_US_KRW!Z39</f>
        <v>0</v>
      </c>
      <c r="AA39" s="182"/>
      <c r="AB39" s="182"/>
    </row>
    <row r="40" spans="2:28">
      <c r="B40" s="139" t="s">
        <v>79</v>
      </c>
      <c r="C40" s="139" t="s">
        <v>80</v>
      </c>
      <c r="D40" s="140">
        <f>CFwp_Korea!D40+CFwp_US_KRW!D40</f>
        <v>920887954</v>
      </c>
      <c r="E40" s="140">
        <f>CFwp_Korea!E40+CFwp_US_KRW!E40</f>
        <v>8982567553</v>
      </c>
      <c r="F40" s="146"/>
      <c r="G40" s="146"/>
      <c r="H40" s="143"/>
      <c r="I40" s="140">
        <f>CFwp_Korea!I40+CFwp_US_KRW!I40</f>
        <v>0</v>
      </c>
      <c r="J40" s="140">
        <f>CFwp_Korea!J40+CFwp_US_KRW!J40</f>
        <v>0</v>
      </c>
      <c r="K40" s="140">
        <f>CFwp_Korea!K40+CFwp_US_KRW!K40</f>
        <v>0</v>
      </c>
      <c r="L40" s="140">
        <f>CFwp_Korea!L40+CFwp_US_KRW!L40</f>
        <v>0</v>
      </c>
      <c r="M40" s="140">
        <f>CFwp_Korea!M40+CFwp_US_KRW!M40</f>
        <v>0</v>
      </c>
      <c r="N40" s="140">
        <f>CFwp_Korea!N40+CFwp_US_KRW!N40</f>
        <v>0</v>
      </c>
      <c r="O40" s="140">
        <f>CFwp_Korea!O40+CFwp_US_KRW!O40</f>
        <v>0</v>
      </c>
      <c r="P40" s="140">
        <f>CFwp_Korea!P40+CFwp_US_KRW!P40</f>
        <v>0</v>
      </c>
      <c r="Q40" s="140">
        <f>CFwp_Korea!Q40+CFwp_US_KRW!Q40</f>
        <v>0</v>
      </c>
      <c r="R40" s="140">
        <f>CFwp_Korea!R40+CFwp_US_KRW!R40</f>
        <v>0</v>
      </c>
      <c r="S40" s="140">
        <f>CFwp_Korea!S40+CFwp_US_KRW!S40</f>
        <v>0</v>
      </c>
      <c r="T40" s="140">
        <f>CFwp_Korea!T40+CFwp_US_KRW!T40</f>
        <v>0</v>
      </c>
      <c r="U40" s="140">
        <f>CFwp_Korea!U40+CFwp_US_KRW!U40</f>
        <v>0</v>
      </c>
      <c r="V40" s="140">
        <f>CFwp_Korea!V40+CFwp_US_KRW!V40</f>
        <v>0</v>
      </c>
      <c r="W40" s="140">
        <f>CFwp_Korea!W40+CFwp_US_KRW!W40</f>
        <v>0</v>
      </c>
      <c r="X40" s="140">
        <f>CFwp_Korea!X40+CFwp_US_KRW!X40</f>
        <v>0</v>
      </c>
      <c r="Y40" s="140">
        <f>CFwp_Korea!Y40+CFwp_US_KRW!Y40</f>
        <v>0</v>
      </c>
      <c r="Z40" s="140">
        <f>CFwp_Korea!Z40+CFwp_US_KRW!Z40</f>
        <v>0</v>
      </c>
      <c r="AA40" s="182"/>
      <c r="AB40" s="182"/>
    </row>
    <row r="41" spans="2:28">
      <c r="B41" s="139" t="s">
        <v>81</v>
      </c>
      <c r="C41" s="139" t="s">
        <v>82</v>
      </c>
      <c r="D41" s="140">
        <f>CFwp_Korea!D41+CFwp_US_KRW!D41</f>
        <v>2682244471</v>
      </c>
      <c r="E41" s="140">
        <f>CFwp_Korea!E41+CFwp_US_KRW!E41</f>
        <v>17547814739</v>
      </c>
      <c r="F41" s="146"/>
      <c r="G41" s="146"/>
      <c r="H41" s="143"/>
      <c r="I41" s="140">
        <f>CFwp_Korea!I41+CFwp_US_KRW!I41</f>
        <v>0</v>
      </c>
      <c r="J41" s="140">
        <f>CFwp_Korea!J41+CFwp_US_KRW!J41</f>
        <v>0</v>
      </c>
      <c r="K41" s="140">
        <f>CFwp_Korea!K41+CFwp_US_KRW!K41</f>
        <v>0</v>
      </c>
      <c r="L41" s="140">
        <f>CFwp_Korea!L41+CFwp_US_KRW!L41</f>
        <v>0</v>
      </c>
      <c r="M41" s="140">
        <f>CFwp_Korea!M41+CFwp_US_KRW!M41</f>
        <v>0</v>
      </c>
      <c r="N41" s="140">
        <f>CFwp_Korea!N41+CFwp_US_KRW!N41</f>
        <v>0</v>
      </c>
      <c r="O41" s="140">
        <f>CFwp_Korea!O41+CFwp_US_KRW!O41</f>
        <v>0</v>
      </c>
      <c r="P41" s="140">
        <f>CFwp_Korea!P41+CFwp_US_KRW!P41</f>
        <v>0</v>
      </c>
      <c r="Q41" s="140">
        <f>CFwp_Korea!Q41+CFwp_US_KRW!Q41</f>
        <v>0</v>
      </c>
      <c r="R41" s="140">
        <f>CFwp_Korea!R41+CFwp_US_KRW!R41</f>
        <v>0</v>
      </c>
      <c r="S41" s="140">
        <f>CFwp_Korea!S41+CFwp_US_KRW!S41</f>
        <v>0</v>
      </c>
      <c r="T41" s="140">
        <f>CFwp_Korea!T41+CFwp_US_KRW!T41</f>
        <v>0</v>
      </c>
      <c r="U41" s="140">
        <f>CFwp_Korea!U41+CFwp_US_KRW!U41</f>
        <v>0</v>
      </c>
      <c r="V41" s="140">
        <f>CFwp_Korea!V41+CFwp_US_KRW!V41</f>
        <v>0</v>
      </c>
      <c r="W41" s="140">
        <f>CFwp_Korea!W41+CFwp_US_KRW!W41</f>
        <v>0</v>
      </c>
      <c r="X41" s="140">
        <f>CFwp_Korea!X41+CFwp_US_KRW!X41</f>
        <v>0</v>
      </c>
      <c r="Y41" s="140">
        <f>CFwp_Korea!Y41+CFwp_US_KRW!Y41</f>
        <v>0</v>
      </c>
      <c r="Z41" s="140">
        <f>CFwp_Korea!Z41+CFwp_US_KRW!Z41</f>
        <v>0</v>
      </c>
      <c r="AA41" s="182"/>
      <c r="AB41" s="182"/>
    </row>
    <row r="42" spans="2:28">
      <c r="B42" s="139" t="s">
        <v>83</v>
      </c>
      <c r="C42" s="139" t="s">
        <v>84</v>
      </c>
      <c r="D42" s="140">
        <f>CFwp_Korea!D42+CFwp_US_KRW!D42</f>
        <v>0</v>
      </c>
      <c r="E42" s="140">
        <f>CFwp_Korea!E42+CFwp_US_KRW!E42</f>
        <v>-1033566288</v>
      </c>
      <c r="F42" s="146"/>
      <c r="G42" s="146"/>
      <c r="H42" s="143"/>
      <c r="I42" s="140">
        <f>CFwp_Korea!I42+CFwp_US_KRW!I42</f>
        <v>0</v>
      </c>
      <c r="J42" s="140">
        <f>CFwp_Korea!J42+CFwp_US_KRW!J42</f>
        <v>0</v>
      </c>
      <c r="K42" s="140">
        <f>CFwp_Korea!K42+CFwp_US_KRW!K42</f>
        <v>0</v>
      </c>
      <c r="L42" s="140">
        <f>CFwp_Korea!L42+CFwp_US_KRW!L42</f>
        <v>0</v>
      </c>
      <c r="M42" s="140">
        <f>CFwp_Korea!M42+CFwp_US_KRW!M42</f>
        <v>0</v>
      </c>
      <c r="N42" s="140">
        <f>CFwp_Korea!N42+CFwp_US_KRW!N42</f>
        <v>0</v>
      </c>
      <c r="O42" s="140">
        <f>CFwp_Korea!O42+CFwp_US_KRW!O42</f>
        <v>0</v>
      </c>
      <c r="P42" s="140">
        <f>CFwp_Korea!P42+CFwp_US_KRW!P42</f>
        <v>0</v>
      </c>
      <c r="Q42" s="140">
        <f>CFwp_Korea!Q42+CFwp_US_KRW!Q42</f>
        <v>0</v>
      </c>
      <c r="R42" s="140">
        <f>CFwp_Korea!R42+CFwp_US_KRW!R42</f>
        <v>0</v>
      </c>
      <c r="S42" s="140">
        <f>CFwp_Korea!S42+CFwp_US_KRW!S42</f>
        <v>0</v>
      </c>
      <c r="T42" s="140">
        <f>CFwp_Korea!T42+CFwp_US_KRW!T42</f>
        <v>0</v>
      </c>
      <c r="U42" s="140">
        <f>CFwp_Korea!U42+CFwp_US_KRW!U42</f>
        <v>0</v>
      </c>
      <c r="V42" s="140">
        <f>CFwp_Korea!V42+CFwp_US_KRW!V42</f>
        <v>0</v>
      </c>
      <c r="W42" s="140">
        <f>CFwp_Korea!W42+CFwp_US_KRW!W42</f>
        <v>0</v>
      </c>
      <c r="X42" s="140">
        <f>CFwp_Korea!X42+CFwp_US_KRW!X42</f>
        <v>0</v>
      </c>
      <c r="Y42" s="140">
        <f>CFwp_Korea!Y42+CFwp_US_KRW!Y42</f>
        <v>0</v>
      </c>
      <c r="Z42" s="140">
        <f>CFwp_Korea!Z42+CFwp_US_KRW!Z42</f>
        <v>0</v>
      </c>
      <c r="AA42" s="182"/>
      <c r="AB42" s="182"/>
    </row>
    <row r="43" spans="2:28">
      <c r="B43" s="139" t="s">
        <v>85</v>
      </c>
      <c r="C43" s="139" t="s">
        <v>86</v>
      </c>
      <c r="D43" s="140">
        <f>CFwp_Korea!D43+CFwp_US_KRW!D43</f>
        <v>0</v>
      </c>
      <c r="E43" s="140">
        <f>CFwp_Korea!E43+CFwp_US_KRW!E43</f>
        <v>0</v>
      </c>
      <c r="F43" s="146"/>
      <c r="G43" s="146"/>
      <c r="H43" s="143"/>
      <c r="I43" s="140">
        <f>CFwp_Korea!I43+CFwp_US_KRW!I43</f>
        <v>0</v>
      </c>
      <c r="J43" s="140">
        <f>CFwp_Korea!J43+CFwp_US_KRW!J43</f>
        <v>0</v>
      </c>
      <c r="K43" s="140">
        <f>CFwp_Korea!K43+CFwp_US_KRW!K43</f>
        <v>0</v>
      </c>
      <c r="L43" s="140">
        <f>CFwp_Korea!L43+CFwp_US_KRW!L43</f>
        <v>0</v>
      </c>
      <c r="M43" s="140">
        <f>CFwp_Korea!M43+CFwp_US_KRW!M43</f>
        <v>0</v>
      </c>
      <c r="N43" s="140">
        <f>CFwp_Korea!N43+CFwp_US_KRW!N43</f>
        <v>0</v>
      </c>
      <c r="O43" s="140">
        <f>CFwp_Korea!O43+CFwp_US_KRW!O43</f>
        <v>0</v>
      </c>
      <c r="P43" s="140">
        <f>CFwp_Korea!P43+CFwp_US_KRW!P43</f>
        <v>0</v>
      </c>
      <c r="Q43" s="140">
        <f>CFwp_Korea!Q43+CFwp_US_KRW!Q43</f>
        <v>0</v>
      </c>
      <c r="R43" s="140">
        <f>CFwp_Korea!R43+CFwp_US_KRW!R43</f>
        <v>0</v>
      </c>
      <c r="S43" s="140">
        <f>CFwp_Korea!S43+CFwp_US_KRW!S43</f>
        <v>0</v>
      </c>
      <c r="T43" s="140">
        <f>CFwp_Korea!T43+CFwp_US_KRW!T43</f>
        <v>0</v>
      </c>
      <c r="U43" s="140">
        <f>CFwp_Korea!U43+CFwp_US_KRW!U43</f>
        <v>0</v>
      </c>
      <c r="V43" s="140">
        <f>CFwp_Korea!V43+CFwp_US_KRW!V43</f>
        <v>0</v>
      </c>
      <c r="W43" s="140">
        <f>CFwp_Korea!W43+CFwp_US_KRW!W43</f>
        <v>0</v>
      </c>
      <c r="X43" s="140">
        <f>CFwp_Korea!X43+CFwp_US_KRW!X43</f>
        <v>0</v>
      </c>
      <c r="Y43" s="140">
        <f>CFwp_Korea!Y43+CFwp_US_KRW!Y43</f>
        <v>0</v>
      </c>
      <c r="Z43" s="140">
        <f>CFwp_Korea!Z43+CFwp_US_KRW!Z43</f>
        <v>0</v>
      </c>
      <c r="AA43" s="182"/>
      <c r="AB43" s="182"/>
    </row>
    <row r="44" spans="2:28">
      <c r="B44" s="139" t="s">
        <v>87</v>
      </c>
      <c r="C44" s="139" t="s">
        <v>88</v>
      </c>
      <c r="D44" s="140">
        <f>CFwp_Korea!D44+CFwp_US_KRW!D44</f>
        <v>0</v>
      </c>
      <c r="E44" s="140">
        <f>CFwp_Korea!E44+CFwp_US_KRW!E44</f>
        <v>0</v>
      </c>
      <c r="F44" s="146"/>
      <c r="G44" s="146"/>
      <c r="H44" s="143"/>
      <c r="I44" s="140">
        <f>CFwp_Korea!I44+CFwp_US_KRW!I44</f>
        <v>0</v>
      </c>
      <c r="J44" s="140">
        <f>CFwp_Korea!J44+CFwp_US_KRW!J44</f>
        <v>0</v>
      </c>
      <c r="K44" s="140">
        <f>CFwp_Korea!K44+CFwp_US_KRW!K44</f>
        <v>0</v>
      </c>
      <c r="L44" s="140">
        <f>CFwp_Korea!L44+CFwp_US_KRW!L44</f>
        <v>0</v>
      </c>
      <c r="M44" s="140">
        <f>CFwp_Korea!M44+CFwp_US_KRW!M44</f>
        <v>0</v>
      </c>
      <c r="N44" s="140">
        <f>CFwp_Korea!N44+CFwp_US_KRW!N44</f>
        <v>0</v>
      </c>
      <c r="O44" s="140">
        <f>CFwp_Korea!O44+CFwp_US_KRW!O44</f>
        <v>0</v>
      </c>
      <c r="P44" s="140">
        <f>CFwp_Korea!P44+CFwp_US_KRW!P44</f>
        <v>0</v>
      </c>
      <c r="Q44" s="140">
        <f>CFwp_Korea!Q44+CFwp_US_KRW!Q44</f>
        <v>0</v>
      </c>
      <c r="R44" s="140">
        <f>CFwp_Korea!R44+CFwp_US_KRW!R44</f>
        <v>0</v>
      </c>
      <c r="S44" s="140">
        <f>CFwp_Korea!S44+CFwp_US_KRW!S44</f>
        <v>0</v>
      </c>
      <c r="T44" s="140">
        <f>CFwp_Korea!T44+CFwp_US_KRW!T44</f>
        <v>0</v>
      </c>
      <c r="U44" s="140">
        <f>CFwp_Korea!U44+CFwp_US_KRW!U44</f>
        <v>0</v>
      </c>
      <c r="V44" s="140">
        <f>CFwp_Korea!V44+CFwp_US_KRW!V44</f>
        <v>0</v>
      </c>
      <c r="W44" s="140">
        <f>CFwp_Korea!W44+CFwp_US_KRW!W44</f>
        <v>0</v>
      </c>
      <c r="X44" s="140">
        <f>CFwp_Korea!X44+CFwp_US_KRW!X44</f>
        <v>0</v>
      </c>
      <c r="Y44" s="140">
        <f>CFwp_Korea!Y44+CFwp_US_KRW!Y44</f>
        <v>0</v>
      </c>
      <c r="Z44" s="140">
        <f>CFwp_Korea!Z44+CFwp_US_KRW!Z44</f>
        <v>0</v>
      </c>
      <c r="AA44" s="182"/>
      <c r="AB44" s="182"/>
    </row>
    <row r="45" spans="2:28">
      <c r="B45" s="139" t="s">
        <v>89</v>
      </c>
      <c r="C45" s="139" t="s">
        <v>90</v>
      </c>
      <c r="D45" s="140">
        <f>CFwp_Korea!D45+CFwp_US_KRW!D45</f>
        <v>6440680</v>
      </c>
      <c r="E45" s="140">
        <f>CFwp_Korea!E45+CFwp_US_KRW!E45</f>
        <v>366715851</v>
      </c>
      <c r="F45" s="146"/>
      <c r="G45" s="146"/>
      <c r="H45" s="143"/>
      <c r="I45" s="140">
        <f>CFwp_Korea!I45+CFwp_US_KRW!I45</f>
        <v>0</v>
      </c>
      <c r="J45" s="140">
        <f>CFwp_Korea!J45+CFwp_US_KRW!J45</f>
        <v>0</v>
      </c>
      <c r="K45" s="140">
        <f>CFwp_Korea!K45+CFwp_US_KRW!K45</f>
        <v>0</v>
      </c>
      <c r="L45" s="140">
        <f>CFwp_Korea!L45+CFwp_US_KRW!L45</f>
        <v>0</v>
      </c>
      <c r="M45" s="140">
        <f>CFwp_Korea!M45+CFwp_US_KRW!M45</f>
        <v>0</v>
      </c>
      <c r="N45" s="140">
        <f>CFwp_Korea!N45+CFwp_US_KRW!N45</f>
        <v>0</v>
      </c>
      <c r="O45" s="140">
        <f>CFwp_Korea!O45+CFwp_US_KRW!O45</f>
        <v>0</v>
      </c>
      <c r="P45" s="140">
        <f>CFwp_Korea!P45+CFwp_US_KRW!P45</f>
        <v>0</v>
      </c>
      <c r="Q45" s="140">
        <f>CFwp_Korea!Q45+CFwp_US_KRW!Q45</f>
        <v>0</v>
      </c>
      <c r="R45" s="140">
        <f>CFwp_Korea!R45+CFwp_US_KRW!R45</f>
        <v>0</v>
      </c>
      <c r="S45" s="140">
        <f>CFwp_Korea!S45+CFwp_US_KRW!S45</f>
        <v>0</v>
      </c>
      <c r="T45" s="140">
        <f>CFwp_Korea!T45+CFwp_US_KRW!T45</f>
        <v>0</v>
      </c>
      <c r="U45" s="140">
        <f>CFwp_Korea!U45+CFwp_US_KRW!U45</f>
        <v>0</v>
      </c>
      <c r="V45" s="140">
        <f>CFwp_Korea!V45+CFwp_US_KRW!V45</f>
        <v>0</v>
      </c>
      <c r="W45" s="140">
        <f>CFwp_Korea!W45+CFwp_US_KRW!W45</f>
        <v>0</v>
      </c>
      <c r="X45" s="140">
        <f>CFwp_Korea!X45+CFwp_US_KRW!X45</f>
        <v>0</v>
      </c>
      <c r="Y45" s="140">
        <f>CFwp_Korea!Y45+CFwp_US_KRW!Y45</f>
        <v>0</v>
      </c>
      <c r="Z45" s="140">
        <f>CFwp_Korea!Z45+CFwp_US_KRW!Z45</f>
        <v>0</v>
      </c>
      <c r="AA45" s="182"/>
      <c r="AB45" s="182"/>
    </row>
    <row r="46" spans="2:28">
      <c r="B46" s="139" t="s">
        <v>66</v>
      </c>
      <c r="C46" s="139"/>
      <c r="D46" s="140"/>
      <c r="E46" s="140"/>
      <c r="F46" s="146"/>
      <c r="G46" s="146"/>
      <c r="H46" s="143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82"/>
      <c r="AB46" s="182"/>
    </row>
    <row r="47" spans="2:28">
      <c r="B47" s="139" t="s">
        <v>66</v>
      </c>
      <c r="C47" s="139"/>
      <c r="D47" s="140"/>
      <c r="E47" s="140"/>
      <c r="F47" s="146"/>
      <c r="G47" s="146"/>
      <c r="H47" s="143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82"/>
      <c r="AB47" s="182"/>
    </row>
    <row r="48" spans="2:28">
      <c r="B48" s="134"/>
      <c r="C48" s="134" t="s">
        <v>575</v>
      </c>
      <c r="D48" s="136">
        <f>D49+D59+D82+D90</f>
        <v>107608909783</v>
      </c>
      <c r="E48" s="136">
        <f>E49+E59+E82+E90</f>
        <v>139947405170.02499</v>
      </c>
      <c r="F48" s="152"/>
      <c r="G48" s="152"/>
      <c r="H48" s="136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>
        <v>0</v>
      </c>
      <c r="Z48" s="136">
        <v>0</v>
      </c>
      <c r="AA48" s="182"/>
      <c r="AB48" s="182"/>
    </row>
    <row r="49" spans="2:28">
      <c r="B49" s="137"/>
      <c r="C49" s="137" t="s">
        <v>576</v>
      </c>
      <c r="D49" s="138">
        <f>SUM(D50:D57)</f>
        <v>83684901586</v>
      </c>
      <c r="E49" s="138">
        <f>SUM(E50:E57)</f>
        <v>89636490402.024994</v>
      </c>
      <c r="F49" s="154"/>
      <c r="G49" s="154"/>
      <c r="H49" s="138"/>
      <c r="I49" s="149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>
        <v>0</v>
      </c>
      <c r="Z49" s="138">
        <v>0</v>
      </c>
      <c r="AA49" s="182"/>
      <c r="AB49" s="182"/>
    </row>
    <row r="50" spans="2:28">
      <c r="B50" s="139" t="s">
        <v>92</v>
      </c>
      <c r="C50" s="139" t="s">
        <v>93</v>
      </c>
      <c r="D50" s="140">
        <f>CFwp_Korea!D50+CFwp_US_KRW!D50</f>
        <v>0</v>
      </c>
      <c r="E50" s="140">
        <f>CFwp_Korea!E50+CFwp_US_KRW!E50</f>
        <v>0</v>
      </c>
      <c r="F50" s="146">
        <f>E50-D50</f>
        <v>0</v>
      </c>
      <c r="G50" s="146">
        <f t="shared" ref="G50:G99" si="4">J50-K50+N50+O50-P50+Q50-R50-T50+V50+F50-W50+X50-Y50+Z50</f>
        <v>0</v>
      </c>
      <c r="H50" s="143"/>
      <c r="I50" s="140">
        <f>CFwp_Korea!I50+CFwp_US_KRW!I50</f>
        <v>0</v>
      </c>
      <c r="J50" s="140">
        <f>CFwp_Korea!J50+CFwp_US_KRW!J50</f>
        <v>0</v>
      </c>
      <c r="K50" s="140">
        <f>CFwp_Korea!K50+CFwp_US_KRW!K50</f>
        <v>0</v>
      </c>
      <c r="L50" s="140">
        <f>CFwp_Korea!L50+CFwp_US_KRW!L50</f>
        <v>0</v>
      </c>
      <c r="M50" s="140">
        <f>CFwp_Korea!M50+CFwp_US_KRW!M50</f>
        <v>0</v>
      </c>
      <c r="N50" s="140">
        <f>CFwp_Korea!N50+CFwp_US_KRW!N50</f>
        <v>0</v>
      </c>
      <c r="O50" s="140">
        <f>CFwp_Korea!O50+CFwp_US_KRW!O50</f>
        <v>0</v>
      </c>
      <c r="P50" s="140">
        <f>CFwp_Korea!P50+CFwp_US_KRW!P50</f>
        <v>0</v>
      </c>
      <c r="Q50" s="140">
        <f>CFwp_Korea!Q50+CFwp_US_KRW!Q50</f>
        <v>0</v>
      </c>
      <c r="R50" s="140">
        <f>CFwp_Korea!R50+CFwp_US_KRW!R50</f>
        <v>0</v>
      </c>
      <c r="S50" s="140">
        <f>CFwp_Korea!S50+CFwp_US_KRW!S50</f>
        <v>0</v>
      </c>
      <c r="T50" s="140">
        <f>CFwp_Korea!T50+CFwp_US_KRW!T50</f>
        <v>0</v>
      </c>
      <c r="U50" s="140">
        <f>CFwp_Korea!U50+CFwp_US_KRW!U50</f>
        <v>0</v>
      </c>
      <c r="V50" s="140">
        <f>CFwp_Korea!V50+CFwp_US_KRW!V50</f>
        <v>0</v>
      </c>
      <c r="W50" s="140">
        <f>CFwp_Korea!W50+CFwp_US_KRW!W50</f>
        <v>0</v>
      </c>
      <c r="X50" s="140">
        <f>CFwp_Korea!X50+CFwp_US_KRW!X50</f>
        <v>0</v>
      </c>
      <c r="Y50" s="140">
        <f>CFwp_Korea!Y50+CFwp_US_KRW!Y50</f>
        <v>0</v>
      </c>
      <c r="Z50" s="140">
        <f>CFwp_Korea!Z50+CFwp_US_KRW!Z50</f>
        <v>0</v>
      </c>
      <c r="AA50" s="182"/>
      <c r="AB50" s="182"/>
    </row>
    <row r="51" spans="2:28">
      <c r="B51" s="139" t="s">
        <v>96</v>
      </c>
      <c r="C51" s="139" t="s">
        <v>97</v>
      </c>
      <c r="D51" s="140">
        <f>CFwp_Korea!D51+CFwp_US_KRW!D51</f>
        <v>0</v>
      </c>
      <c r="E51" s="140">
        <f>CFwp_Korea!E51+CFwp_US_KRW!E51</f>
        <v>0</v>
      </c>
      <c r="F51" s="146">
        <f>E51-D51</f>
        <v>0</v>
      </c>
      <c r="G51" s="146">
        <f t="shared" si="4"/>
        <v>0</v>
      </c>
      <c r="H51" s="143" t="s">
        <v>441</v>
      </c>
      <c r="I51" s="140">
        <f>CFwp_Korea!I51+CFwp_US_KRW!I51</f>
        <v>0</v>
      </c>
      <c r="J51" s="140">
        <f>CFwp_Korea!J51+CFwp_US_KRW!J51</f>
        <v>0</v>
      </c>
      <c r="K51" s="140">
        <f>CFwp_Korea!K51+CFwp_US_KRW!K51</f>
        <v>0</v>
      </c>
      <c r="L51" s="140">
        <f>CFwp_Korea!L51+CFwp_US_KRW!L51</f>
        <v>0</v>
      </c>
      <c r="M51" s="140">
        <f>CFwp_Korea!M51+CFwp_US_KRW!M51</f>
        <v>0</v>
      </c>
      <c r="N51" s="140">
        <f>CFwp_Korea!N51+CFwp_US_KRW!N51</f>
        <v>0</v>
      </c>
      <c r="O51" s="140">
        <f>CFwp_Korea!O51+CFwp_US_KRW!O51</f>
        <v>0</v>
      </c>
      <c r="P51" s="140">
        <f>CFwp_Korea!P51+CFwp_US_KRW!P51</f>
        <v>0</v>
      </c>
      <c r="Q51" s="140">
        <f>CFwp_Korea!Q51+CFwp_US_KRW!Q51</f>
        <v>0</v>
      </c>
      <c r="R51" s="140">
        <f>CFwp_Korea!R51+CFwp_US_KRW!R51</f>
        <v>0</v>
      </c>
      <c r="S51" s="140">
        <f>CFwp_Korea!S51+CFwp_US_KRW!S51</f>
        <v>0</v>
      </c>
      <c r="T51" s="140">
        <f>CFwp_Korea!T51+CFwp_US_KRW!T51</f>
        <v>0</v>
      </c>
      <c r="U51" s="140">
        <f>CFwp_Korea!U51+CFwp_US_KRW!U51</f>
        <v>0</v>
      </c>
      <c r="V51" s="140">
        <f>CFwp_Korea!V51+CFwp_US_KRW!V51</f>
        <v>0</v>
      </c>
      <c r="W51" s="140">
        <f>CFwp_Korea!W51+CFwp_US_KRW!W51</f>
        <v>0</v>
      </c>
      <c r="X51" s="140">
        <f>CFwp_Korea!X51+CFwp_US_KRW!X51</f>
        <v>0</v>
      </c>
      <c r="Y51" s="140">
        <f>CFwp_Korea!Y51+CFwp_US_KRW!Y51</f>
        <v>0</v>
      </c>
      <c r="Z51" s="140">
        <f>CFwp_Korea!Z51+CFwp_US_KRW!Z51</f>
        <v>0</v>
      </c>
      <c r="AA51" s="182"/>
      <c r="AB51" s="182"/>
    </row>
    <row r="52" spans="2:28">
      <c r="B52" s="139" t="s">
        <v>100</v>
      </c>
      <c r="C52" s="139" t="s">
        <v>101</v>
      </c>
      <c r="D52" s="140">
        <f>CFwp_Korea!D52+CFwp_US_KRW!D52</f>
        <v>0</v>
      </c>
      <c r="E52" s="140">
        <f>CFwp_Korea!E52+CFwp_US_KRW!E52</f>
        <v>0</v>
      </c>
      <c r="F52" s="146">
        <f>E52-D52</f>
        <v>0</v>
      </c>
      <c r="G52" s="146">
        <f t="shared" si="4"/>
        <v>0</v>
      </c>
      <c r="H52" s="143"/>
      <c r="I52" s="140">
        <f>CFwp_Korea!I52+CFwp_US_KRW!I52</f>
        <v>0</v>
      </c>
      <c r="J52" s="140">
        <f>CFwp_Korea!J52+CFwp_US_KRW!J52</f>
        <v>0</v>
      </c>
      <c r="K52" s="140">
        <f>CFwp_Korea!K52+CFwp_US_KRW!K52</f>
        <v>0</v>
      </c>
      <c r="L52" s="140">
        <f>CFwp_Korea!L52+CFwp_US_KRW!L52</f>
        <v>0</v>
      </c>
      <c r="M52" s="140">
        <f>CFwp_Korea!M52+CFwp_US_KRW!M52</f>
        <v>0</v>
      </c>
      <c r="N52" s="140">
        <f>CFwp_Korea!N52+CFwp_US_KRW!N52</f>
        <v>0</v>
      </c>
      <c r="O52" s="140">
        <f>CFwp_Korea!O52+CFwp_US_KRW!O52</f>
        <v>0</v>
      </c>
      <c r="P52" s="140">
        <f>CFwp_Korea!P52+CFwp_US_KRW!P52</f>
        <v>0</v>
      </c>
      <c r="Q52" s="140">
        <f>CFwp_Korea!Q52+CFwp_US_KRW!Q52</f>
        <v>0</v>
      </c>
      <c r="R52" s="140">
        <f>CFwp_Korea!R52+CFwp_US_KRW!R52</f>
        <v>0</v>
      </c>
      <c r="S52" s="140">
        <f>CFwp_Korea!S52+CFwp_US_KRW!S52</f>
        <v>0</v>
      </c>
      <c r="T52" s="140">
        <f>CFwp_Korea!T52+CFwp_US_KRW!T52</f>
        <v>0</v>
      </c>
      <c r="U52" s="140">
        <f>CFwp_Korea!U52+CFwp_US_KRW!U52</f>
        <v>0</v>
      </c>
      <c r="V52" s="140">
        <f>CFwp_Korea!V52+CFwp_US_KRW!V52</f>
        <v>0</v>
      </c>
      <c r="W52" s="140">
        <f>CFwp_Korea!W52+CFwp_US_KRW!W52</f>
        <v>0</v>
      </c>
      <c r="X52" s="140">
        <f>CFwp_Korea!X52+CFwp_US_KRW!X52</f>
        <v>0</v>
      </c>
      <c r="Y52" s="140">
        <f>CFwp_Korea!Y52+CFwp_US_KRW!Y52</f>
        <v>0</v>
      </c>
      <c r="Z52" s="140">
        <f>CFwp_Korea!Z52+CFwp_US_KRW!Z52</f>
        <v>0</v>
      </c>
      <c r="AA52" s="182"/>
      <c r="AB52" s="182"/>
    </row>
    <row r="53" spans="2:28">
      <c r="B53" s="139" t="s">
        <v>98</v>
      </c>
      <c r="C53" s="139" t="s">
        <v>99</v>
      </c>
      <c r="D53" s="140">
        <f>CFwp_Korea!D53+CFwp_US_KRW!D53</f>
        <v>1059412860</v>
      </c>
      <c r="E53" s="140">
        <f>CFwp_Korea!E53+CFwp_US_KRW!E53</f>
        <v>5047622400.0250015</v>
      </c>
      <c r="F53" s="146">
        <f>E53-D53</f>
        <v>3988209540.0250015</v>
      </c>
      <c r="G53" s="146">
        <f t="shared" si="4"/>
        <v>1.430511474609375E-6</v>
      </c>
      <c r="H53" s="143" t="s">
        <v>526</v>
      </c>
      <c r="I53" s="140">
        <f>CFwp_Korea!I53+CFwp_US_KRW!I53</f>
        <v>507801540.02499998</v>
      </c>
      <c r="J53" s="140">
        <f>CFwp_Korea!J53+CFwp_US_KRW!J53</f>
        <v>0</v>
      </c>
      <c r="K53" s="140">
        <f>CFwp_Korea!K53+CFwp_US_KRW!K53</f>
        <v>507801540.02499998</v>
      </c>
      <c r="L53" s="140">
        <f>CFwp_Korea!L53+CFwp_US_KRW!L53</f>
        <v>0</v>
      </c>
      <c r="M53" s="140">
        <f>CFwp_Korea!M53+CFwp_US_KRW!M53</f>
        <v>0</v>
      </c>
      <c r="N53" s="140">
        <f>CFwp_Korea!N53+CFwp_US_KRW!N53</f>
        <v>0</v>
      </c>
      <c r="O53" s="140">
        <f>CFwp_Korea!O53+CFwp_US_KRW!O53</f>
        <v>0</v>
      </c>
      <c r="P53" s="140">
        <f>CFwp_Korea!P53+CFwp_US_KRW!P53</f>
        <v>3480408000</v>
      </c>
      <c r="Q53" s="140">
        <f>CFwp_Korea!Q53+CFwp_US_KRW!Q53</f>
        <v>0</v>
      </c>
      <c r="R53" s="140">
        <f>CFwp_Korea!R53+CFwp_US_KRW!R53</f>
        <v>0</v>
      </c>
      <c r="S53" s="140">
        <f>CFwp_Korea!S53+CFwp_US_KRW!S53</f>
        <v>0</v>
      </c>
      <c r="T53" s="140">
        <f>CFwp_Korea!T53+CFwp_US_KRW!T53</f>
        <v>0</v>
      </c>
      <c r="U53" s="140">
        <f>CFwp_Korea!U53+CFwp_US_KRW!U53</f>
        <v>0</v>
      </c>
      <c r="V53" s="140">
        <f>CFwp_Korea!V53+CFwp_US_KRW!V53</f>
        <v>0</v>
      </c>
      <c r="W53" s="140">
        <f>CFwp_Korea!W53+CFwp_US_KRW!W53</f>
        <v>0</v>
      </c>
      <c r="X53" s="140">
        <f>CFwp_Korea!X53+CFwp_US_KRW!X53</f>
        <v>0</v>
      </c>
      <c r="Y53" s="140">
        <f>CFwp_Korea!Y53+CFwp_US_KRW!Y53</f>
        <v>0</v>
      </c>
      <c r="Z53" s="140">
        <f>CFwp_Korea!Z53+CFwp_US_KRW!Z53</f>
        <v>0</v>
      </c>
      <c r="AA53" s="182"/>
      <c r="AB53" s="182"/>
    </row>
    <row r="54" spans="2:28">
      <c r="B54" s="139"/>
      <c r="C54" s="139"/>
      <c r="D54" s="140"/>
      <c r="E54" s="140"/>
      <c r="F54" s="146"/>
      <c r="G54" s="146">
        <f t="shared" si="4"/>
        <v>0</v>
      </c>
      <c r="H54" s="143"/>
      <c r="I54" s="140">
        <f>CFwp_Korea!I54+CFwp_US_KRW!I54</f>
        <v>0</v>
      </c>
      <c r="J54" s="140">
        <f>CFwp_Korea!J54+CFwp_US_KRW!J54</f>
        <v>0</v>
      </c>
      <c r="K54" s="140">
        <f>CFwp_Korea!K54+CFwp_US_KRW!K54</f>
        <v>0</v>
      </c>
      <c r="L54" s="140">
        <f>CFwp_Korea!L54+CFwp_US_KRW!L54</f>
        <v>0</v>
      </c>
      <c r="M54" s="140">
        <f>CFwp_Korea!M54+CFwp_US_KRW!M54</f>
        <v>0</v>
      </c>
      <c r="N54" s="140">
        <f>CFwp_Korea!N54+CFwp_US_KRW!N54</f>
        <v>0</v>
      </c>
      <c r="O54" s="140">
        <f>CFwp_Korea!O54+CFwp_US_KRW!O54</f>
        <v>0</v>
      </c>
      <c r="P54" s="140">
        <f>CFwp_Korea!P54+CFwp_US_KRW!P54</f>
        <v>0</v>
      </c>
      <c r="Q54" s="140">
        <f>CFwp_Korea!Q54+CFwp_US_KRW!Q54</f>
        <v>0</v>
      </c>
      <c r="R54" s="140">
        <f>CFwp_Korea!R54+CFwp_US_KRW!R54</f>
        <v>0</v>
      </c>
      <c r="S54" s="140">
        <f>CFwp_Korea!S54+CFwp_US_KRW!S54</f>
        <v>0</v>
      </c>
      <c r="T54" s="140">
        <f>CFwp_Korea!T54+CFwp_US_KRW!T54</f>
        <v>0</v>
      </c>
      <c r="U54" s="140">
        <f>CFwp_Korea!U54+CFwp_US_KRW!U54</f>
        <v>0</v>
      </c>
      <c r="V54" s="140">
        <f>CFwp_Korea!V54+CFwp_US_KRW!V54</f>
        <v>0</v>
      </c>
      <c r="W54" s="140">
        <f>CFwp_Korea!W54+CFwp_US_KRW!W54</f>
        <v>0</v>
      </c>
      <c r="X54" s="140">
        <f>CFwp_Korea!X54+CFwp_US_KRW!X54</f>
        <v>0</v>
      </c>
      <c r="Y54" s="140">
        <f>CFwp_Korea!Y54+CFwp_US_KRW!Y54</f>
        <v>0</v>
      </c>
      <c r="Z54" s="140">
        <f>CFwp_Korea!Z54+CFwp_US_KRW!Z54</f>
        <v>0</v>
      </c>
      <c r="AA54" s="182"/>
      <c r="AB54" s="182"/>
    </row>
    <row r="55" spans="2:28">
      <c r="B55" s="139" t="s">
        <v>104</v>
      </c>
      <c r="C55" s="139" t="s">
        <v>105</v>
      </c>
      <c r="D55" s="140">
        <f>CFwp_Korea!D55+CFwp_US_KRW!D55</f>
        <v>1179726013</v>
      </c>
      <c r="E55" s="140">
        <f>CFwp_Korea!E55+CFwp_US_KRW!E55</f>
        <v>1725826013</v>
      </c>
      <c r="F55" s="146">
        <f t="shared" ref="F55" si="5">E55-D55</f>
        <v>546100000</v>
      </c>
      <c r="G55" s="146">
        <f t="shared" si="4"/>
        <v>0</v>
      </c>
      <c r="H55" s="143"/>
      <c r="I55" s="140">
        <f>CFwp_Korea!I55+CFwp_US_KRW!I55</f>
        <v>0</v>
      </c>
      <c r="J55" s="140">
        <f>CFwp_Korea!J55+CFwp_US_KRW!J55</f>
        <v>0</v>
      </c>
      <c r="K55" s="140">
        <f>CFwp_Korea!K55+CFwp_US_KRW!K55</f>
        <v>0</v>
      </c>
      <c r="L55" s="140">
        <f>CFwp_Korea!L55+CFwp_US_KRW!L55</f>
        <v>0</v>
      </c>
      <c r="M55" s="140">
        <f>CFwp_Korea!M55+CFwp_US_KRW!M55</f>
        <v>0</v>
      </c>
      <c r="N55" s="140">
        <f>CFwp_Korea!N55+CFwp_US_KRW!N55</f>
        <v>0</v>
      </c>
      <c r="O55" s="140">
        <f>CFwp_Korea!O55+CFwp_US_KRW!O55</f>
        <v>0</v>
      </c>
      <c r="P55" s="140">
        <f>CFwp_Korea!P55+CFwp_US_KRW!P55</f>
        <v>546100000</v>
      </c>
      <c r="Q55" s="140">
        <f>CFwp_Korea!Q55+CFwp_US_KRW!Q55</f>
        <v>0</v>
      </c>
      <c r="R55" s="140">
        <f>CFwp_Korea!R55+CFwp_US_KRW!R55</f>
        <v>0</v>
      </c>
      <c r="S55" s="140">
        <f>CFwp_Korea!S55+CFwp_US_KRW!S55</f>
        <v>0</v>
      </c>
      <c r="T55" s="140">
        <f>CFwp_Korea!T55+CFwp_US_KRW!T55</f>
        <v>0</v>
      </c>
      <c r="U55" s="140">
        <f>CFwp_Korea!U55+CFwp_US_KRW!U55</f>
        <v>0</v>
      </c>
      <c r="V55" s="140">
        <f>CFwp_Korea!V55+CFwp_US_KRW!V55</f>
        <v>0</v>
      </c>
      <c r="W55" s="140">
        <f>CFwp_Korea!W55+CFwp_US_KRW!W55</f>
        <v>0</v>
      </c>
      <c r="X55" s="140">
        <f>CFwp_Korea!X55+CFwp_US_KRW!X55</f>
        <v>0</v>
      </c>
      <c r="Y55" s="140">
        <f>CFwp_Korea!Y55+CFwp_US_KRW!Y55</f>
        <v>0</v>
      </c>
      <c r="Z55" s="140">
        <f>CFwp_Korea!Z55+CFwp_US_KRW!Z55</f>
        <v>0</v>
      </c>
      <c r="AA55" s="182"/>
      <c r="AB55" s="182"/>
    </row>
    <row r="56" spans="2:28">
      <c r="B56" s="139"/>
      <c r="C56" s="139"/>
      <c r="D56" s="140">
        <f>CFwp_Korea!D56+CFwp_US_KRW!D56</f>
        <v>0</v>
      </c>
      <c r="E56" s="140">
        <f>CFwp_Korea!E56+CFwp_US_KRW!E56</f>
        <v>0</v>
      </c>
      <c r="F56" s="146"/>
      <c r="G56" s="146">
        <f t="shared" si="4"/>
        <v>0</v>
      </c>
      <c r="H56" s="143"/>
      <c r="I56" s="140">
        <f>CFwp_Korea!I56+CFwp_US_KRW!I56</f>
        <v>0</v>
      </c>
      <c r="J56" s="140">
        <f>CFwp_Korea!J56+CFwp_US_KRW!J56</f>
        <v>0</v>
      </c>
      <c r="K56" s="140">
        <f>CFwp_Korea!K56+CFwp_US_KRW!K56</f>
        <v>0</v>
      </c>
      <c r="L56" s="140">
        <f>CFwp_Korea!L56+CFwp_US_KRW!L56</f>
        <v>0</v>
      </c>
      <c r="M56" s="140">
        <f>CFwp_Korea!M56+CFwp_US_KRW!M56</f>
        <v>0</v>
      </c>
      <c r="N56" s="140">
        <f>CFwp_Korea!N56+CFwp_US_KRW!N56</f>
        <v>0</v>
      </c>
      <c r="O56" s="140">
        <f>CFwp_Korea!O56+CFwp_US_KRW!O56</f>
        <v>0</v>
      </c>
      <c r="P56" s="140">
        <f>CFwp_Korea!P56+CFwp_US_KRW!P56</f>
        <v>0</v>
      </c>
      <c r="Q56" s="140">
        <f>CFwp_Korea!Q56+CFwp_US_KRW!Q56</f>
        <v>0</v>
      </c>
      <c r="R56" s="140">
        <f>CFwp_Korea!R56+CFwp_US_KRW!R56</f>
        <v>0</v>
      </c>
      <c r="S56" s="140">
        <f>CFwp_Korea!S56+CFwp_US_KRW!S56</f>
        <v>0</v>
      </c>
      <c r="T56" s="140">
        <f>CFwp_Korea!T56+CFwp_US_KRW!T56</f>
        <v>0</v>
      </c>
      <c r="U56" s="140">
        <f>CFwp_Korea!U56+CFwp_US_KRW!U56</f>
        <v>0</v>
      </c>
      <c r="V56" s="140">
        <f>CFwp_Korea!V56+CFwp_US_KRW!V56</f>
        <v>0</v>
      </c>
      <c r="W56" s="140">
        <f>CFwp_Korea!W56+CFwp_US_KRW!W56</f>
        <v>0</v>
      </c>
      <c r="X56" s="140">
        <f>CFwp_Korea!X56+CFwp_US_KRW!X56</f>
        <v>0</v>
      </c>
      <c r="Y56" s="140">
        <f>CFwp_Korea!Y56+CFwp_US_KRW!Y56</f>
        <v>0</v>
      </c>
      <c r="Z56" s="140">
        <f>CFwp_Korea!Z56+CFwp_US_KRW!Z56</f>
        <v>0</v>
      </c>
      <c r="AA56" s="182"/>
      <c r="AB56" s="182"/>
    </row>
    <row r="57" spans="2:28">
      <c r="B57" s="139" t="s">
        <v>108</v>
      </c>
      <c r="C57" s="139" t="s">
        <v>109</v>
      </c>
      <c r="D57" s="140">
        <f>CFwp_Korea!D57+CFwp_US_KRW!D57</f>
        <v>81445762713</v>
      </c>
      <c r="E57" s="140">
        <f>CFwp_Korea!E57+CFwp_US_KRW!E57</f>
        <v>82863041989</v>
      </c>
      <c r="F57" s="146">
        <f t="shared" ref="F57" si="6">E57-D57</f>
        <v>1417279276</v>
      </c>
      <c r="G57" s="146">
        <f t="shared" si="4"/>
        <v>0</v>
      </c>
      <c r="H57" s="143"/>
      <c r="I57" s="140">
        <f>CFwp_Korea!I57+CFwp_US_KRW!I57</f>
        <v>0</v>
      </c>
      <c r="J57" s="140">
        <f>CFwp_Korea!J57+CFwp_US_KRW!J57</f>
        <v>0</v>
      </c>
      <c r="K57" s="140">
        <f>CFwp_Korea!K57+CFwp_US_KRW!K57</f>
        <v>0</v>
      </c>
      <c r="L57" s="140">
        <f>CFwp_Korea!L57+CFwp_US_KRW!L57</f>
        <v>0</v>
      </c>
      <c r="M57" s="140">
        <f>CFwp_Korea!M57+CFwp_US_KRW!M57</f>
        <v>0</v>
      </c>
      <c r="N57" s="140">
        <f>CFwp_Korea!N57+CFwp_US_KRW!N57</f>
        <v>0</v>
      </c>
      <c r="O57" s="140">
        <f>CFwp_Korea!O57+CFwp_US_KRW!O57</f>
        <v>0</v>
      </c>
      <c r="P57" s="140">
        <f>CFwp_Korea!P57+CFwp_US_KRW!P57</f>
        <v>1417279276</v>
      </c>
      <c r="Q57" s="140">
        <f>CFwp_Korea!Q57+CFwp_US_KRW!Q57</f>
        <v>0</v>
      </c>
      <c r="R57" s="140">
        <f>CFwp_Korea!R57+CFwp_US_KRW!R57</f>
        <v>0</v>
      </c>
      <c r="S57" s="140">
        <f>CFwp_Korea!S57+CFwp_US_KRW!S57</f>
        <v>0</v>
      </c>
      <c r="T57" s="140">
        <f>CFwp_Korea!T57+CFwp_US_KRW!T57</f>
        <v>0</v>
      </c>
      <c r="U57" s="140">
        <f>CFwp_Korea!U57+CFwp_US_KRW!U57</f>
        <v>0</v>
      </c>
      <c r="V57" s="140">
        <f>CFwp_Korea!V57+CFwp_US_KRW!V57</f>
        <v>0</v>
      </c>
      <c r="W57" s="140">
        <f>CFwp_Korea!W57+CFwp_US_KRW!W57</f>
        <v>0</v>
      </c>
      <c r="X57" s="140">
        <f>CFwp_Korea!X57+CFwp_US_KRW!X57</f>
        <v>0</v>
      </c>
      <c r="Y57" s="140">
        <f>CFwp_Korea!Y57+CFwp_US_KRW!Y57</f>
        <v>0</v>
      </c>
      <c r="Z57" s="140">
        <f>CFwp_Korea!Z57+CFwp_US_KRW!Z57</f>
        <v>0</v>
      </c>
      <c r="AA57" s="182"/>
      <c r="AB57" s="182"/>
    </row>
    <row r="58" spans="2:28">
      <c r="B58" s="139"/>
      <c r="C58" s="139"/>
      <c r="D58" s="140"/>
      <c r="E58" s="140"/>
      <c r="F58" s="146"/>
      <c r="G58" s="146">
        <f t="shared" si="4"/>
        <v>0</v>
      </c>
      <c r="H58" s="143"/>
      <c r="I58" s="140">
        <f>CFwp_Korea!I58+CFwp_US_KRW!I58</f>
        <v>0</v>
      </c>
      <c r="J58" s="140">
        <f>CFwp_Korea!J58+CFwp_US_KRW!J58</f>
        <v>0</v>
      </c>
      <c r="K58" s="140">
        <f>CFwp_Korea!K58+CFwp_US_KRW!K58</f>
        <v>0</v>
      </c>
      <c r="L58" s="140">
        <f>CFwp_Korea!L58+CFwp_US_KRW!L58</f>
        <v>0</v>
      </c>
      <c r="M58" s="140">
        <f>CFwp_Korea!M58+CFwp_US_KRW!M58</f>
        <v>0</v>
      </c>
      <c r="N58" s="140">
        <f>CFwp_Korea!N58+CFwp_US_KRW!N58</f>
        <v>0</v>
      </c>
      <c r="O58" s="140">
        <f>CFwp_Korea!O58+CFwp_US_KRW!O58</f>
        <v>0</v>
      </c>
      <c r="P58" s="140">
        <f>CFwp_Korea!P58+CFwp_US_KRW!P58</f>
        <v>0</v>
      </c>
      <c r="Q58" s="140">
        <f>CFwp_Korea!Q58+CFwp_US_KRW!Q58</f>
        <v>0</v>
      </c>
      <c r="R58" s="140">
        <f>CFwp_Korea!R58+CFwp_US_KRW!R58</f>
        <v>0</v>
      </c>
      <c r="S58" s="140">
        <f>CFwp_Korea!S58+CFwp_US_KRW!S58</f>
        <v>0</v>
      </c>
      <c r="T58" s="140">
        <f>CFwp_Korea!T58+CFwp_US_KRW!T58</f>
        <v>0</v>
      </c>
      <c r="U58" s="140">
        <f>CFwp_Korea!U58+CFwp_US_KRW!U58</f>
        <v>0</v>
      </c>
      <c r="V58" s="140">
        <f>CFwp_Korea!V58+CFwp_US_KRW!V58</f>
        <v>0</v>
      </c>
      <c r="W58" s="140">
        <f>CFwp_Korea!W58+CFwp_US_KRW!W58</f>
        <v>0</v>
      </c>
      <c r="X58" s="140">
        <f>CFwp_Korea!X58+CFwp_US_KRW!X58</f>
        <v>0</v>
      </c>
      <c r="Y58" s="140">
        <f>CFwp_Korea!Y58+CFwp_US_KRW!Y58</f>
        <v>0</v>
      </c>
      <c r="Z58" s="140">
        <f>CFwp_Korea!Z58+CFwp_US_KRW!Z58</f>
        <v>0</v>
      </c>
      <c r="AA58" s="182"/>
      <c r="AB58" s="182"/>
    </row>
    <row r="59" spans="2:28">
      <c r="B59" s="137"/>
      <c r="C59" s="137" t="s">
        <v>129</v>
      </c>
      <c r="D59" s="138">
        <f>SUM(D60:D80)</f>
        <v>23576668792</v>
      </c>
      <c r="E59" s="138">
        <f>SUM(E60:E80)</f>
        <v>49659331676</v>
      </c>
      <c r="F59" s="154"/>
      <c r="G59" s="154"/>
      <c r="H59" s="138"/>
      <c r="I59" s="149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>
        <v>0</v>
      </c>
      <c r="Z59" s="138">
        <v>0</v>
      </c>
      <c r="AA59" s="182"/>
      <c r="AB59" s="182"/>
    </row>
    <row r="60" spans="2:28">
      <c r="B60" s="139" t="s">
        <v>126</v>
      </c>
      <c r="C60" s="139" t="s">
        <v>127</v>
      </c>
      <c r="D60" s="140">
        <f>CFwp_Korea!D60+CFwp_US_KRW!D60</f>
        <v>10242504190</v>
      </c>
      <c r="E60" s="140">
        <f>CFwp_Korea!E60+CFwp_US_KRW!E60</f>
        <v>14540910314</v>
      </c>
      <c r="F60" s="146">
        <f>E60-D60</f>
        <v>4298406124</v>
      </c>
      <c r="G60" s="146">
        <f t="shared" si="4"/>
        <v>0</v>
      </c>
      <c r="H60" s="143"/>
      <c r="I60" s="140">
        <f>CFwp_Korea!I60+CFwp_US_KRW!I60</f>
        <v>0</v>
      </c>
      <c r="J60" s="140">
        <f>CFwp_Korea!J60+CFwp_US_KRW!J60</f>
        <v>0</v>
      </c>
      <c r="K60" s="140">
        <f>CFwp_Korea!K60+CFwp_US_KRW!K60</f>
        <v>0</v>
      </c>
      <c r="L60" s="140">
        <f>CFwp_Korea!L60+CFwp_US_KRW!L60</f>
        <v>0</v>
      </c>
      <c r="M60" s="140">
        <f>CFwp_Korea!M60+CFwp_US_KRW!M60</f>
        <v>0</v>
      </c>
      <c r="N60" s="140">
        <f>CFwp_Korea!N60+CFwp_US_KRW!N60</f>
        <v>0</v>
      </c>
      <c r="O60" s="140">
        <f>CFwp_Korea!O60+CFwp_US_KRW!O60</f>
        <v>0</v>
      </c>
      <c r="P60" s="140">
        <f>CFwp_Korea!P60+CFwp_US_KRW!P60</f>
        <v>4298406124</v>
      </c>
      <c r="Q60" s="140">
        <f>CFwp_Korea!Q60+CFwp_US_KRW!Q60</f>
        <v>0</v>
      </c>
      <c r="R60" s="140">
        <f>CFwp_Korea!R60+CFwp_US_KRW!R60</f>
        <v>0</v>
      </c>
      <c r="S60" s="140" t="e">
        <f>CFwp_Korea!S60+CFwp_US_KRW!S60</f>
        <v>#VALUE!</v>
      </c>
      <c r="T60" s="140">
        <f>CFwp_Korea!T60+CFwp_US_KRW!T60</f>
        <v>0</v>
      </c>
      <c r="U60" s="140">
        <f>CFwp_Korea!U60+CFwp_US_KRW!U60</f>
        <v>0</v>
      </c>
      <c r="V60" s="140">
        <f>CFwp_Korea!V60+CFwp_US_KRW!V60</f>
        <v>0</v>
      </c>
      <c r="W60" s="140">
        <f>CFwp_Korea!W60+CFwp_US_KRW!W60</f>
        <v>0</v>
      </c>
      <c r="X60" s="140">
        <f>CFwp_Korea!X60+CFwp_US_KRW!X60</f>
        <v>0</v>
      </c>
      <c r="Y60" s="140">
        <f>CFwp_Korea!Y60+CFwp_US_KRW!Y60</f>
        <v>0</v>
      </c>
      <c r="Z60" s="140">
        <f>CFwp_Korea!Z60+CFwp_US_KRW!Z60</f>
        <v>0</v>
      </c>
      <c r="AA60" s="182"/>
      <c r="AB60" s="182"/>
    </row>
    <row r="61" spans="2:28">
      <c r="B61" s="139" t="s">
        <v>130</v>
      </c>
      <c r="C61" s="139" t="s">
        <v>131</v>
      </c>
      <c r="D61" s="140">
        <f>CFwp_Korea!D61+CFwp_US_KRW!D61</f>
        <v>10031774698</v>
      </c>
      <c r="E61" s="140">
        <f>CFwp_Korea!E61+CFwp_US_KRW!E61</f>
        <v>19217775430</v>
      </c>
      <c r="F61" s="146">
        <f t="shared" ref="F61:F80" si="7">E61-D61</f>
        <v>9186000732</v>
      </c>
      <c r="G61" s="146">
        <f t="shared" si="4"/>
        <v>0</v>
      </c>
      <c r="H61" s="143"/>
      <c r="I61" s="140">
        <f>CFwp_Korea!I61+CFwp_US_KRW!I61</f>
        <v>0</v>
      </c>
      <c r="J61" s="140">
        <f>CFwp_Korea!J61+CFwp_US_KRW!J61</f>
        <v>0</v>
      </c>
      <c r="K61" s="140">
        <f>CFwp_Korea!K61+CFwp_US_KRW!K61</f>
        <v>0</v>
      </c>
      <c r="L61" s="140">
        <f>CFwp_Korea!L61+CFwp_US_KRW!L61</f>
        <v>0</v>
      </c>
      <c r="M61" s="140">
        <f>CFwp_Korea!M61+CFwp_US_KRW!M61</f>
        <v>0</v>
      </c>
      <c r="N61" s="140">
        <f>CFwp_Korea!N61+CFwp_US_KRW!N61</f>
        <v>0</v>
      </c>
      <c r="O61" s="140">
        <f>CFwp_Korea!O61+CFwp_US_KRW!O61</f>
        <v>0</v>
      </c>
      <c r="P61" s="140">
        <f>CFwp_Korea!P61+CFwp_US_KRW!P61</f>
        <v>9181000732</v>
      </c>
      <c r="Q61" s="140">
        <f>CFwp_Korea!Q61+CFwp_US_KRW!Q61</f>
        <v>0</v>
      </c>
      <c r="R61" s="140">
        <f>CFwp_Korea!R61+CFwp_US_KRW!R61</f>
        <v>0</v>
      </c>
      <c r="S61" s="140">
        <f>CFwp_Korea!S61+CFwp_US_KRW!S61</f>
        <v>0</v>
      </c>
      <c r="T61" s="140">
        <f>CFwp_Korea!T61+CFwp_US_KRW!T61</f>
        <v>5000000</v>
      </c>
      <c r="U61" s="140">
        <f>CFwp_Korea!U61+CFwp_US_KRW!U61</f>
        <v>0</v>
      </c>
      <c r="V61" s="140">
        <f>CFwp_Korea!V61+CFwp_US_KRW!V61</f>
        <v>0</v>
      </c>
      <c r="W61" s="140">
        <f>CFwp_Korea!W61+CFwp_US_KRW!W61</f>
        <v>0</v>
      </c>
      <c r="X61" s="140">
        <f>CFwp_Korea!X61+CFwp_US_KRW!X61</f>
        <v>0</v>
      </c>
      <c r="Y61" s="140">
        <f>CFwp_Korea!Y61+CFwp_US_KRW!Y61</f>
        <v>0</v>
      </c>
      <c r="Z61" s="140">
        <f>CFwp_Korea!Z61+CFwp_US_KRW!Z61</f>
        <v>0</v>
      </c>
      <c r="AA61" s="182"/>
      <c r="AB61" s="182"/>
    </row>
    <row r="62" spans="2:28">
      <c r="B62" s="139" t="s">
        <v>132</v>
      </c>
      <c r="C62" s="139" t="s">
        <v>133</v>
      </c>
      <c r="D62" s="140">
        <f>CFwp_Korea!D62+CFwp_US_KRW!D62</f>
        <v>-1432627018</v>
      </c>
      <c r="E62" s="140">
        <f>CFwp_Korea!E62+CFwp_US_KRW!E62</f>
        <v>-1727592015</v>
      </c>
      <c r="F62" s="146">
        <f t="shared" si="7"/>
        <v>-294964997</v>
      </c>
      <c r="G62" s="146">
        <f t="shared" si="4"/>
        <v>0</v>
      </c>
      <c r="H62" s="143" t="s">
        <v>356</v>
      </c>
      <c r="I62" s="140">
        <f>CFwp_Korea!I62+CFwp_US_KRW!I62</f>
        <v>294964997</v>
      </c>
      <c r="J62" s="140">
        <f>CFwp_Korea!J62+CFwp_US_KRW!J62</f>
        <v>294964997</v>
      </c>
      <c r="K62" s="140">
        <f>CFwp_Korea!K62+CFwp_US_KRW!K62</f>
        <v>0</v>
      </c>
      <c r="L62" s="140">
        <f>CFwp_Korea!L62+CFwp_US_KRW!L62</f>
        <v>0</v>
      </c>
      <c r="M62" s="140">
        <f>CFwp_Korea!M62+CFwp_US_KRW!M62</f>
        <v>0</v>
      </c>
      <c r="N62" s="140">
        <f>CFwp_Korea!N62+CFwp_US_KRW!N62</f>
        <v>0</v>
      </c>
      <c r="O62" s="140">
        <f>CFwp_Korea!O62+CFwp_US_KRW!O62</f>
        <v>0</v>
      </c>
      <c r="P62" s="140">
        <f>CFwp_Korea!P62+CFwp_US_KRW!P62</f>
        <v>0</v>
      </c>
      <c r="Q62" s="140">
        <f>CFwp_Korea!Q62+CFwp_US_KRW!Q62</f>
        <v>0</v>
      </c>
      <c r="R62" s="140">
        <f>CFwp_Korea!R62+CFwp_US_KRW!R62</f>
        <v>0</v>
      </c>
      <c r="S62" s="140">
        <f>CFwp_Korea!S62+CFwp_US_KRW!S62</f>
        <v>0</v>
      </c>
      <c r="T62" s="140">
        <f>CFwp_Korea!T62+CFwp_US_KRW!T62</f>
        <v>0</v>
      </c>
      <c r="U62" s="140">
        <f>CFwp_Korea!U62+CFwp_US_KRW!U62</f>
        <v>0</v>
      </c>
      <c r="V62" s="140">
        <f>CFwp_Korea!V62+CFwp_US_KRW!V62</f>
        <v>0</v>
      </c>
      <c r="W62" s="140">
        <f>CFwp_Korea!W62+CFwp_US_KRW!W62</f>
        <v>0</v>
      </c>
      <c r="X62" s="140">
        <f>CFwp_Korea!X62+CFwp_US_KRW!X62</f>
        <v>0</v>
      </c>
      <c r="Y62" s="140">
        <f>CFwp_Korea!Y62+CFwp_US_KRW!Y62</f>
        <v>0</v>
      </c>
      <c r="Z62" s="140">
        <f>CFwp_Korea!Z62+CFwp_US_KRW!Z62</f>
        <v>0</v>
      </c>
      <c r="AA62" s="182"/>
      <c r="AB62" s="182"/>
    </row>
    <row r="63" spans="2:28">
      <c r="B63" s="139" t="s">
        <v>134</v>
      </c>
      <c r="C63" s="139" t="s">
        <v>135</v>
      </c>
      <c r="D63" s="140">
        <f>CFwp_Korea!D63+CFwp_US_KRW!D63</f>
        <v>22700000</v>
      </c>
      <c r="E63" s="140">
        <f>CFwp_Korea!E63+CFwp_US_KRW!E63</f>
        <v>257700000</v>
      </c>
      <c r="F63" s="146">
        <f t="shared" si="7"/>
        <v>235000000</v>
      </c>
      <c r="G63" s="146">
        <f t="shared" si="4"/>
        <v>0</v>
      </c>
      <c r="H63" s="143"/>
      <c r="I63" s="140">
        <f>CFwp_Korea!I63+CFwp_US_KRW!I63</f>
        <v>0</v>
      </c>
      <c r="J63" s="140">
        <f>CFwp_Korea!J63+CFwp_US_KRW!J63</f>
        <v>0</v>
      </c>
      <c r="K63" s="140">
        <f>CFwp_Korea!K63+CFwp_US_KRW!K63</f>
        <v>0</v>
      </c>
      <c r="L63" s="140">
        <f>CFwp_Korea!L63+CFwp_US_KRW!L63</f>
        <v>0</v>
      </c>
      <c r="M63" s="140">
        <f>CFwp_Korea!M63+CFwp_US_KRW!M63</f>
        <v>0</v>
      </c>
      <c r="N63" s="140">
        <f>CFwp_Korea!N63+CFwp_US_KRW!N63</f>
        <v>0</v>
      </c>
      <c r="O63" s="140">
        <f>CFwp_Korea!O63+CFwp_US_KRW!O63</f>
        <v>0</v>
      </c>
      <c r="P63" s="140">
        <f>CFwp_Korea!P63+CFwp_US_KRW!P63</f>
        <v>235000000</v>
      </c>
      <c r="Q63" s="140">
        <f>CFwp_Korea!Q63+CFwp_US_KRW!Q63</f>
        <v>0</v>
      </c>
      <c r="R63" s="140">
        <f>CFwp_Korea!R63+CFwp_US_KRW!R63</f>
        <v>0</v>
      </c>
      <c r="S63" s="140">
        <f>CFwp_Korea!S63+CFwp_US_KRW!S63</f>
        <v>0</v>
      </c>
      <c r="T63" s="140">
        <f>CFwp_Korea!T63+CFwp_US_KRW!T63</f>
        <v>0</v>
      </c>
      <c r="U63" s="140">
        <f>CFwp_Korea!U63+CFwp_US_KRW!U63</f>
        <v>0</v>
      </c>
      <c r="V63" s="140">
        <f>CFwp_Korea!V63+CFwp_US_KRW!V63</f>
        <v>0</v>
      </c>
      <c r="W63" s="140">
        <f>CFwp_Korea!W63+CFwp_US_KRW!W63</f>
        <v>0</v>
      </c>
      <c r="X63" s="140">
        <f>CFwp_Korea!X63+CFwp_US_KRW!X63</f>
        <v>0</v>
      </c>
      <c r="Y63" s="140">
        <f>CFwp_Korea!Y63+CFwp_US_KRW!Y63</f>
        <v>0</v>
      </c>
      <c r="Z63" s="140">
        <f>CFwp_Korea!Z63+CFwp_US_KRW!Z63</f>
        <v>0</v>
      </c>
      <c r="AA63" s="182"/>
      <c r="AB63" s="182"/>
    </row>
    <row r="64" spans="2:28">
      <c r="B64" s="139" t="s">
        <v>136</v>
      </c>
      <c r="C64" s="139" t="s">
        <v>137</v>
      </c>
      <c r="D64" s="140">
        <f>CFwp_Korea!D64+CFwp_US_KRW!D64</f>
        <v>-3171875</v>
      </c>
      <c r="E64" s="140">
        <f>CFwp_Korea!E64+CFwp_US_KRW!E64</f>
        <v>-4353959</v>
      </c>
      <c r="F64" s="146">
        <f t="shared" si="7"/>
        <v>-1182084</v>
      </c>
      <c r="G64" s="146">
        <f t="shared" si="4"/>
        <v>0</v>
      </c>
      <c r="H64" s="143" t="s">
        <v>356</v>
      </c>
      <c r="I64" s="140">
        <f>CFwp_Korea!I64+CFwp_US_KRW!I64</f>
        <v>1182084</v>
      </c>
      <c r="J64" s="140">
        <f>CFwp_Korea!J64+CFwp_US_KRW!J64</f>
        <v>1182084</v>
      </c>
      <c r="K64" s="140">
        <f>CFwp_Korea!K64+CFwp_US_KRW!K64</f>
        <v>0</v>
      </c>
      <c r="L64" s="140">
        <f>CFwp_Korea!L64+CFwp_US_KRW!L64</f>
        <v>0</v>
      </c>
      <c r="M64" s="140">
        <f>CFwp_Korea!M64+CFwp_US_KRW!M64</f>
        <v>0</v>
      </c>
      <c r="N64" s="140">
        <f>CFwp_Korea!N64+CFwp_US_KRW!N64</f>
        <v>0</v>
      </c>
      <c r="O64" s="140">
        <f>CFwp_Korea!O64+CFwp_US_KRW!O64</f>
        <v>0</v>
      </c>
      <c r="P64" s="140">
        <f>CFwp_Korea!P64+CFwp_US_KRW!P64</f>
        <v>0</v>
      </c>
      <c r="Q64" s="140">
        <f>CFwp_Korea!Q64+CFwp_US_KRW!Q64</f>
        <v>0</v>
      </c>
      <c r="R64" s="140">
        <f>CFwp_Korea!R64+CFwp_US_KRW!R64</f>
        <v>0</v>
      </c>
      <c r="S64" s="140">
        <f>CFwp_Korea!S64+CFwp_US_KRW!S64</f>
        <v>0</v>
      </c>
      <c r="T64" s="140">
        <f>CFwp_Korea!T64+CFwp_US_KRW!T64</f>
        <v>0</v>
      </c>
      <c r="U64" s="140">
        <f>CFwp_Korea!U64+CFwp_US_KRW!U64</f>
        <v>0</v>
      </c>
      <c r="V64" s="140">
        <f>CFwp_Korea!V64+CFwp_US_KRW!V64</f>
        <v>0</v>
      </c>
      <c r="W64" s="140">
        <f>CFwp_Korea!W64+CFwp_US_KRW!W64</f>
        <v>0</v>
      </c>
      <c r="X64" s="140">
        <f>CFwp_Korea!X64+CFwp_US_KRW!X64</f>
        <v>0</v>
      </c>
      <c r="Y64" s="140">
        <f>CFwp_Korea!Y64+CFwp_US_KRW!Y64</f>
        <v>0</v>
      </c>
      <c r="Z64" s="140">
        <f>CFwp_Korea!Z64+CFwp_US_KRW!Z64</f>
        <v>0</v>
      </c>
      <c r="AA64" s="182"/>
      <c r="AB64" s="182"/>
    </row>
    <row r="65" spans="2:28">
      <c r="B65" s="139" t="s">
        <v>138</v>
      </c>
      <c r="C65" s="139" t="s">
        <v>139</v>
      </c>
      <c r="D65" s="140">
        <f>CFwp_Korea!D65+CFwp_US_KRW!D65</f>
        <v>6503637671</v>
      </c>
      <c r="E65" s="140">
        <f>CFwp_Korea!E65+CFwp_US_KRW!E65</f>
        <v>15320979207</v>
      </c>
      <c r="F65" s="146">
        <f t="shared" si="7"/>
        <v>8817341536</v>
      </c>
      <c r="G65" s="146">
        <f t="shared" si="4"/>
        <v>0</v>
      </c>
      <c r="H65" s="143" t="s">
        <v>524</v>
      </c>
      <c r="I65" s="140">
        <f>CFwp_Korea!I65+CFwp_US_KRW!I65</f>
        <v>139173</v>
      </c>
      <c r="J65" s="140">
        <f>CFwp_Korea!J65+CFwp_US_KRW!J65</f>
        <v>7360639</v>
      </c>
      <c r="K65" s="140">
        <f>CFwp_Korea!K65+CFwp_US_KRW!K65</f>
        <v>139173</v>
      </c>
      <c r="L65" s="140">
        <f>CFwp_Korea!L65+CFwp_US_KRW!L65</f>
        <v>0</v>
      </c>
      <c r="M65" s="140">
        <f>CFwp_Korea!M65+CFwp_US_KRW!M65</f>
        <v>0</v>
      </c>
      <c r="N65" s="140">
        <f>CFwp_Korea!N65+CFwp_US_KRW!N65</f>
        <v>0</v>
      </c>
      <c r="O65" s="140">
        <f>CFwp_Korea!O65+CFwp_US_KRW!O65</f>
        <v>77350732</v>
      </c>
      <c r="P65" s="140">
        <f>CFwp_Korea!P65+CFwp_US_KRW!P65</f>
        <v>8369023683</v>
      </c>
      <c r="Q65" s="140">
        <f>CFwp_Korea!Q65+CFwp_US_KRW!Q65</f>
        <v>0</v>
      </c>
      <c r="R65" s="140">
        <f>CFwp_Korea!R65+CFwp_US_KRW!R65</f>
        <v>0</v>
      </c>
      <c r="S65" s="140">
        <f>CFwp_Korea!S65+CFwp_US_KRW!S65</f>
        <v>0</v>
      </c>
      <c r="T65" s="140">
        <f>CFwp_Korea!T65+CFwp_US_KRW!T65</f>
        <v>679092920</v>
      </c>
      <c r="U65" s="140">
        <f>CFwp_Korea!U65+CFwp_US_KRW!U65</f>
        <v>0</v>
      </c>
      <c r="V65" s="140">
        <f>CFwp_Korea!V65+CFwp_US_KRW!V65</f>
        <v>146202869</v>
      </c>
      <c r="W65" s="140">
        <f>CFwp_Korea!W65+CFwp_US_KRW!W65</f>
        <v>0</v>
      </c>
      <c r="X65" s="140">
        <f>CFwp_Korea!X65+CFwp_US_KRW!X65</f>
        <v>0</v>
      </c>
      <c r="Y65" s="140">
        <f>CFwp_Korea!Y65+CFwp_US_KRW!Y65</f>
        <v>0</v>
      </c>
      <c r="Z65" s="140">
        <f>CFwp_Korea!Z65+CFwp_US_KRW!Z65</f>
        <v>0</v>
      </c>
      <c r="AA65" s="182"/>
      <c r="AB65" s="182"/>
    </row>
    <row r="66" spans="2:28">
      <c r="B66" s="139"/>
      <c r="C66" s="139"/>
      <c r="D66" s="140"/>
      <c r="E66" s="140"/>
      <c r="F66" s="146"/>
      <c r="G66" s="146">
        <f t="shared" si="4"/>
        <v>0</v>
      </c>
      <c r="H66" s="143" t="s">
        <v>436</v>
      </c>
      <c r="I66" s="140">
        <f>CFwp_Korea!I66+CFwp_US_KRW!I66</f>
        <v>7360639</v>
      </c>
      <c r="J66" s="140">
        <f>CFwp_Korea!J66+CFwp_US_KRW!J66</f>
        <v>0</v>
      </c>
      <c r="K66" s="140">
        <f>CFwp_Korea!K66+CFwp_US_KRW!K66</f>
        <v>0</v>
      </c>
      <c r="L66" s="140">
        <f>CFwp_Korea!L66+CFwp_US_KRW!L66</f>
        <v>0</v>
      </c>
      <c r="M66" s="140">
        <f>CFwp_Korea!M66+CFwp_US_KRW!M66</f>
        <v>0</v>
      </c>
      <c r="N66" s="140">
        <f>CFwp_Korea!N66+CFwp_US_KRW!N66</f>
        <v>0</v>
      </c>
      <c r="O66" s="140">
        <f>CFwp_Korea!O66+CFwp_US_KRW!O66</f>
        <v>0</v>
      </c>
      <c r="P66" s="140">
        <f>CFwp_Korea!P66+CFwp_US_KRW!P66</f>
        <v>0</v>
      </c>
      <c r="Q66" s="140">
        <f>CFwp_Korea!Q66+CFwp_US_KRW!Q66</f>
        <v>0</v>
      </c>
      <c r="R66" s="140">
        <f>CFwp_Korea!R66+CFwp_US_KRW!R66</f>
        <v>0</v>
      </c>
      <c r="S66" s="140">
        <f>CFwp_Korea!S66+CFwp_US_KRW!S66</f>
        <v>0</v>
      </c>
      <c r="T66" s="140">
        <f>CFwp_Korea!T66+CFwp_US_KRW!T66</f>
        <v>0</v>
      </c>
      <c r="U66" s="140">
        <f>CFwp_Korea!U66+CFwp_US_KRW!U66</f>
        <v>0</v>
      </c>
      <c r="V66" s="140">
        <f>CFwp_Korea!V66+CFwp_US_KRW!V66</f>
        <v>0</v>
      </c>
      <c r="W66" s="140">
        <f>CFwp_Korea!W66+CFwp_US_KRW!W66</f>
        <v>0</v>
      </c>
      <c r="X66" s="140">
        <f>CFwp_Korea!X66+CFwp_US_KRW!X66</f>
        <v>0</v>
      </c>
      <c r="Y66" s="140">
        <f>CFwp_Korea!Y66+CFwp_US_KRW!Y66</f>
        <v>0</v>
      </c>
      <c r="Z66" s="140">
        <f>CFwp_Korea!Z66+CFwp_US_KRW!Z66</f>
        <v>0</v>
      </c>
      <c r="AA66" s="182"/>
      <c r="AB66" s="182"/>
    </row>
    <row r="67" spans="2:28">
      <c r="B67" s="139" t="s">
        <v>140</v>
      </c>
      <c r="C67" s="139" t="s">
        <v>141</v>
      </c>
      <c r="D67" s="140">
        <f>CFwp_Korea!D67+CFwp_US_KRW!D67</f>
        <v>-3140202769</v>
      </c>
      <c r="E67" s="140">
        <f>CFwp_Korea!E67+CFwp_US_KRW!E67</f>
        <v>-3981680038</v>
      </c>
      <c r="F67" s="146">
        <f t="shared" si="7"/>
        <v>-841477269</v>
      </c>
      <c r="G67" s="146">
        <f t="shared" si="4"/>
        <v>0</v>
      </c>
      <c r="H67" s="143" t="s">
        <v>356</v>
      </c>
      <c r="I67" s="140">
        <f>CFwp_Korea!I67+CFwp_US_KRW!I67</f>
        <v>987680138</v>
      </c>
      <c r="J67" s="140">
        <f>CFwp_Korea!J67+CFwp_US_KRW!J67</f>
        <v>987680138</v>
      </c>
      <c r="K67" s="140">
        <f>CFwp_Korea!K67+CFwp_US_KRW!K67</f>
        <v>0</v>
      </c>
      <c r="L67" s="140">
        <f>CFwp_Korea!L67+CFwp_US_KRW!L67</f>
        <v>0</v>
      </c>
      <c r="M67" s="140">
        <f>CFwp_Korea!M67+CFwp_US_KRW!M67</f>
        <v>0</v>
      </c>
      <c r="N67" s="140">
        <f>CFwp_Korea!N67+CFwp_US_KRW!N67</f>
        <v>0</v>
      </c>
      <c r="O67" s="140">
        <f>CFwp_Korea!O67+CFwp_US_KRW!O67</f>
        <v>0</v>
      </c>
      <c r="P67" s="140">
        <f>CFwp_Korea!P67+CFwp_US_KRW!P67</f>
        <v>0</v>
      </c>
      <c r="Q67" s="140">
        <f>CFwp_Korea!Q67+CFwp_US_KRW!Q67</f>
        <v>0</v>
      </c>
      <c r="R67" s="140">
        <f>CFwp_Korea!R67+CFwp_US_KRW!R67</f>
        <v>0</v>
      </c>
      <c r="S67" s="140">
        <f>CFwp_Korea!S67+CFwp_US_KRW!S67</f>
        <v>0</v>
      </c>
      <c r="T67" s="140">
        <f>CFwp_Korea!T67+CFwp_US_KRW!T67</f>
        <v>146202869</v>
      </c>
      <c r="U67" s="140">
        <f>CFwp_Korea!U67+CFwp_US_KRW!U67</f>
        <v>0</v>
      </c>
      <c r="V67" s="140">
        <f>CFwp_Korea!V67+CFwp_US_KRW!V67</f>
        <v>0</v>
      </c>
      <c r="W67" s="140">
        <f>CFwp_Korea!W67+CFwp_US_KRW!W67</f>
        <v>0</v>
      </c>
      <c r="X67" s="140">
        <f>CFwp_Korea!X67+CFwp_US_KRW!X67</f>
        <v>0</v>
      </c>
      <c r="Y67" s="140">
        <f>CFwp_Korea!Y67+CFwp_US_KRW!Y67</f>
        <v>0</v>
      </c>
      <c r="Z67" s="140">
        <f>CFwp_Korea!Z67+CFwp_US_KRW!Z67</f>
        <v>0</v>
      </c>
      <c r="AA67" s="182"/>
      <c r="AB67" s="182"/>
    </row>
    <row r="68" spans="2:28">
      <c r="B68" s="139" t="s">
        <v>142</v>
      </c>
      <c r="C68" s="139" t="s">
        <v>143</v>
      </c>
      <c r="D68" s="140">
        <f>CFwp_Korea!D68+CFwp_US_KRW!D68</f>
        <v>0</v>
      </c>
      <c r="E68" s="140">
        <f>CFwp_Korea!E68+CFwp_US_KRW!E68</f>
        <v>0</v>
      </c>
      <c r="F68" s="146">
        <f t="shared" si="7"/>
        <v>0</v>
      </c>
      <c r="G68" s="146">
        <f t="shared" si="4"/>
        <v>0</v>
      </c>
      <c r="H68" s="143"/>
      <c r="I68" s="140">
        <f>CFwp_Korea!I68+CFwp_US_KRW!I68</f>
        <v>0</v>
      </c>
      <c r="J68" s="140">
        <f>CFwp_Korea!J68+CFwp_US_KRW!J68</f>
        <v>0</v>
      </c>
      <c r="K68" s="140">
        <f>CFwp_Korea!K68+CFwp_US_KRW!K68</f>
        <v>0</v>
      </c>
      <c r="L68" s="140">
        <f>CFwp_Korea!L68+CFwp_US_KRW!L68</f>
        <v>0</v>
      </c>
      <c r="M68" s="140">
        <f>CFwp_Korea!M68+CFwp_US_KRW!M68</f>
        <v>0</v>
      </c>
      <c r="N68" s="140">
        <f>CFwp_Korea!N68+CFwp_US_KRW!N68</f>
        <v>0</v>
      </c>
      <c r="O68" s="140">
        <f>CFwp_Korea!O68+CFwp_US_KRW!O68</f>
        <v>0</v>
      </c>
      <c r="P68" s="140">
        <f>CFwp_Korea!P68+CFwp_US_KRW!P68</f>
        <v>0</v>
      </c>
      <c r="Q68" s="140">
        <f>CFwp_Korea!Q68+CFwp_US_KRW!Q68</f>
        <v>0</v>
      </c>
      <c r="R68" s="140">
        <f>CFwp_Korea!R68+CFwp_US_KRW!R68</f>
        <v>0</v>
      </c>
      <c r="S68" s="140">
        <f>CFwp_Korea!S68+CFwp_US_KRW!S68</f>
        <v>0</v>
      </c>
      <c r="T68" s="140">
        <f>CFwp_Korea!T68+CFwp_US_KRW!T68</f>
        <v>0</v>
      </c>
      <c r="U68" s="140">
        <f>CFwp_Korea!U68+CFwp_US_KRW!U68</f>
        <v>0</v>
      </c>
      <c r="V68" s="140">
        <f>CFwp_Korea!V68+CFwp_US_KRW!V68</f>
        <v>0</v>
      </c>
      <c r="W68" s="140">
        <f>CFwp_Korea!W68+CFwp_US_KRW!W68</f>
        <v>0</v>
      </c>
      <c r="X68" s="140">
        <f>CFwp_Korea!X68+CFwp_US_KRW!X68</f>
        <v>0</v>
      </c>
      <c r="Y68" s="140">
        <f>CFwp_Korea!Y68+CFwp_US_KRW!Y68</f>
        <v>0</v>
      </c>
      <c r="Z68" s="140">
        <f>CFwp_Korea!Z68+CFwp_US_KRW!Z68</f>
        <v>0</v>
      </c>
      <c r="AA68" s="182"/>
      <c r="AB68" s="182"/>
    </row>
    <row r="69" spans="2:28">
      <c r="B69" s="139" t="s">
        <v>144</v>
      </c>
      <c r="C69" s="139" t="s">
        <v>145</v>
      </c>
      <c r="D69" s="140">
        <f>CFwp_Korea!D69+CFwp_US_KRW!D69</f>
        <v>34420100</v>
      </c>
      <c r="E69" s="140">
        <f>CFwp_Korea!E69+CFwp_US_KRW!E69</f>
        <v>125824402</v>
      </c>
      <c r="F69" s="146">
        <f t="shared" si="7"/>
        <v>91404302</v>
      </c>
      <c r="G69" s="146">
        <f t="shared" si="4"/>
        <v>0</v>
      </c>
      <c r="H69" s="143" t="s">
        <v>524</v>
      </c>
      <c r="I69" s="140">
        <f>CFwp_Korea!I69+CFwp_US_KRW!I69</f>
        <v>727273</v>
      </c>
      <c r="J69" s="140">
        <f>CFwp_Korea!J69+CFwp_US_KRW!J69</f>
        <v>0</v>
      </c>
      <c r="K69" s="140">
        <f>CFwp_Korea!K69+CFwp_US_KRW!K69</f>
        <v>727273</v>
      </c>
      <c r="L69" s="140">
        <f>CFwp_Korea!L69+CFwp_US_KRW!L69</f>
        <v>0</v>
      </c>
      <c r="M69" s="140">
        <f>CFwp_Korea!M69+CFwp_US_KRW!M69</f>
        <v>0</v>
      </c>
      <c r="N69" s="140">
        <f>CFwp_Korea!N69+CFwp_US_KRW!N69</f>
        <v>0</v>
      </c>
      <c r="O69" s="140">
        <f>CFwp_Korea!O69+CFwp_US_KRW!O69</f>
        <v>727273</v>
      </c>
      <c r="P69" s="140">
        <f>CFwp_Korea!P69+CFwp_US_KRW!P69</f>
        <v>102869302</v>
      </c>
      <c r="Q69" s="140">
        <f>CFwp_Korea!Q69+CFwp_US_KRW!Q69</f>
        <v>0</v>
      </c>
      <c r="R69" s="140">
        <f>CFwp_Korea!R69+CFwp_US_KRW!R69</f>
        <v>0</v>
      </c>
      <c r="S69" s="140">
        <f>CFwp_Korea!S69+CFwp_US_KRW!S69</f>
        <v>0</v>
      </c>
      <c r="T69" s="140">
        <f>CFwp_Korea!T69+CFwp_US_KRW!T69</f>
        <v>0</v>
      </c>
      <c r="U69" s="140">
        <f>CFwp_Korea!U69+CFwp_US_KRW!U69</f>
        <v>0</v>
      </c>
      <c r="V69" s="140">
        <f>CFwp_Korea!V69+CFwp_US_KRW!V69</f>
        <v>11465000</v>
      </c>
      <c r="W69" s="140">
        <f>CFwp_Korea!W69+CFwp_US_KRW!W69</f>
        <v>0</v>
      </c>
      <c r="X69" s="140">
        <f>CFwp_Korea!X69+CFwp_US_KRW!X69</f>
        <v>0</v>
      </c>
      <c r="Y69" s="140">
        <f>CFwp_Korea!Y69+CFwp_US_KRW!Y69</f>
        <v>0</v>
      </c>
      <c r="Z69" s="140">
        <f>CFwp_Korea!Z69+CFwp_US_KRW!Z69</f>
        <v>0</v>
      </c>
      <c r="AA69" s="182"/>
      <c r="AB69" s="182"/>
    </row>
    <row r="70" spans="2:28">
      <c r="B70" s="139" t="s">
        <v>146</v>
      </c>
      <c r="C70" s="139" t="s">
        <v>147</v>
      </c>
      <c r="D70" s="140">
        <f>CFwp_Korea!D70+CFwp_US_KRW!D70</f>
        <v>-28363302</v>
      </c>
      <c r="E70" s="140">
        <f>CFwp_Korea!E70+CFwp_US_KRW!E70</f>
        <v>-24557355</v>
      </c>
      <c r="F70" s="146">
        <f t="shared" si="7"/>
        <v>3805947</v>
      </c>
      <c r="G70" s="146">
        <f t="shared" si="4"/>
        <v>0</v>
      </c>
      <c r="H70" s="143" t="s">
        <v>356</v>
      </c>
      <c r="I70" s="140">
        <f>CFwp_Korea!I70+CFwp_US_KRW!I70</f>
        <v>7659053</v>
      </c>
      <c r="J70" s="140">
        <f>CFwp_Korea!J70+CFwp_US_KRW!J70</f>
        <v>7659053</v>
      </c>
      <c r="K70" s="140">
        <f>CFwp_Korea!K70+CFwp_US_KRW!K70</f>
        <v>0</v>
      </c>
      <c r="L70" s="140">
        <f>CFwp_Korea!L70+CFwp_US_KRW!L70</f>
        <v>0</v>
      </c>
      <c r="M70" s="140">
        <f>CFwp_Korea!M70+CFwp_US_KRW!M70</f>
        <v>0</v>
      </c>
      <c r="N70" s="140">
        <f>CFwp_Korea!N70+CFwp_US_KRW!N70</f>
        <v>0</v>
      </c>
      <c r="O70" s="140">
        <f>CFwp_Korea!O70+CFwp_US_KRW!O70</f>
        <v>0</v>
      </c>
      <c r="P70" s="140">
        <f>CFwp_Korea!P70+CFwp_US_KRW!P70</f>
        <v>0</v>
      </c>
      <c r="Q70" s="140">
        <f>CFwp_Korea!Q70+CFwp_US_KRW!Q70</f>
        <v>0</v>
      </c>
      <c r="R70" s="140">
        <f>CFwp_Korea!R70+CFwp_US_KRW!R70</f>
        <v>0</v>
      </c>
      <c r="S70" s="140">
        <f>CFwp_Korea!S70+CFwp_US_KRW!S70</f>
        <v>0</v>
      </c>
      <c r="T70" s="140">
        <f>CFwp_Korea!T70+CFwp_US_KRW!T70</f>
        <v>11465000</v>
      </c>
      <c r="U70" s="140">
        <f>CFwp_Korea!U70+CFwp_US_KRW!U70</f>
        <v>0</v>
      </c>
      <c r="V70" s="140">
        <f>CFwp_Korea!V70+CFwp_US_KRW!V70</f>
        <v>0</v>
      </c>
      <c r="W70" s="140">
        <f>CFwp_Korea!W70+CFwp_US_KRW!W70</f>
        <v>0</v>
      </c>
      <c r="X70" s="140">
        <f>CFwp_Korea!X70+CFwp_US_KRW!X70</f>
        <v>0</v>
      </c>
      <c r="Y70" s="140">
        <f>CFwp_Korea!Y70+CFwp_US_KRW!Y70</f>
        <v>0</v>
      </c>
      <c r="Z70" s="140">
        <f>CFwp_Korea!Z70+CFwp_US_KRW!Z70</f>
        <v>0</v>
      </c>
      <c r="AA70" s="182"/>
      <c r="AB70" s="182"/>
    </row>
    <row r="71" spans="2:28">
      <c r="B71" s="139" t="s">
        <v>148</v>
      </c>
      <c r="C71" s="139" t="s">
        <v>149</v>
      </c>
      <c r="D71" s="140">
        <f>CFwp_Korea!D71+CFwp_US_KRW!D71</f>
        <v>201435000</v>
      </c>
      <c r="E71" s="140">
        <f>CFwp_Korea!E71+CFwp_US_KRW!E71</f>
        <v>211935000</v>
      </c>
      <c r="F71" s="146">
        <f t="shared" si="7"/>
        <v>10500000</v>
      </c>
      <c r="G71" s="146">
        <f t="shared" si="4"/>
        <v>0</v>
      </c>
      <c r="H71" s="143"/>
      <c r="I71" s="140">
        <f>CFwp_Korea!I71+CFwp_US_KRW!I71</f>
        <v>0</v>
      </c>
      <c r="J71" s="140">
        <f>CFwp_Korea!J71+CFwp_US_KRW!J71</f>
        <v>0</v>
      </c>
      <c r="K71" s="140">
        <f>CFwp_Korea!K71+CFwp_US_KRW!K71</f>
        <v>0</v>
      </c>
      <c r="L71" s="140">
        <f>CFwp_Korea!L71+CFwp_US_KRW!L71</f>
        <v>0</v>
      </c>
      <c r="M71" s="140">
        <f>CFwp_Korea!M71+CFwp_US_KRW!M71</f>
        <v>0</v>
      </c>
      <c r="N71" s="140">
        <f>CFwp_Korea!N71+CFwp_US_KRW!N71</f>
        <v>0</v>
      </c>
      <c r="O71" s="140">
        <f>CFwp_Korea!O71+CFwp_US_KRW!O71</f>
        <v>0</v>
      </c>
      <c r="P71" s="140">
        <f>CFwp_Korea!P71+CFwp_US_KRW!P71</f>
        <v>5250000</v>
      </c>
      <c r="Q71" s="140">
        <f>CFwp_Korea!Q71+CFwp_US_KRW!Q71</f>
        <v>0</v>
      </c>
      <c r="R71" s="140">
        <f>CFwp_Korea!R71+CFwp_US_KRW!R71</f>
        <v>0</v>
      </c>
      <c r="S71" s="140">
        <f>CFwp_Korea!S71+CFwp_US_KRW!S71</f>
        <v>0</v>
      </c>
      <c r="T71" s="140">
        <f>CFwp_Korea!T71+CFwp_US_KRW!T71</f>
        <v>5250000</v>
      </c>
      <c r="U71" s="140">
        <f>CFwp_Korea!U71+CFwp_US_KRW!U71</f>
        <v>0</v>
      </c>
      <c r="V71" s="140">
        <f>CFwp_Korea!V71+CFwp_US_KRW!V71</f>
        <v>0</v>
      </c>
      <c r="W71" s="140">
        <f>CFwp_Korea!W71+CFwp_US_KRW!W71</f>
        <v>0</v>
      </c>
      <c r="X71" s="140">
        <f>CFwp_Korea!X71+CFwp_US_KRW!X71</f>
        <v>0</v>
      </c>
      <c r="Y71" s="140">
        <f>CFwp_Korea!Y71+CFwp_US_KRW!Y71</f>
        <v>0</v>
      </c>
      <c r="Z71" s="140">
        <f>CFwp_Korea!Z71+CFwp_US_KRW!Z71</f>
        <v>0</v>
      </c>
      <c r="AA71" s="182"/>
      <c r="AB71" s="182"/>
    </row>
    <row r="72" spans="2:28">
      <c r="B72" s="139" t="s">
        <v>150</v>
      </c>
      <c r="C72" s="139" t="s">
        <v>151</v>
      </c>
      <c r="D72" s="140">
        <f>CFwp_Korea!D72+CFwp_US_KRW!D72</f>
        <v>-151462155</v>
      </c>
      <c r="E72" s="140">
        <f>CFwp_Korea!E72+CFwp_US_KRW!E72</f>
        <v>-171495917</v>
      </c>
      <c r="F72" s="146">
        <f t="shared" si="7"/>
        <v>-20033762</v>
      </c>
      <c r="G72" s="146">
        <f t="shared" si="4"/>
        <v>0</v>
      </c>
      <c r="H72" s="143" t="s">
        <v>356</v>
      </c>
      <c r="I72" s="140">
        <f>CFwp_Korea!I72+CFwp_US_KRW!I72</f>
        <v>20033762</v>
      </c>
      <c r="J72" s="140">
        <f>CFwp_Korea!J72+CFwp_US_KRW!J72</f>
        <v>20033762</v>
      </c>
      <c r="K72" s="140">
        <f>CFwp_Korea!K72+CFwp_US_KRW!K72</f>
        <v>0</v>
      </c>
      <c r="L72" s="140">
        <f>CFwp_Korea!L72+CFwp_US_KRW!L72</f>
        <v>0</v>
      </c>
      <c r="M72" s="140">
        <f>CFwp_Korea!M72+CFwp_US_KRW!M72</f>
        <v>0</v>
      </c>
      <c r="N72" s="140">
        <f>CFwp_Korea!N72+CFwp_US_KRW!N72</f>
        <v>0</v>
      </c>
      <c r="O72" s="140">
        <f>CFwp_Korea!O72+CFwp_US_KRW!O72</f>
        <v>0</v>
      </c>
      <c r="P72" s="140">
        <f>CFwp_Korea!P72+CFwp_US_KRW!P72</f>
        <v>0</v>
      </c>
      <c r="Q72" s="140">
        <f>CFwp_Korea!Q72+CFwp_US_KRW!Q72</f>
        <v>0</v>
      </c>
      <c r="R72" s="140">
        <f>CFwp_Korea!R72+CFwp_US_KRW!R72</f>
        <v>0</v>
      </c>
      <c r="S72" s="140">
        <f>CFwp_Korea!S72+CFwp_US_KRW!S72</f>
        <v>0</v>
      </c>
      <c r="T72" s="140">
        <f>CFwp_Korea!T72+CFwp_US_KRW!T72</f>
        <v>0</v>
      </c>
      <c r="U72" s="140">
        <f>CFwp_Korea!U72+CFwp_US_KRW!U72</f>
        <v>0</v>
      </c>
      <c r="V72" s="140">
        <f>CFwp_Korea!V72+CFwp_US_KRW!V72</f>
        <v>0</v>
      </c>
      <c r="W72" s="140">
        <f>CFwp_Korea!W72+CFwp_US_KRW!W72</f>
        <v>0</v>
      </c>
      <c r="X72" s="140">
        <f>CFwp_Korea!X72+CFwp_US_KRW!X72</f>
        <v>0</v>
      </c>
      <c r="Y72" s="140">
        <f>CFwp_Korea!Y72+CFwp_US_KRW!Y72</f>
        <v>0</v>
      </c>
      <c r="Z72" s="140">
        <f>CFwp_Korea!Z72+CFwp_US_KRW!Z72</f>
        <v>0</v>
      </c>
      <c r="AA72" s="182"/>
      <c r="AB72" s="182"/>
    </row>
    <row r="73" spans="2:28">
      <c r="B73" s="139" t="s">
        <v>152</v>
      </c>
      <c r="C73" s="139" t="s">
        <v>153</v>
      </c>
      <c r="D73" s="140">
        <f>CFwp_Korea!D73+CFwp_US_KRW!D73</f>
        <v>0</v>
      </c>
      <c r="E73" s="140">
        <f>CFwp_Korea!E73+CFwp_US_KRW!E73</f>
        <v>0</v>
      </c>
      <c r="F73" s="146">
        <f t="shared" si="7"/>
        <v>0</v>
      </c>
      <c r="G73" s="146">
        <f t="shared" si="4"/>
        <v>0</v>
      </c>
      <c r="H73" s="143"/>
      <c r="I73" s="140">
        <f>CFwp_Korea!I73+CFwp_US_KRW!I73</f>
        <v>0</v>
      </c>
      <c r="J73" s="140">
        <f>CFwp_Korea!J73+CFwp_US_KRW!J73</f>
        <v>0</v>
      </c>
      <c r="K73" s="140">
        <f>CFwp_Korea!K73+CFwp_US_KRW!K73</f>
        <v>0</v>
      </c>
      <c r="L73" s="140">
        <f>CFwp_Korea!L73+CFwp_US_KRW!L73</f>
        <v>0</v>
      </c>
      <c r="M73" s="140">
        <f>CFwp_Korea!M73+CFwp_US_KRW!M73</f>
        <v>0</v>
      </c>
      <c r="N73" s="140">
        <f>CFwp_Korea!N73+CFwp_US_KRW!N73</f>
        <v>0</v>
      </c>
      <c r="O73" s="140">
        <f>CFwp_Korea!O73+CFwp_US_KRW!O73</f>
        <v>0</v>
      </c>
      <c r="P73" s="140">
        <f>CFwp_Korea!P73+CFwp_US_KRW!P73</f>
        <v>0</v>
      </c>
      <c r="Q73" s="140">
        <f>CFwp_Korea!Q73+CFwp_US_KRW!Q73</f>
        <v>0</v>
      </c>
      <c r="R73" s="140">
        <f>CFwp_Korea!R73+CFwp_US_KRW!R73</f>
        <v>0</v>
      </c>
      <c r="S73" s="140">
        <f>CFwp_Korea!S73+CFwp_US_KRW!S73</f>
        <v>0</v>
      </c>
      <c r="T73" s="140">
        <f>CFwp_Korea!T73+CFwp_US_KRW!T73</f>
        <v>0</v>
      </c>
      <c r="U73" s="140">
        <f>CFwp_Korea!U73+CFwp_US_KRW!U73</f>
        <v>0</v>
      </c>
      <c r="V73" s="140">
        <f>CFwp_Korea!V73+CFwp_US_KRW!V73</f>
        <v>0</v>
      </c>
      <c r="W73" s="140">
        <f>CFwp_Korea!W73+CFwp_US_KRW!W73</f>
        <v>0</v>
      </c>
      <c r="X73" s="140">
        <f>CFwp_Korea!X73+CFwp_US_KRW!X73</f>
        <v>0</v>
      </c>
      <c r="Y73" s="140">
        <f>CFwp_Korea!Y73+CFwp_US_KRW!Y73</f>
        <v>0</v>
      </c>
      <c r="Z73" s="140">
        <f>CFwp_Korea!Z73+CFwp_US_KRW!Z73</f>
        <v>0</v>
      </c>
      <c r="AA73" s="182"/>
      <c r="AB73" s="182"/>
    </row>
    <row r="74" spans="2:28">
      <c r="B74" s="139" t="s">
        <v>154</v>
      </c>
      <c r="C74" s="139" t="s">
        <v>155</v>
      </c>
      <c r="D74" s="140">
        <f>CFwp_Korea!D74+CFwp_US_KRW!D74</f>
        <v>1266113371</v>
      </c>
      <c r="E74" s="140">
        <f>CFwp_Korea!E74+CFwp_US_KRW!E74</f>
        <v>1782697655</v>
      </c>
      <c r="F74" s="146">
        <f t="shared" si="7"/>
        <v>516584284</v>
      </c>
      <c r="G74" s="146">
        <f t="shared" si="4"/>
        <v>0</v>
      </c>
      <c r="H74" s="143" t="s">
        <v>436</v>
      </c>
      <c r="I74" s="140">
        <f>CFwp_Korea!I74+CFwp_US_KRW!I74</f>
        <v>4950000</v>
      </c>
      <c r="J74" s="140">
        <f>CFwp_Korea!J74+CFwp_US_KRW!J74</f>
        <v>4950000</v>
      </c>
      <c r="K74" s="140">
        <f>CFwp_Korea!K74+CFwp_US_KRW!K74</f>
        <v>0</v>
      </c>
      <c r="L74" s="140">
        <f>CFwp_Korea!L74+CFwp_US_KRW!L74</f>
        <v>0</v>
      </c>
      <c r="M74" s="140">
        <f>CFwp_Korea!M74+CFwp_US_KRW!M74</f>
        <v>0</v>
      </c>
      <c r="N74" s="140">
        <f>CFwp_Korea!N74+CFwp_US_KRW!N74</f>
        <v>0</v>
      </c>
      <c r="O74" s="140">
        <f>CFwp_Korea!O74+CFwp_US_KRW!O74</f>
        <v>0</v>
      </c>
      <c r="P74" s="140">
        <f>CFwp_Korea!P74+CFwp_US_KRW!P74</f>
        <v>550839970</v>
      </c>
      <c r="Q74" s="140">
        <f>CFwp_Korea!Q74+CFwp_US_KRW!Q74</f>
        <v>0</v>
      </c>
      <c r="R74" s="140">
        <f>CFwp_Korea!R74+CFwp_US_KRW!R74</f>
        <v>0</v>
      </c>
      <c r="S74" s="140">
        <f>CFwp_Korea!S74+CFwp_US_KRW!S74</f>
        <v>0</v>
      </c>
      <c r="T74" s="140">
        <f>CFwp_Korea!T74+CFwp_US_KRW!T74</f>
        <v>0</v>
      </c>
      <c r="U74" s="140">
        <f>CFwp_Korea!U74+CFwp_US_KRW!U74</f>
        <v>0</v>
      </c>
      <c r="V74" s="140">
        <f>CFwp_Korea!V74+CFwp_US_KRW!V74</f>
        <v>28050000</v>
      </c>
      <c r="W74" s="140">
        <f>CFwp_Korea!W74+CFwp_US_KRW!W74</f>
        <v>0</v>
      </c>
      <c r="X74" s="140">
        <f>CFwp_Korea!X74+CFwp_US_KRW!X74</f>
        <v>0</v>
      </c>
      <c r="Y74" s="140">
        <f>CFwp_Korea!Y74+CFwp_US_KRW!Y74</f>
        <v>0</v>
      </c>
      <c r="Z74" s="140">
        <f>CFwp_Korea!Z74+CFwp_US_KRW!Z74</f>
        <v>1255686</v>
      </c>
      <c r="AA74" s="182"/>
      <c r="AB74" s="182"/>
    </row>
    <row r="75" spans="2:28">
      <c r="B75" s="139" t="s">
        <v>156</v>
      </c>
      <c r="C75" s="139" t="s">
        <v>157</v>
      </c>
      <c r="D75" s="140">
        <f>CFwp_Korea!D75+CFwp_US_KRW!D75</f>
        <v>-906640681</v>
      </c>
      <c r="E75" s="140">
        <f>CFwp_Korea!E75+CFwp_US_KRW!E75</f>
        <v>-1068922411</v>
      </c>
      <c r="F75" s="146">
        <f t="shared" si="7"/>
        <v>-162281730</v>
      </c>
      <c r="G75" s="146">
        <f t="shared" si="4"/>
        <v>0</v>
      </c>
      <c r="H75" s="143" t="s">
        <v>356</v>
      </c>
      <c r="I75" s="140">
        <f>CFwp_Korea!I75+CFwp_US_KRW!I75</f>
        <v>190727634</v>
      </c>
      <c r="J75" s="140">
        <f>CFwp_Korea!J75+CFwp_US_KRW!J75</f>
        <v>190727634</v>
      </c>
      <c r="K75" s="140">
        <f>CFwp_Korea!K75+CFwp_US_KRW!K75</f>
        <v>0</v>
      </c>
      <c r="L75" s="140">
        <f>CFwp_Korea!L75+CFwp_US_KRW!L75</f>
        <v>0</v>
      </c>
      <c r="M75" s="140">
        <f>CFwp_Korea!M75+CFwp_US_KRW!M75</f>
        <v>0</v>
      </c>
      <c r="N75" s="140">
        <f>CFwp_Korea!N75+CFwp_US_KRW!N75</f>
        <v>0</v>
      </c>
      <c r="O75" s="140">
        <f>CFwp_Korea!O75+CFwp_US_KRW!O75</f>
        <v>0</v>
      </c>
      <c r="P75" s="140">
        <f>CFwp_Korea!P75+CFwp_US_KRW!P75</f>
        <v>0</v>
      </c>
      <c r="Q75" s="140">
        <f>CFwp_Korea!Q75+CFwp_US_KRW!Q75</f>
        <v>0</v>
      </c>
      <c r="R75" s="140">
        <f>CFwp_Korea!R75+CFwp_US_KRW!R75</f>
        <v>0</v>
      </c>
      <c r="S75" s="140">
        <f>CFwp_Korea!S75+CFwp_US_KRW!S75</f>
        <v>0</v>
      </c>
      <c r="T75" s="140">
        <f>CFwp_Korea!T75+CFwp_US_KRW!T75</f>
        <v>28050000</v>
      </c>
      <c r="U75" s="140">
        <f>CFwp_Korea!U75+CFwp_US_KRW!U75</f>
        <v>0</v>
      </c>
      <c r="V75" s="140">
        <f>CFwp_Korea!V75+CFwp_US_KRW!V75</f>
        <v>0</v>
      </c>
      <c r="W75" s="140">
        <f>CFwp_Korea!W75+CFwp_US_KRW!W75</f>
        <v>0</v>
      </c>
      <c r="X75" s="140">
        <f>CFwp_Korea!X75+CFwp_US_KRW!X75</f>
        <v>0</v>
      </c>
      <c r="Y75" s="140">
        <f>CFwp_Korea!Y75+CFwp_US_KRW!Y75</f>
        <v>395904</v>
      </c>
      <c r="Z75" s="140">
        <f>CFwp_Korea!Z75+CFwp_US_KRW!Z75</f>
        <v>0</v>
      </c>
      <c r="AA75" s="182"/>
      <c r="AB75" s="182"/>
    </row>
    <row r="76" spans="2:28">
      <c r="B76" s="139" t="s">
        <v>158</v>
      </c>
      <c r="C76" s="139" t="s">
        <v>159</v>
      </c>
      <c r="D76" s="140">
        <f>CFwp_Korea!D76+CFwp_US_KRW!D76</f>
        <v>346550000</v>
      </c>
      <c r="E76" s="140">
        <f>CFwp_Korea!E76+CFwp_US_KRW!E76</f>
        <v>4219307334</v>
      </c>
      <c r="F76" s="146">
        <f t="shared" si="7"/>
        <v>3872757334</v>
      </c>
      <c r="G76" s="146">
        <f t="shared" si="4"/>
        <v>0</v>
      </c>
      <c r="H76" s="143"/>
      <c r="I76" s="140">
        <f>CFwp_Korea!I76+CFwp_US_KRW!I76</f>
        <v>0</v>
      </c>
      <c r="J76" s="140">
        <f>CFwp_Korea!J76+CFwp_US_KRW!J76</f>
        <v>0</v>
      </c>
      <c r="K76" s="140">
        <f>CFwp_Korea!K76+CFwp_US_KRW!K76</f>
        <v>0</v>
      </c>
      <c r="L76" s="140">
        <f>CFwp_Korea!L76+CFwp_US_KRW!L76</f>
        <v>0</v>
      </c>
      <c r="M76" s="140">
        <f>CFwp_Korea!M76+CFwp_US_KRW!M76</f>
        <v>0</v>
      </c>
      <c r="N76" s="140">
        <f>CFwp_Korea!N76+CFwp_US_KRW!N76</f>
        <v>0</v>
      </c>
      <c r="O76" s="140">
        <f>CFwp_Korea!O76+CFwp_US_KRW!O76</f>
        <v>0</v>
      </c>
      <c r="P76" s="140">
        <f>CFwp_Korea!P76+CFwp_US_KRW!P76</f>
        <v>3604459078</v>
      </c>
      <c r="Q76" s="140">
        <f>CFwp_Korea!Q76+CFwp_US_KRW!Q76</f>
        <v>0</v>
      </c>
      <c r="R76" s="140">
        <f>CFwp_Korea!R76+CFwp_US_KRW!R76</f>
        <v>0</v>
      </c>
      <c r="S76" s="140">
        <f>CFwp_Korea!S76+CFwp_US_KRW!S76</f>
        <v>0</v>
      </c>
      <c r="T76" s="140">
        <f>CFwp_Korea!T76+CFwp_US_KRW!T76</f>
        <v>614848256</v>
      </c>
      <c r="U76" s="140">
        <f>CFwp_Korea!U76+CFwp_US_KRW!U76</f>
        <v>0</v>
      </c>
      <c r="V76" s="140">
        <f>CFwp_Korea!V76+CFwp_US_KRW!V76</f>
        <v>346550000</v>
      </c>
      <c r="W76" s="140">
        <f>CFwp_Korea!W76+CFwp_US_KRW!W76</f>
        <v>0</v>
      </c>
      <c r="X76" s="140">
        <f>CFwp_Korea!X76+CFwp_US_KRW!X76</f>
        <v>0</v>
      </c>
      <c r="Y76" s="140">
        <f>CFwp_Korea!Y76+CFwp_US_KRW!Y76</f>
        <v>0</v>
      </c>
      <c r="Z76" s="140">
        <f>CFwp_Korea!Z76+CFwp_US_KRW!Z76</f>
        <v>0</v>
      </c>
      <c r="AA76" s="182"/>
      <c r="AB76" s="182"/>
    </row>
    <row r="77" spans="2:28">
      <c r="B77" s="139" t="s">
        <v>160</v>
      </c>
      <c r="C77" s="139" t="s">
        <v>161</v>
      </c>
      <c r="D77" s="140">
        <f>CFwp_Korea!D77+CFwp_US_KRW!D77</f>
        <v>1687253723</v>
      </c>
      <c r="E77" s="140">
        <f>CFwp_Korea!E77+CFwp_US_KRW!E77</f>
        <v>2038676723</v>
      </c>
      <c r="F77" s="146">
        <f t="shared" si="7"/>
        <v>351423000</v>
      </c>
      <c r="G77" s="146">
        <f t="shared" si="4"/>
        <v>0</v>
      </c>
      <c r="H77" s="143"/>
      <c r="I77" s="140">
        <f>CFwp_Korea!I77+CFwp_US_KRW!I77</f>
        <v>0</v>
      </c>
      <c r="J77" s="140">
        <f>CFwp_Korea!J77+CFwp_US_KRW!J77</f>
        <v>0</v>
      </c>
      <c r="K77" s="140">
        <f>CFwp_Korea!K77+CFwp_US_KRW!K77</f>
        <v>0</v>
      </c>
      <c r="L77" s="140">
        <f>CFwp_Korea!L77+CFwp_US_KRW!L77</f>
        <v>0</v>
      </c>
      <c r="M77" s="140">
        <f>CFwp_Korea!M77+CFwp_US_KRW!M77</f>
        <v>0</v>
      </c>
      <c r="N77" s="140">
        <f>CFwp_Korea!N77+CFwp_US_KRW!N77</f>
        <v>0</v>
      </c>
      <c r="O77" s="140">
        <f>CFwp_Korea!O77+CFwp_US_KRW!O77</f>
        <v>0</v>
      </c>
      <c r="P77" s="140">
        <f>CFwp_Korea!P77+CFwp_US_KRW!P77</f>
        <v>351423000</v>
      </c>
      <c r="Q77" s="140">
        <f>CFwp_Korea!Q77+CFwp_US_KRW!Q77</f>
        <v>0</v>
      </c>
      <c r="R77" s="140">
        <f>CFwp_Korea!R77+CFwp_US_KRW!R77</f>
        <v>0</v>
      </c>
      <c r="S77" s="140">
        <f>CFwp_Korea!S77+CFwp_US_KRW!S77</f>
        <v>0</v>
      </c>
      <c r="T77" s="140">
        <f>CFwp_Korea!T77+CFwp_US_KRW!T77</f>
        <v>0</v>
      </c>
      <c r="U77" s="140">
        <f>CFwp_Korea!U77+CFwp_US_KRW!U77</f>
        <v>0</v>
      </c>
      <c r="V77" s="140">
        <f>CFwp_Korea!V77+CFwp_US_KRW!V77</f>
        <v>0</v>
      </c>
      <c r="W77" s="140">
        <f>CFwp_Korea!W77+CFwp_US_KRW!W77</f>
        <v>0</v>
      </c>
      <c r="X77" s="140">
        <f>CFwp_Korea!X77+CFwp_US_KRW!X77</f>
        <v>0</v>
      </c>
      <c r="Y77" s="140">
        <f>CFwp_Korea!Y77+CFwp_US_KRW!Y77</f>
        <v>0</v>
      </c>
      <c r="Z77" s="140">
        <f>CFwp_Korea!Z77+CFwp_US_KRW!Z77</f>
        <v>0</v>
      </c>
      <c r="AA77" s="182"/>
      <c r="AB77" s="182"/>
    </row>
    <row r="78" spans="2:28">
      <c r="B78" s="139" t="s">
        <v>162</v>
      </c>
      <c r="C78" s="139" t="s">
        <v>163</v>
      </c>
      <c r="D78" s="140">
        <f>CFwp_Korea!D78+CFwp_US_KRW!D78</f>
        <v>-1187465138</v>
      </c>
      <c r="E78" s="140">
        <f>CFwp_Korea!E78+CFwp_US_KRW!E78</f>
        <v>-1418011609</v>
      </c>
      <c r="F78" s="146">
        <f t="shared" si="7"/>
        <v>-230546471</v>
      </c>
      <c r="G78" s="146">
        <f t="shared" si="4"/>
        <v>0</v>
      </c>
      <c r="H78" s="143" t="s">
        <v>356</v>
      </c>
      <c r="I78" s="140">
        <f>CFwp_Korea!I78+CFwp_US_KRW!I78</f>
        <v>230546471</v>
      </c>
      <c r="J78" s="140">
        <f>CFwp_Korea!J78+CFwp_US_KRW!J78</f>
        <v>230546471</v>
      </c>
      <c r="K78" s="140">
        <f>CFwp_Korea!K78+CFwp_US_KRW!K78</f>
        <v>0</v>
      </c>
      <c r="L78" s="140">
        <f>CFwp_Korea!L78+CFwp_US_KRW!L78</f>
        <v>0</v>
      </c>
      <c r="M78" s="140">
        <f>CFwp_Korea!M78+CFwp_US_KRW!M78</f>
        <v>0</v>
      </c>
      <c r="N78" s="140">
        <f>CFwp_Korea!N78+CFwp_US_KRW!N78</f>
        <v>0</v>
      </c>
      <c r="O78" s="140">
        <f>CFwp_Korea!O78+CFwp_US_KRW!O78</f>
        <v>0</v>
      </c>
      <c r="P78" s="140">
        <f>CFwp_Korea!P78+CFwp_US_KRW!P78</f>
        <v>0</v>
      </c>
      <c r="Q78" s="140">
        <f>CFwp_Korea!Q78+CFwp_US_KRW!Q78</f>
        <v>0</v>
      </c>
      <c r="R78" s="140">
        <f>CFwp_Korea!R78+CFwp_US_KRW!R78</f>
        <v>0</v>
      </c>
      <c r="S78" s="140">
        <f>CFwp_Korea!S78+CFwp_US_KRW!S78</f>
        <v>0</v>
      </c>
      <c r="T78" s="140">
        <f>CFwp_Korea!T78+CFwp_US_KRW!T78</f>
        <v>0</v>
      </c>
      <c r="U78" s="140">
        <f>CFwp_Korea!U78+CFwp_US_KRW!U78</f>
        <v>0</v>
      </c>
      <c r="V78" s="140">
        <f>CFwp_Korea!V78+CFwp_US_KRW!V78</f>
        <v>0</v>
      </c>
      <c r="W78" s="140">
        <f>CFwp_Korea!W78+CFwp_US_KRW!W78</f>
        <v>0</v>
      </c>
      <c r="X78" s="140">
        <f>CFwp_Korea!X78+CFwp_US_KRW!X78</f>
        <v>0</v>
      </c>
      <c r="Y78" s="140">
        <f>CFwp_Korea!Y78+CFwp_US_KRW!Y78</f>
        <v>0</v>
      </c>
      <c r="Z78" s="140">
        <f>CFwp_Korea!Z78+CFwp_US_KRW!Z78</f>
        <v>0</v>
      </c>
      <c r="AA78" s="182"/>
      <c r="AB78" s="182"/>
    </row>
    <row r="79" spans="2:28">
      <c r="B79" s="139" t="s">
        <v>164</v>
      </c>
      <c r="C79" s="139" t="s">
        <v>165</v>
      </c>
      <c r="D79" s="140">
        <f>CFwp_Korea!D79+CFwp_US_KRW!D79</f>
        <v>132069996</v>
      </c>
      <c r="E79" s="140">
        <f>CFwp_Korea!E79+CFwp_US_KRW!E79</f>
        <v>458164559</v>
      </c>
      <c r="F79" s="146">
        <f t="shared" si="7"/>
        <v>326094563</v>
      </c>
      <c r="G79" s="146">
        <f t="shared" si="4"/>
        <v>0</v>
      </c>
      <c r="H79" s="143" t="s">
        <v>356</v>
      </c>
      <c r="I79" s="140">
        <f>CFwp_Korea!I79+CFwp_US_KRW!I79</f>
        <v>0</v>
      </c>
      <c r="J79" s="140">
        <f>CFwp_Korea!J79+CFwp_US_KRW!J79</f>
        <v>0</v>
      </c>
      <c r="K79" s="140">
        <f>CFwp_Korea!K79+CFwp_US_KRW!K79</f>
        <v>0</v>
      </c>
      <c r="L79" s="140">
        <f>CFwp_Korea!L79+CFwp_US_KRW!L79</f>
        <v>0</v>
      </c>
      <c r="M79" s="140">
        <f>CFwp_Korea!M79+CFwp_US_KRW!M79</f>
        <v>0</v>
      </c>
      <c r="N79" s="140">
        <f>CFwp_Korea!N79+CFwp_US_KRW!N79</f>
        <v>0</v>
      </c>
      <c r="O79" s="140">
        <f>CFwp_Korea!O79+CFwp_US_KRW!O79</f>
        <v>0</v>
      </c>
      <c r="P79" s="140">
        <f>CFwp_Korea!P79+CFwp_US_KRW!P79</f>
        <v>0</v>
      </c>
      <c r="Q79" s="140">
        <f>CFwp_Korea!Q79+CFwp_US_KRW!Q79</f>
        <v>0</v>
      </c>
      <c r="R79" s="140">
        <f>CFwp_Korea!R79+CFwp_US_KRW!R79</f>
        <v>0</v>
      </c>
      <c r="S79" s="140">
        <f>CFwp_Korea!S79+CFwp_US_KRW!S79</f>
        <v>0</v>
      </c>
      <c r="T79" s="140">
        <f>CFwp_Korea!T79+CFwp_US_KRW!T79</f>
        <v>326094563</v>
      </c>
      <c r="U79" s="140">
        <f>CFwp_Korea!U79+CFwp_US_KRW!U79</f>
        <v>0</v>
      </c>
      <c r="V79" s="140">
        <f>CFwp_Korea!V79+CFwp_US_KRW!V79</f>
        <v>0</v>
      </c>
      <c r="W79" s="140">
        <f>CFwp_Korea!W79+CFwp_US_KRW!W79</f>
        <v>0</v>
      </c>
      <c r="X79" s="140">
        <f>CFwp_Korea!X79+CFwp_US_KRW!X79</f>
        <v>0</v>
      </c>
      <c r="Y79" s="140">
        <f>CFwp_Korea!Y79+CFwp_US_KRW!Y79</f>
        <v>0</v>
      </c>
      <c r="Z79" s="140">
        <f>CFwp_Korea!Z79+CFwp_US_KRW!Z79</f>
        <v>0</v>
      </c>
      <c r="AA79" s="182"/>
      <c r="AB79" s="182"/>
    </row>
    <row r="80" spans="2:28">
      <c r="B80" s="139" t="s">
        <v>166</v>
      </c>
      <c r="C80" s="139" t="s">
        <v>167</v>
      </c>
      <c r="D80" s="140">
        <f>CFwp_Korea!D80+CFwp_US_KRW!D80</f>
        <v>-41857019</v>
      </c>
      <c r="E80" s="140">
        <f>CFwp_Korea!E80+CFwp_US_KRW!E80</f>
        <v>-118025644</v>
      </c>
      <c r="F80" s="146">
        <f t="shared" si="7"/>
        <v>-76168625</v>
      </c>
      <c r="G80" s="146">
        <f t="shared" si="4"/>
        <v>0</v>
      </c>
      <c r="H80" s="143" t="s">
        <v>356</v>
      </c>
      <c r="I80" s="140">
        <f>CFwp_Korea!I80+CFwp_US_KRW!I80</f>
        <v>76168625</v>
      </c>
      <c r="J80" s="140">
        <f>CFwp_Korea!J80+CFwp_US_KRW!J80</f>
        <v>76168625</v>
      </c>
      <c r="K80" s="140">
        <f>CFwp_Korea!K80+CFwp_US_KRW!K80</f>
        <v>0</v>
      </c>
      <c r="L80" s="140">
        <f>CFwp_Korea!L80+CFwp_US_KRW!L80</f>
        <v>0</v>
      </c>
      <c r="M80" s="140">
        <f>CFwp_Korea!M80+CFwp_US_KRW!M80</f>
        <v>0</v>
      </c>
      <c r="N80" s="140">
        <f>CFwp_Korea!N80+CFwp_US_KRW!N80</f>
        <v>0</v>
      </c>
      <c r="O80" s="140">
        <f>CFwp_Korea!O80+CFwp_US_KRW!O80</f>
        <v>0</v>
      </c>
      <c r="P80" s="140">
        <f>CFwp_Korea!P80+CFwp_US_KRW!P80</f>
        <v>0</v>
      </c>
      <c r="Q80" s="140">
        <f>CFwp_Korea!Q80+CFwp_US_KRW!Q80</f>
        <v>0</v>
      </c>
      <c r="R80" s="140">
        <f>CFwp_Korea!R80+CFwp_US_KRW!R80</f>
        <v>0</v>
      </c>
      <c r="S80" s="140">
        <f>CFwp_Korea!S80+CFwp_US_KRW!S80</f>
        <v>0</v>
      </c>
      <c r="T80" s="140">
        <f>CFwp_Korea!T80+CFwp_US_KRW!T80</f>
        <v>0</v>
      </c>
      <c r="U80" s="140">
        <f>CFwp_Korea!U80+CFwp_US_KRW!U80</f>
        <v>0</v>
      </c>
      <c r="V80" s="140">
        <f>CFwp_Korea!V80+CFwp_US_KRW!V80</f>
        <v>0</v>
      </c>
      <c r="W80" s="140">
        <f>CFwp_Korea!W80+CFwp_US_KRW!W80</f>
        <v>0</v>
      </c>
      <c r="X80" s="140">
        <f>CFwp_Korea!X80+CFwp_US_KRW!X80</f>
        <v>0</v>
      </c>
      <c r="Y80" s="140">
        <f>CFwp_Korea!Y80+CFwp_US_KRW!Y80</f>
        <v>0</v>
      </c>
      <c r="Z80" s="140">
        <f>CFwp_Korea!Z80+CFwp_US_KRW!Z80</f>
        <v>0</v>
      </c>
      <c r="AA80" s="182"/>
      <c r="AB80" s="182"/>
    </row>
    <row r="81" spans="2:28">
      <c r="B81" s="139"/>
      <c r="C81" s="139"/>
      <c r="D81" s="140"/>
      <c r="E81" s="140"/>
      <c r="F81" s="146"/>
      <c r="G81" s="146">
        <f t="shared" si="4"/>
        <v>0</v>
      </c>
      <c r="H81" s="143"/>
      <c r="I81" s="140">
        <f>CFwp_Korea!I81+CFwp_US_KRW!I81</f>
        <v>0</v>
      </c>
      <c r="J81" s="140">
        <f>CFwp_Korea!J81+CFwp_US_KRW!J81</f>
        <v>0</v>
      </c>
      <c r="K81" s="140">
        <f>CFwp_Korea!K81+CFwp_US_KRW!K81</f>
        <v>0</v>
      </c>
      <c r="L81" s="140">
        <f>CFwp_Korea!L81+CFwp_US_KRW!L81</f>
        <v>0</v>
      </c>
      <c r="M81" s="140">
        <f>CFwp_Korea!M81+CFwp_US_KRW!M81</f>
        <v>0</v>
      </c>
      <c r="N81" s="140">
        <f>CFwp_Korea!N81+CFwp_US_KRW!N81</f>
        <v>0</v>
      </c>
      <c r="O81" s="140">
        <f>CFwp_Korea!O81+CFwp_US_KRW!O81</f>
        <v>0</v>
      </c>
      <c r="P81" s="140">
        <f>CFwp_Korea!P81+CFwp_US_KRW!P81</f>
        <v>0</v>
      </c>
      <c r="Q81" s="140">
        <f>CFwp_Korea!Q81+CFwp_US_KRW!Q81</f>
        <v>0</v>
      </c>
      <c r="R81" s="140">
        <f>CFwp_Korea!R81+CFwp_US_KRW!R81</f>
        <v>0</v>
      </c>
      <c r="S81" s="140">
        <f>CFwp_Korea!S81+CFwp_US_KRW!S81</f>
        <v>0</v>
      </c>
      <c r="T81" s="140">
        <f>CFwp_Korea!T81+CFwp_US_KRW!T81</f>
        <v>0</v>
      </c>
      <c r="U81" s="140">
        <f>CFwp_Korea!U81+CFwp_US_KRW!U81</f>
        <v>0</v>
      </c>
      <c r="V81" s="140">
        <f>CFwp_Korea!V81+CFwp_US_KRW!V81</f>
        <v>0</v>
      </c>
      <c r="W81" s="140">
        <f>CFwp_Korea!W81+CFwp_US_KRW!W81</f>
        <v>0</v>
      </c>
      <c r="X81" s="140">
        <f>CFwp_Korea!X81+CFwp_US_KRW!X81</f>
        <v>0</v>
      </c>
      <c r="Y81" s="140">
        <f>CFwp_Korea!Y81+CFwp_US_KRW!Y81</f>
        <v>0</v>
      </c>
      <c r="Z81" s="140">
        <f>CFwp_Korea!Z81+CFwp_US_KRW!Z81</f>
        <v>0</v>
      </c>
      <c r="AA81" s="182"/>
      <c r="AB81" s="182"/>
    </row>
    <row r="82" spans="2:28">
      <c r="B82" s="137"/>
      <c r="C82" s="137" t="s">
        <v>172</v>
      </c>
      <c r="D82" s="138">
        <f>SUM(D83:D89)</f>
        <v>304889405</v>
      </c>
      <c r="E82" s="138">
        <f>SUM(E83:E89)</f>
        <v>250089092</v>
      </c>
      <c r="F82" s="154"/>
      <c r="G82" s="154"/>
      <c r="H82" s="138"/>
      <c r="I82" s="149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>
        <v>0</v>
      </c>
      <c r="Z82" s="138">
        <v>0</v>
      </c>
      <c r="AA82" s="182"/>
      <c r="AB82" s="182"/>
    </row>
    <row r="83" spans="2:28">
      <c r="B83" s="139" t="s">
        <v>169</v>
      </c>
      <c r="C83" s="139" t="s">
        <v>170</v>
      </c>
      <c r="D83" s="140">
        <f>CFwp_Korea!D83+CFwp_US_KRW!D83</f>
        <v>0</v>
      </c>
      <c r="E83" s="140">
        <f>CFwp_Korea!E83+CFwp_US_KRW!E83</f>
        <v>0</v>
      </c>
      <c r="F83" s="146">
        <f>E83-D83</f>
        <v>0</v>
      </c>
      <c r="G83" s="146">
        <f t="shared" si="4"/>
        <v>0</v>
      </c>
      <c r="H83" s="143"/>
      <c r="I83" s="140">
        <f>CFwp_Korea!I83+CFwp_US_KRW!I83</f>
        <v>0</v>
      </c>
      <c r="J83" s="140">
        <f>CFwp_Korea!J83+CFwp_US_KRW!J83</f>
        <v>0</v>
      </c>
      <c r="K83" s="140">
        <f>CFwp_Korea!K83+CFwp_US_KRW!K83</f>
        <v>0</v>
      </c>
      <c r="L83" s="140">
        <f>CFwp_Korea!L83+CFwp_US_KRW!L83</f>
        <v>0</v>
      </c>
      <c r="M83" s="140">
        <f>CFwp_Korea!M83+CFwp_US_KRW!M83</f>
        <v>0</v>
      </c>
      <c r="N83" s="140">
        <f>CFwp_Korea!N83+CFwp_US_KRW!N83</f>
        <v>0</v>
      </c>
      <c r="O83" s="140">
        <f>CFwp_Korea!O83+CFwp_US_KRW!O83</f>
        <v>0</v>
      </c>
      <c r="P83" s="140">
        <f>CFwp_Korea!P83+CFwp_US_KRW!P83</f>
        <v>0</v>
      </c>
      <c r="Q83" s="140">
        <f>CFwp_Korea!Q83+CFwp_US_KRW!Q83</f>
        <v>0</v>
      </c>
      <c r="R83" s="140">
        <f>CFwp_Korea!R83+CFwp_US_KRW!R83</f>
        <v>0</v>
      </c>
      <c r="S83" s="140">
        <f>CFwp_Korea!S83+CFwp_US_KRW!S83</f>
        <v>0</v>
      </c>
      <c r="T83" s="140">
        <f>CFwp_Korea!T83+CFwp_US_KRW!T83</f>
        <v>0</v>
      </c>
      <c r="U83" s="140">
        <f>CFwp_Korea!U83+CFwp_US_KRW!U83</f>
        <v>0</v>
      </c>
      <c r="V83" s="140">
        <f>CFwp_Korea!V83+CFwp_US_KRW!V83</f>
        <v>0</v>
      </c>
      <c r="W83" s="140">
        <f>CFwp_Korea!W83+CFwp_US_KRW!W83</f>
        <v>0</v>
      </c>
      <c r="X83" s="140">
        <f>CFwp_Korea!X83+CFwp_US_KRW!X83</f>
        <v>0</v>
      </c>
      <c r="Y83" s="140">
        <f>CFwp_Korea!Y83+CFwp_US_KRW!Y83</f>
        <v>0</v>
      </c>
      <c r="Z83" s="140">
        <f>CFwp_Korea!Z83+CFwp_US_KRW!Z83</f>
        <v>0</v>
      </c>
      <c r="AA83" s="182"/>
      <c r="AB83" s="182"/>
    </row>
    <row r="84" spans="2:28">
      <c r="B84" s="139" t="s">
        <v>173</v>
      </c>
      <c r="C84" s="139" t="s">
        <v>174</v>
      </c>
      <c r="D84" s="140">
        <f>CFwp_Korea!D84+CFwp_US_KRW!D84</f>
        <v>120423562</v>
      </c>
      <c r="E84" s="140">
        <f>CFwp_Korea!E84+CFwp_US_KRW!E84</f>
        <v>144014402</v>
      </c>
      <c r="F84" s="146">
        <f t="shared" ref="F84:F89" si="8">E84-D84</f>
        <v>23590840</v>
      </c>
      <c r="G84" s="146">
        <f t="shared" si="4"/>
        <v>0</v>
      </c>
      <c r="H84" s="143"/>
      <c r="I84" s="140">
        <f>CFwp_Korea!I84+CFwp_US_KRW!I84</f>
        <v>0</v>
      </c>
      <c r="J84" s="140">
        <f>CFwp_Korea!J84+CFwp_US_KRW!J84</f>
        <v>0</v>
      </c>
      <c r="K84" s="140">
        <f>CFwp_Korea!K84+CFwp_US_KRW!K84</f>
        <v>0</v>
      </c>
      <c r="L84" s="140">
        <f>CFwp_Korea!L84+CFwp_US_KRW!L84</f>
        <v>0</v>
      </c>
      <c r="M84" s="140">
        <f>CFwp_Korea!M84+CFwp_US_KRW!M84</f>
        <v>0</v>
      </c>
      <c r="N84" s="140">
        <f>CFwp_Korea!N84+CFwp_US_KRW!N84</f>
        <v>0</v>
      </c>
      <c r="O84" s="140">
        <f>CFwp_Korea!O84+CFwp_US_KRW!O84</f>
        <v>0</v>
      </c>
      <c r="P84" s="140">
        <f>CFwp_Korea!P84+CFwp_US_KRW!P84</f>
        <v>23590840</v>
      </c>
      <c r="Q84" s="140">
        <f>CFwp_Korea!Q84+CFwp_US_KRW!Q84</f>
        <v>0</v>
      </c>
      <c r="R84" s="140">
        <f>CFwp_Korea!R84+CFwp_US_KRW!R84</f>
        <v>0</v>
      </c>
      <c r="S84" s="140">
        <f>CFwp_Korea!S84+CFwp_US_KRW!S84</f>
        <v>0</v>
      </c>
      <c r="T84" s="140">
        <f>CFwp_Korea!T84+CFwp_US_KRW!T84</f>
        <v>0</v>
      </c>
      <c r="U84" s="140">
        <f>CFwp_Korea!U84+CFwp_US_KRW!U84</f>
        <v>0</v>
      </c>
      <c r="V84" s="140">
        <f>CFwp_Korea!V84+CFwp_US_KRW!V84</f>
        <v>0</v>
      </c>
      <c r="W84" s="140">
        <f>CFwp_Korea!W84+CFwp_US_KRW!W84</f>
        <v>0</v>
      </c>
      <c r="X84" s="140">
        <f>CFwp_Korea!X84+CFwp_US_KRW!X84</f>
        <v>0</v>
      </c>
      <c r="Y84" s="140">
        <f>CFwp_Korea!Y84+CFwp_US_KRW!Y84</f>
        <v>0</v>
      </c>
      <c r="Z84" s="140">
        <f>CFwp_Korea!Z84+CFwp_US_KRW!Z84</f>
        <v>0</v>
      </c>
      <c r="AA84" s="182"/>
      <c r="AB84" s="182"/>
    </row>
    <row r="85" spans="2:28">
      <c r="B85" s="139" t="s">
        <v>66</v>
      </c>
      <c r="C85" s="139" t="s">
        <v>848</v>
      </c>
      <c r="D85" s="140">
        <f>CFwp_Korea!D85+CFwp_US_KRW!D85</f>
        <v>-104068596</v>
      </c>
      <c r="E85" s="140">
        <f>CFwp_Korea!E85+CFwp_US_KRW!E85</f>
        <v>-111469829</v>
      </c>
      <c r="F85" s="146">
        <f t="shared" ref="F85:F88" si="9">E85-D85</f>
        <v>-7401233</v>
      </c>
      <c r="G85" s="146">
        <f t="shared" ref="G85:G88" si="10">J85-K85+N85+O85-P85+Q85-R85-T85+V85+F85-W85+X85-Y85+Z85</f>
        <v>0</v>
      </c>
      <c r="H85" s="143" t="s">
        <v>711</v>
      </c>
      <c r="I85" s="140">
        <f>CFwp_Korea!I85+CFwp_US_KRW!I85</f>
        <v>7401233</v>
      </c>
      <c r="J85" s="140">
        <f>CFwp_Korea!J85+CFwp_US_KRW!J85</f>
        <v>7401233</v>
      </c>
      <c r="K85" s="140">
        <f>CFwp_Korea!K85+CFwp_US_KRW!K85</f>
        <v>0</v>
      </c>
      <c r="L85" s="140">
        <f>CFwp_Korea!L85+CFwp_US_KRW!L85</f>
        <v>0</v>
      </c>
      <c r="M85" s="140">
        <f>CFwp_Korea!M85+CFwp_US_KRW!M85</f>
        <v>0</v>
      </c>
      <c r="N85" s="140">
        <f>CFwp_Korea!N85+CFwp_US_KRW!N85</f>
        <v>0</v>
      </c>
      <c r="O85" s="140">
        <f>CFwp_Korea!O85+CFwp_US_KRW!O85</f>
        <v>0</v>
      </c>
      <c r="P85" s="140">
        <f>CFwp_Korea!P85+CFwp_US_KRW!P85</f>
        <v>0</v>
      </c>
      <c r="Q85" s="140">
        <f>CFwp_Korea!Q85+CFwp_US_KRW!Q85</f>
        <v>0</v>
      </c>
      <c r="R85" s="140">
        <f>CFwp_Korea!R85+CFwp_US_KRW!R85</f>
        <v>0</v>
      </c>
      <c r="S85" s="140">
        <f>CFwp_Korea!S85+CFwp_US_KRW!S85</f>
        <v>0</v>
      </c>
      <c r="T85" s="140">
        <f>CFwp_Korea!T85+CFwp_US_KRW!T85</f>
        <v>0</v>
      </c>
      <c r="U85" s="140">
        <f>CFwp_Korea!U85+CFwp_US_KRW!U85</f>
        <v>0</v>
      </c>
      <c r="V85" s="140">
        <f>CFwp_Korea!V85+CFwp_US_KRW!V85</f>
        <v>0</v>
      </c>
      <c r="W85" s="140">
        <f>CFwp_Korea!W85+CFwp_US_KRW!W85</f>
        <v>0</v>
      </c>
      <c r="X85" s="140">
        <f>CFwp_Korea!X85+CFwp_US_KRW!X85</f>
        <v>0</v>
      </c>
      <c r="Y85" s="140">
        <f>CFwp_Korea!Y85+CFwp_US_KRW!Y85</f>
        <v>0</v>
      </c>
      <c r="Z85" s="140">
        <f>CFwp_Korea!Z85+CFwp_US_KRW!Z85</f>
        <v>0</v>
      </c>
      <c r="AA85" s="182"/>
      <c r="AB85" s="182"/>
    </row>
    <row r="86" spans="2:28">
      <c r="B86" s="139" t="s">
        <v>175</v>
      </c>
      <c r="C86" s="139" t="s">
        <v>176</v>
      </c>
      <c r="D86" s="140">
        <f>CFwp_Korea!D86+CFwp_US_KRW!D86</f>
        <v>455258699</v>
      </c>
      <c r="E86" s="140">
        <f>CFwp_Korea!E86+CFwp_US_KRW!E86</f>
        <v>455258699</v>
      </c>
      <c r="F86" s="146">
        <f t="shared" si="9"/>
        <v>0</v>
      </c>
      <c r="G86" s="146">
        <f t="shared" si="10"/>
        <v>0</v>
      </c>
      <c r="H86" s="143"/>
      <c r="I86" s="140">
        <f>CFwp_Korea!I86+CFwp_US_KRW!I86</f>
        <v>0</v>
      </c>
      <c r="J86" s="140">
        <f>CFwp_Korea!J86+CFwp_US_KRW!J86</f>
        <v>0</v>
      </c>
      <c r="K86" s="140">
        <f>CFwp_Korea!K86+CFwp_US_KRW!K86</f>
        <v>0</v>
      </c>
      <c r="L86" s="140">
        <f>CFwp_Korea!L86+CFwp_US_KRW!L86</f>
        <v>0</v>
      </c>
      <c r="M86" s="140">
        <f>CFwp_Korea!M86+CFwp_US_KRW!M86</f>
        <v>0</v>
      </c>
      <c r="N86" s="140">
        <f>CFwp_Korea!N86+CFwp_US_KRW!N86</f>
        <v>0</v>
      </c>
      <c r="O86" s="140">
        <f>CFwp_Korea!O86+CFwp_US_KRW!O86</f>
        <v>0</v>
      </c>
      <c r="P86" s="140">
        <f>CFwp_Korea!P86+CFwp_US_KRW!P86</f>
        <v>0</v>
      </c>
      <c r="Q86" s="140">
        <f>CFwp_Korea!Q86+CFwp_US_KRW!Q86</f>
        <v>0</v>
      </c>
      <c r="R86" s="140">
        <f>CFwp_Korea!R86+CFwp_US_KRW!R86</f>
        <v>0</v>
      </c>
      <c r="S86" s="140">
        <f>CFwp_Korea!S86+CFwp_US_KRW!S86</f>
        <v>0</v>
      </c>
      <c r="T86" s="140">
        <f>CFwp_Korea!T86+CFwp_US_KRW!T86</f>
        <v>0</v>
      </c>
      <c r="U86" s="140">
        <f>CFwp_Korea!U86+CFwp_US_KRW!U86</f>
        <v>0</v>
      </c>
      <c r="V86" s="140">
        <f>CFwp_Korea!V86+CFwp_US_KRW!V86</f>
        <v>0</v>
      </c>
      <c r="W86" s="140">
        <f>CFwp_Korea!W86+CFwp_US_KRW!W86</f>
        <v>0</v>
      </c>
      <c r="X86" s="140">
        <f>CFwp_Korea!X86+CFwp_US_KRW!X86</f>
        <v>0</v>
      </c>
      <c r="Y86" s="140">
        <f>CFwp_Korea!Y86+CFwp_US_KRW!Y86</f>
        <v>0</v>
      </c>
      <c r="Z86" s="140">
        <f>CFwp_Korea!Z86+CFwp_US_KRW!Z86</f>
        <v>0</v>
      </c>
      <c r="AA86" s="182"/>
      <c r="AB86" s="182"/>
    </row>
    <row r="87" spans="2:28">
      <c r="B87" s="139" t="s">
        <v>66</v>
      </c>
      <c r="C87" s="139" t="s">
        <v>850</v>
      </c>
      <c r="D87" s="140">
        <f>CFwp_Korea!D87+CFwp_US_KRW!D87</f>
        <v>-339194260</v>
      </c>
      <c r="E87" s="140">
        <f>CFwp_Korea!E87+CFwp_US_KRW!E87</f>
        <v>-410184180</v>
      </c>
      <c r="F87" s="146">
        <f t="shared" si="9"/>
        <v>-70989920</v>
      </c>
      <c r="G87" s="146">
        <f t="shared" si="10"/>
        <v>0</v>
      </c>
      <c r="H87" s="143" t="s">
        <v>711</v>
      </c>
      <c r="I87" s="140">
        <f>CFwp_Korea!I87+CFwp_US_KRW!I87</f>
        <v>70989920</v>
      </c>
      <c r="J87" s="140">
        <f>CFwp_Korea!J87+CFwp_US_KRW!J87</f>
        <v>70989920</v>
      </c>
      <c r="K87" s="140">
        <f>CFwp_Korea!K87+CFwp_US_KRW!K87</f>
        <v>0</v>
      </c>
      <c r="L87" s="140">
        <f>CFwp_Korea!L87+CFwp_US_KRW!L87</f>
        <v>0</v>
      </c>
      <c r="M87" s="140">
        <f>CFwp_Korea!M87+CFwp_US_KRW!M87</f>
        <v>0</v>
      </c>
      <c r="N87" s="140">
        <f>CFwp_Korea!N87+CFwp_US_KRW!N87</f>
        <v>0</v>
      </c>
      <c r="O87" s="140">
        <f>CFwp_Korea!O87+CFwp_US_KRW!O87</f>
        <v>0</v>
      </c>
      <c r="P87" s="140">
        <f>CFwp_Korea!P87+CFwp_US_KRW!P87</f>
        <v>0</v>
      </c>
      <c r="Q87" s="140">
        <f>CFwp_Korea!Q87+CFwp_US_KRW!Q87</f>
        <v>0</v>
      </c>
      <c r="R87" s="140">
        <f>CFwp_Korea!R87+CFwp_US_KRW!R87</f>
        <v>0</v>
      </c>
      <c r="S87" s="140">
        <f>CFwp_Korea!S87+CFwp_US_KRW!S87</f>
        <v>0</v>
      </c>
      <c r="T87" s="140">
        <f>CFwp_Korea!T87+CFwp_US_KRW!T87</f>
        <v>0</v>
      </c>
      <c r="U87" s="140">
        <f>CFwp_Korea!U87+CFwp_US_KRW!U87</f>
        <v>0</v>
      </c>
      <c r="V87" s="140">
        <f>CFwp_Korea!V87+CFwp_US_KRW!V87</f>
        <v>0</v>
      </c>
      <c r="W87" s="140">
        <f>CFwp_Korea!W87+CFwp_US_KRW!W87</f>
        <v>0</v>
      </c>
      <c r="X87" s="140">
        <f>CFwp_Korea!X87+CFwp_US_KRW!X87</f>
        <v>0</v>
      </c>
      <c r="Y87" s="140">
        <f>CFwp_Korea!Y87+CFwp_US_KRW!Y87</f>
        <v>0</v>
      </c>
      <c r="Z87" s="140">
        <f>CFwp_Korea!Z87+CFwp_US_KRW!Z87</f>
        <v>0</v>
      </c>
      <c r="AA87" s="182"/>
      <c r="AB87" s="182"/>
    </row>
    <row r="88" spans="2:28">
      <c r="B88" s="139" t="s">
        <v>177</v>
      </c>
      <c r="C88" s="139" t="s">
        <v>583</v>
      </c>
      <c r="D88" s="140">
        <f>CFwp_Korea!D88+CFwp_US_KRW!D88</f>
        <v>172470000</v>
      </c>
      <c r="E88" s="140">
        <f>CFwp_Korea!E88+CFwp_US_KRW!E88</f>
        <v>172470000</v>
      </c>
      <c r="F88" s="146">
        <f t="shared" si="9"/>
        <v>0</v>
      </c>
      <c r="G88" s="146">
        <f t="shared" si="10"/>
        <v>0</v>
      </c>
      <c r="H88" s="143"/>
      <c r="I88" s="140">
        <f>CFwp_Korea!I88+CFwp_US_KRW!I88</f>
        <v>0</v>
      </c>
      <c r="J88" s="140">
        <f>CFwp_Korea!J88+CFwp_US_KRW!J88</f>
        <v>0</v>
      </c>
      <c r="K88" s="140">
        <f>CFwp_Korea!K88+CFwp_US_KRW!K88</f>
        <v>0</v>
      </c>
      <c r="L88" s="140">
        <f>CFwp_Korea!L88+CFwp_US_KRW!L88</f>
        <v>0</v>
      </c>
      <c r="M88" s="140">
        <f>CFwp_Korea!M88+CFwp_US_KRW!M88</f>
        <v>0</v>
      </c>
      <c r="N88" s="140">
        <f>CFwp_Korea!N88+CFwp_US_KRW!N88</f>
        <v>0</v>
      </c>
      <c r="O88" s="140">
        <f>CFwp_Korea!O88+CFwp_US_KRW!O88</f>
        <v>0</v>
      </c>
      <c r="P88" s="140">
        <f>CFwp_Korea!P88+CFwp_US_KRW!P88</f>
        <v>0</v>
      </c>
      <c r="Q88" s="140">
        <f>CFwp_Korea!Q88+CFwp_US_KRW!Q88</f>
        <v>0</v>
      </c>
      <c r="R88" s="140">
        <f>CFwp_Korea!R88+CFwp_US_KRW!R88</f>
        <v>0</v>
      </c>
      <c r="S88" s="140">
        <f>CFwp_Korea!S88+CFwp_US_KRW!S88</f>
        <v>0</v>
      </c>
      <c r="T88" s="140">
        <f>CFwp_Korea!T88+CFwp_US_KRW!T88</f>
        <v>0</v>
      </c>
      <c r="U88" s="140">
        <f>CFwp_Korea!U88+CFwp_US_KRW!U88</f>
        <v>0</v>
      </c>
      <c r="V88" s="140">
        <f>CFwp_Korea!V88+CFwp_US_KRW!V88</f>
        <v>0</v>
      </c>
      <c r="W88" s="140">
        <f>CFwp_Korea!W88+CFwp_US_KRW!W88</f>
        <v>0</v>
      </c>
      <c r="X88" s="140">
        <f>CFwp_Korea!X88+CFwp_US_KRW!X88</f>
        <v>0</v>
      </c>
      <c r="Y88" s="140">
        <f>CFwp_Korea!Y88+CFwp_US_KRW!Y88</f>
        <v>0</v>
      </c>
      <c r="Z88" s="140">
        <f>CFwp_Korea!Z88+CFwp_US_KRW!Z88</f>
        <v>0</v>
      </c>
      <c r="AA88" s="182"/>
      <c r="AB88" s="182"/>
    </row>
    <row r="89" spans="2:28">
      <c r="B89" s="139" t="s">
        <v>179</v>
      </c>
      <c r="C89" s="139" t="s">
        <v>180</v>
      </c>
      <c r="D89" s="140">
        <f>CFwp_Korea!D89+CFwp_US_KRW!D89</f>
        <v>0</v>
      </c>
      <c r="E89" s="140">
        <f>CFwp_Korea!E89+CFwp_US_KRW!E89</f>
        <v>0</v>
      </c>
      <c r="F89" s="146">
        <f t="shared" si="8"/>
        <v>0</v>
      </c>
      <c r="G89" s="146">
        <f t="shared" si="4"/>
        <v>0</v>
      </c>
      <c r="H89" s="143"/>
      <c r="I89" s="140">
        <f>CFwp_Korea!I89+CFwp_US_KRW!I89</f>
        <v>0</v>
      </c>
      <c r="J89" s="140">
        <f>CFwp_Korea!J89+CFwp_US_KRW!J89</f>
        <v>0</v>
      </c>
      <c r="K89" s="140">
        <f>CFwp_Korea!K89+CFwp_US_KRW!K89</f>
        <v>0</v>
      </c>
      <c r="L89" s="140">
        <f>CFwp_Korea!L89+CFwp_US_KRW!L89</f>
        <v>0</v>
      </c>
      <c r="M89" s="140">
        <f>CFwp_Korea!M89+CFwp_US_KRW!M89</f>
        <v>0</v>
      </c>
      <c r="N89" s="140">
        <f>CFwp_Korea!N89+CFwp_US_KRW!N89</f>
        <v>0</v>
      </c>
      <c r="O89" s="140">
        <f>CFwp_Korea!O89+CFwp_US_KRW!O89</f>
        <v>0</v>
      </c>
      <c r="P89" s="140">
        <f>CFwp_Korea!P89+CFwp_US_KRW!P89</f>
        <v>0</v>
      </c>
      <c r="Q89" s="140">
        <f>CFwp_Korea!Q89+CFwp_US_KRW!Q89</f>
        <v>0</v>
      </c>
      <c r="R89" s="140">
        <f>CFwp_Korea!R89+CFwp_US_KRW!R89</f>
        <v>0</v>
      </c>
      <c r="S89" s="140">
        <f>CFwp_Korea!S89+CFwp_US_KRW!S89</f>
        <v>0</v>
      </c>
      <c r="T89" s="140">
        <f>CFwp_Korea!T89+CFwp_US_KRW!T89</f>
        <v>0</v>
      </c>
      <c r="U89" s="140">
        <f>CFwp_Korea!U89+CFwp_US_KRW!U89</f>
        <v>0</v>
      </c>
      <c r="V89" s="140">
        <f>CFwp_Korea!V89+CFwp_US_KRW!V89</f>
        <v>0</v>
      </c>
      <c r="W89" s="140">
        <f>CFwp_Korea!W89+CFwp_US_KRW!W89</f>
        <v>0</v>
      </c>
      <c r="X89" s="140">
        <f>CFwp_Korea!X89+CFwp_US_KRW!X89</f>
        <v>0</v>
      </c>
      <c r="Y89" s="140">
        <f>CFwp_Korea!Y89+CFwp_US_KRW!Y89</f>
        <v>0</v>
      </c>
      <c r="Z89" s="140">
        <f>CFwp_Korea!Z89+CFwp_US_KRW!Z89</f>
        <v>0</v>
      </c>
      <c r="AA89" s="182"/>
      <c r="AB89" s="182"/>
    </row>
    <row r="90" spans="2:28">
      <c r="B90" s="137"/>
      <c r="C90" s="137" t="s">
        <v>584</v>
      </c>
      <c r="D90" s="138">
        <f>SUM(D91:D99)</f>
        <v>42450000</v>
      </c>
      <c r="E90" s="138">
        <f>SUM(E91:E99)</f>
        <v>401494000</v>
      </c>
      <c r="F90" s="154"/>
      <c r="G90" s="154"/>
      <c r="H90" s="138"/>
      <c r="I90" s="149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>
        <v>0</v>
      </c>
      <c r="Z90" s="138">
        <v>0</v>
      </c>
      <c r="AA90" s="182"/>
      <c r="AB90" s="182"/>
    </row>
    <row r="91" spans="2:28">
      <c r="B91" s="139" t="s">
        <v>183</v>
      </c>
      <c r="C91" s="139" t="s">
        <v>65</v>
      </c>
      <c r="D91" s="140">
        <f>CFwp_Korea!D91+CFwp_US_KRW!D91</f>
        <v>0</v>
      </c>
      <c r="E91" s="140">
        <f>CFwp_Korea!E91+CFwp_US_KRW!E91</f>
        <v>0</v>
      </c>
      <c r="F91" s="146">
        <f t="shared" ref="F91:F99" si="11">E91-D91</f>
        <v>0</v>
      </c>
      <c r="G91" s="146">
        <f t="shared" si="4"/>
        <v>0</v>
      </c>
      <c r="H91" s="143" t="s">
        <v>461</v>
      </c>
      <c r="I91" s="140">
        <f>CFwp_Korea!I91+CFwp_US_KRW!I91</f>
        <v>0</v>
      </c>
      <c r="J91" s="140">
        <f>CFwp_Korea!J91+CFwp_US_KRW!J91</f>
        <v>0</v>
      </c>
      <c r="K91" s="140">
        <f>CFwp_Korea!K91+CFwp_US_KRW!K91</f>
        <v>0</v>
      </c>
      <c r="L91" s="140">
        <f>CFwp_Korea!L91+CFwp_US_KRW!L91</f>
        <v>0</v>
      </c>
      <c r="M91" s="140">
        <f>CFwp_Korea!M91+CFwp_US_KRW!M91</f>
        <v>0</v>
      </c>
      <c r="N91" s="140">
        <f>CFwp_Korea!N91+CFwp_US_KRW!N91</f>
        <v>0</v>
      </c>
      <c r="O91" s="140">
        <f>CFwp_Korea!O91+CFwp_US_KRW!O91</f>
        <v>0</v>
      </c>
      <c r="P91" s="140">
        <f>CFwp_Korea!P91+CFwp_US_KRW!P91</f>
        <v>0</v>
      </c>
      <c r="Q91" s="140">
        <f>CFwp_Korea!Q91+CFwp_US_KRW!Q91</f>
        <v>0</v>
      </c>
      <c r="R91" s="140">
        <f>CFwp_Korea!R91+CFwp_US_KRW!R91</f>
        <v>0</v>
      </c>
      <c r="S91" s="140">
        <f>CFwp_Korea!S91+CFwp_US_KRW!S91</f>
        <v>0</v>
      </c>
      <c r="T91" s="140">
        <f>CFwp_Korea!T91+CFwp_US_KRW!T91</f>
        <v>0</v>
      </c>
      <c r="U91" s="140">
        <f>CFwp_Korea!U91+CFwp_US_KRW!U91</f>
        <v>0</v>
      </c>
      <c r="V91" s="140">
        <f>CFwp_Korea!V91+CFwp_US_KRW!V91</f>
        <v>0</v>
      </c>
      <c r="W91" s="140">
        <f>CFwp_Korea!W91+CFwp_US_KRW!W91</f>
        <v>0</v>
      </c>
      <c r="X91" s="140">
        <f>CFwp_Korea!X91+CFwp_US_KRW!X91</f>
        <v>0</v>
      </c>
      <c r="Y91" s="140">
        <f>CFwp_Korea!Y91+CFwp_US_KRW!Y91</f>
        <v>0</v>
      </c>
      <c r="Z91" s="140">
        <f>CFwp_Korea!Z91+CFwp_US_KRW!Z91</f>
        <v>0</v>
      </c>
      <c r="AA91" s="182"/>
      <c r="AB91" s="182"/>
    </row>
    <row r="92" spans="2:28">
      <c r="B92" s="139" t="s">
        <v>116</v>
      </c>
      <c r="C92" s="139" t="s">
        <v>117</v>
      </c>
      <c r="D92" s="140">
        <f>CFwp_Korea!D92+CFwp_US_KRW!D92</f>
        <v>0</v>
      </c>
      <c r="E92" s="140">
        <f>CFwp_Korea!E92+CFwp_US_KRW!E92</f>
        <v>0</v>
      </c>
      <c r="F92" s="146">
        <f t="shared" si="11"/>
        <v>0</v>
      </c>
      <c r="G92" s="146">
        <f t="shared" si="4"/>
        <v>0</v>
      </c>
      <c r="H92" s="143"/>
      <c r="I92" s="140">
        <f>CFwp_Korea!I92+CFwp_US_KRW!I92</f>
        <v>0</v>
      </c>
      <c r="J92" s="140">
        <f>CFwp_Korea!J92+CFwp_US_KRW!J92</f>
        <v>0</v>
      </c>
      <c r="K92" s="140">
        <f>CFwp_Korea!K92+CFwp_US_KRW!K92</f>
        <v>0</v>
      </c>
      <c r="L92" s="140">
        <f>CFwp_Korea!L92+CFwp_US_KRW!L92</f>
        <v>0</v>
      </c>
      <c r="M92" s="140">
        <f>CFwp_Korea!M92+CFwp_US_KRW!M92</f>
        <v>0</v>
      </c>
      <c r="N92" s="140">
        <f>CFwp_Korea!N92+CFwp_US_KRW!N92</f>
        <v>0</v>
      </c>
      <c r="O92" s="140">
        <f>CFwp_Korea!O92+CFwp_US_KRW!O92</f>
        <v>0</v>
      </c>
      <c r="P92" s="140">
        <f>CFwp_Korea!P92+CFwp_US_KRW!P92</f>
        <v>0</v>
      </c>
      <c r="Q92" s="140">
        <f>CFwp_Korea!Q92+CFwp_US_KRW!Q92</f>
        <v>0</v>
      </c>
      <c r="R92" s="140">
        <f>CFwp_Korea!R92+CFwp_US_KRW!R92</f>
        <v>0</v>
      </c>
      <c r="S92" s="140">
        <f>CFwp_Korea!S92+CFwp_US_KRW!S92</f>
        <v>0</v>
      </c>
      <c r="T92" s="140">
        <f>CFwp_Korea!T92+CFwp_US_KRW!T92</f>
        <v>0</v>
      </c>
      <c r="U92" s="140">
        <f>CFwp_Korea!U92+CFwp_US_KRW!U92</f>
        <v>0</v>
      </c>
      <c r="V92" s="140">
        <f>CFwp_Korea!V92+CFwp_US_KRW!V92</f>
        <v>0</v>
      </c>
      <c r="W92" s="140">
        <f>CFwp_Korea!W92+CFwp_US_KRW!W92</f>
        <v>0</v>
      </c>
      <c r="X92" s="140">
        <f>CFwp_Korea!X92+CFwp_US_KRW!X92</f>
        <v>0</v>
      </c>
      <c r="Y92" s="140">
        <f>CFwp_Korea!Y92+CFwp_US_KRW!Y92</f>
        <v>0</v>
      </c>
      <c r="Z92" s="140">
        <f>CFwp_Korea!Z92+CFwp_US_KRW!Z92</f>
        <v>0</v>
      </c>
      <c r="AA92" s="182"/>
      <c r="AB92" s="182"/>
    </row>
    <row r="93" spans="2:28">
      <c r="B93" s="139" t="s">
        <v>119</v>
      </c>
      <c r="C93" s="139" t="s">
        <v>120</v>
      </c>
      <c r="D93" s="140">
        <f>CFwp_Korea!D93+CFwp_US_KRW!D93</f>
        <v>0</v>
      </c>
      <c r="E93" s="140">
        <f>CFwp_Korea!E93+CFwp_US_KRW!E93</f>
        <v>0</v>
      </c>
      <c r="F93" s="146">
        <f t="shared" si="11"/>
        <v>0</v>
      </c>
      <c r="G93" s="146">
        <f t="shared" si="4"/>
        <v>0</v>
      </c>
      <c r="H93" s="143"/>
      <c r="I93" s="140">
        <f>CFwp_Korea!I93+CFwp_US_KRW!I93</f>
        <v>0</v>
      </c>
      <c r="J93" s="140">
        <f>CFwp_Korea!J93+CFwp_US_KRW!J93</f>
        <v>0</v>
      </c>
      <c r="K93" s="140">
        <f>CFwp_Korea!K93+CFwp_US_KRW!K93</f>
        <v>0</v>
      </c>
      <c r="L93" s="140">
        <f>CFwp_Korea!L93+CFwp_US_KRW!L93</f>
        <v>0</v>
      </c>
      <c r="M93" s="140">
        <f>CFwp_Korea!M93+CFwp_US_KRW!M93</f>
        <v>0</v>
      </c>
      <c r="N93" s="140">
        <f>CFwp_Korea!N93+CFwp_US_KRW!N93</f>
        <v>0</v>
      </c>
      <c r="O93" s="140">
        <f>CFwp_Korea!O93+CFwp_US_KRW!O93</f>
        <v>0</v>
      </c>
      <c r="P93" s="140">
        <f>CFwp_Korea!P93+CFwp_US_KRW!P93</f>
        <v>0</v>
      </c>
      <c r="Q93" s="140">
        <f>CFwp_Korea!Q93+CFwp_US_KRW!Q93</f>
        <v>0</v>
      </c>
      <c r="R93" s="140">
        <f>CFwp_Korea!R93+CFwp_US_KRW!R93</f>
        <v>0</v>
      </c>
      <c r="S93" s="140">
        <f>CFwp_Korea!S93+CFwp_US_KRW!S93</f>
        <v>0</v>
      </c>
      <c r="T93" s="140">
        <f>CFwp_Korea!T93+CFwp_US_KRW!T93</f>
        <v>0</v>
      </c>
      <c r="U93" s="140">
        <f>CFwp_Korea!U93+CFwp_US_KRW!U93</f>
        <v>0</v>
      </c>
      <c r="V93" s="140">
        <f>CFwp_Korea!V93+CFwp_US_KRW!V93</f>
        <v>0</v>
      </c>
      <c r="W93" s="140">
        <f>CFwp_Korea!W93+CFwp_US_KRW!W93</f>
        <v>0</v>
      </c>
      <c r="X93" s="140">
        <f>CFwp_Korea!X93+CFwp_US_KRW!X93</f>
        <v>0</v>
      </c>
      <c r="Y93" s="140">
        <f>CFwp_Korea!Y93+CFwp_US_KRW!Y93</f>
        <v>0</v>
      </c>
      <c r="Z93" s="140">
        <f>CFwp_Korea!Z93+CFwp_US_KRW!Z93</f>
        <v>0</v>
      </c>
      <c r="AA93" s="182"/>
      <c r="AB93" s="182"/>
    </row>
    <row r="94" spans="2:28">
      <c r="B94" s="139" t="s">
        <v>121</v>
      </c>
      <c r="C94" s="139" t="s">
        <v>122</v>
      </c>
      <c r="D94" s="140">
        <f>CFwp_Korea!D94+CFwp_US_KRW!D94</f>
        <v>0</v>
      </c>
      <c r="E94" s="140">
        <f>CFwp_Korea!E94+CFwp_US_KRW!E94</f>
        <v>0</v>
      </c>
      <c r="F94" s="146">
        <f t="shared" si="11"/>
        <v>0</v>
      </c>
      <c r="G94" s="146">
        <f t="shared" si="4"/>
        <v>0</v>
      </c>
      <c r="H94" s="143" t="s">
        <v>441</v>
      </c>
      <c r="I94" s="140">
        <f>CFwp_Korea!I94+CFwp_US_KRW!I94</f>
        <v>0</v>
      </c>
      <c r="J94" s="140">
        <f>CFwp_Korea!J94+CFwp_US_KRW!J94</f>
        <v>0</v>
      </c>
      <c r="K94" s="140">
        <f>CFwp_Korea!K94+CFwp_US_KRW!K94</f>
        <v>0</v>
      </c>
      <c r="L94" s="140">
        <f>CFwp_Korea!L94+CFwp_US_KRW!L94</f>
        <v>0</v>
      </c>
      <c r="M94" s="140">
        <f>CFwp_Korea!M94+CFwp_US_KRW!M94</f>
        <v>0</v>
      </c>
      <c r="N94" s="140">
        <f>CFwp_Korea!N94+CFwp_US_KRW!N94</f>
        <v>0</v>
      </c>
      <c r="O94" s="140">
        <f>CFwp_Korea!O94+CFwp_US_KRW!O94</f>
        <v>0</v>
      </c>
      <c r="P94" s="140">
        <f>CFwp_Korea!P94+CFwp_US_KRW!P94</f>
        <v>0</v>
      </c>
      <c r="Q94" s="140">
        <f>CFwp_Korea!Q94+CFwp_US_KRW!Q94</f>
        <v>0</v>
      </c>
      <c r="R94" s="140">
        <f>CFwp_Korea!R94+CFwp_US_KRW!R94</f>
        <v>0</v>
      </c>
      <c r="S94" s="140">
        <f>CFwp_Korea!S94+CFwp_US_KRW!S94</f>
        <v>0</v>
      </c>
      <c r="T94" s="140">
        <f>CFwp_Korea!T94+CFwp_US_KRW!T94</f>
        <v>0</v>
      </c>
      <c r="U94" s="140">
        <f>CFwp_Korea!U94+CFwp_US_KRW!U94</f>
        <v>0</v>
      </c>
      <c r="V94" s="140">
        <f>CFwp_Korea!V94+CFwp_US_KRW!V94</f>
        <v>0</v>
      </c>
      <c r="W94" s="140">
        <f>CFwp_Korea!W94+CFwp_US_KRW!W94</f>
        <v>0</v>
      </c>
      <c r="X94" s="140">
        <f>CFwp_Korea!X94+CFwp_US_KRW!X94</f>
        <v>0</v>
      </c>
      <c r="Y94" s="140">
        <f>CFwp_Korea!Y94+CFwp_US_KRW!Y94</f>
        <v>0</v>
      </c>
      <c r="Z94" s="140">
        <f>CFwp_Korea!Z94+CFwp_US_KRW!Z94</f>
        <v>0</v>
      </c>
      <c r="AA94" s="182"/>
      <c r="AB94" s="182"/>
    </row>
    <row r="95" spans="2:28">
      <c r="B95" s="139" t="s">
        <v>123</v>
      </c>
      <c r="C95" s="139" t="s">
        <v>124</v>
      </c>
      <c r="D95" s="140">
        <f>CFwp_Korea!D95+CFwp_US_KRW!D95</f>
        <v>0</v>
      </c>
      <c r="E95" s="140">
        <f>CFwp_Korea!E95+CFwp_US_KRW!E95</f>
        <v>0</v>
      </c>
      <c r="F95" s="146">
        <f t="shared" si="11"/>
        <v>0</v>
      </c>
      <c r="G95" s="146">
        <f t="shared" si="4"/>
        <v>0</v>
      </c>
      <c r="H95" s="143" t="s">
        <v>390</v>
      </c>
      <c r="I95" s="140">
        <f>CFwp_Korea!I95+CFwp_US_KRW!I95</f>
        <v>0</v>
      </c>
      <c r="J95" s="140">
        <f>CFwp_Korea!J95+CFwp_US_KRW!J95</f>
        <v>0</v>
      </c>
      <c r="K95" s="140">
        <f>CFwp_Korea!K95+CFwp_US_KRW!K95</f>
        <v>0</v>
      </c>
      <c r="L95" s="140">
        <f>CFwp_Korea!L95+CFwp_US_KRW!L95</f>
        <v>0</v>
      </c>
      <c r="M95" s="140">
        <f>CFwp_Korea!M95+CFwp_US_KRW!M95</f>
        <v>0</v>
      </c>
      <c r="N95" s="140">
        <f>CFwp_Korea!N95+CFwp_US_KRW!N95</f>
        <v>0</v>
      </c>
      <c r="O95" s="140">
        <f>CFwp_Korea!O95+CFwp_US_KRW!O95</f>
        <v>0</v>
      </c>
      <c r="P95" s="140">
        <f>CFwp_Korea!P95+CFwp_US_KRW!P95</f>
        <v>0</v>
      </c>
      <c r="Q95" s="140">
        <f>CFwp_Korea!Q95+CFwp_US_KRW!Q95</f>
        <v>0</v>
      </c>
      <c r="R95" s="140">
        <f>CFwp_Korea!R95+CFwp_US_KRW!R95</f>
        <v>0</v>
      </c>
      <c r="S95" s="140">
        <f>CFwp_Korea!S95+CFwp_US_KRW!S95</f>
        <v>0</v>
      </c>
      <c r="T95" s="140">
        <f>CFwp_Korea!T95+CFwp_US_KRW!T95</f>
        <v>0</v>
      </c>
      <c r="U95" s="140">
        <f>CFwp_Korea!U95+CFwp_US_KRW!U95</f>
        <v>0</v>
      </c>
      <c r="V95" s="140">
        <f>CFwp_Korea!V95+CFwp_US_KRW!V95</f>
        <v>0</v>
      </c>
      <c r="W95" s="140">
        <f>CFwp_Korea!W95+CFwp_US_KRW!W95</f>
        <v>0</v>
      </c>
      <c r="X95" s="140">
        <f>CFwp_Korea!X95+CFwp_US_KRW!X95</f>
        <v>0</v>
      </c>
      <c r="Y95" s="140">
        <f>CFwp_Korea!Y95+CFwp_US_KRW!Y95</f>
        <v>0</v>
      </c>
      <c r="Z95" s="140">
        <f>CFwp_Korea!Z95+CFwp_US_KRW!Z95</f>
        <v>0</v>
      </c>
      <c r="AA95" s="182"/>
      <c r="AB95" s="182"/>
    </row>
    <row r="96" spans="2:28">
      <c r="B96" s="139" t="s">
        <v>110</v>
      </c>
      <c r="C96" s="139" t="s">
        <v>111</v>
      </c>
      <c r="D96" s="140">
        <f>CFwp_Korea!D96+CFwp_US_KRW!D96</f>
        <v>0</v>
      </c>
      <c r="E96" s="140">
        <f>CFwp_Korea!E96+CFwp_US_KRW!E96</f>
        <v>359044000</v>
      </c>
      <c r="F96" s="146">
        <f t="shared" si="11"/>
        <v>359044000</v>
      </c>
      <c r="G96" s="146">
        <f t="shared" si="4"/>
        <v>0</v>
      </c>
      <c r="H96" s="143"/>
      <c r="I96" s="140">
        <f>CFwp_Korea!I96+CFwp_US_KRW!I96</f>
        <v>0</v>
      </c>
      <c r="J96" s="140">
        <f>CFwp_Korea!J96+CFwp_US_KRW!J96</f>
        <v>0</v>
      </c>
      <c r="K96" s="140">
        <f>CFwp_Korea!K96+CFwp_US_KRW!K96</f>
        <v>0</v>
      </c>
      <c r="L96" s="140">
        <f>CFwp_Korea!L96+CFwp_US_KRW!L96</f>
        <v>0</v>
      </c>
      <c r="M96" s="140">
        <f>CFwp_Korea!M96+CFwp_US_KRW!M96</f>
        <v>0</v>
      </c>
      <c r="N96" s="140">
        <f>CFwp_Korea!N96+CFwp_US_KRW!N96</f>
        <v>0</v>
      </c>
      <c r="O96" s="140">
        <f>CFwp_Korea!O96+CFwp_US_KRW!O96</f>
        <v>0</v>
      </c>
      <c r="P96" s="140">
        <f>CFwp_Korea!P96+CFwp_US_KRW!P96</f>
        <v>359044000</v>
      </c>
      <c r="Q96" s="140">
        <f>CFwp_Korea!Q96+CFwp_US_KRW!Q96</f>
        <v>0</v>
      </c>
      <c r="R96" s="140">
        <f>CFwp_Korea!R96+CFwp_US_KRW!R96</f>
        <v>0</v>
      </c>
      <c r="S96" s="140">
        <f>CFwp_Korea!S96+CFwp_US_KRW!S96</f>
        <v>0</v>
      </c>
      <c r="T96" s="140">
        <f>CFwp_Korea!T96+CFwp_US_KRW!T96</f>
        <v>0</v>
      </c>
      <c r="U96" s="140">
        <f>CFwp_Korea!U96+CFwp_US_KRW!U96</f>
        <v>0</v>
      </c>
      <c r="V96" s="140">
        <f>CFwp_Korea!V96+CFwp_US_KRW!V96</f>
        <v>0</v>
      </c>
      <c r="W96" s="140">
        <f>CFwp_Korea!W96+CFwp_US_KRW!W96</f>
        <v>0</v>
      </c>
      <c r="X96" s="140">
        <f>CFwp_Korea!X96+CFwp_US_KRW!X96</f>
        <v>0</v>
      </c>
      <c r="Y96" s="140">
        <f>CFwp_Korea!Y96+CFwp_US_KRW!Y96</f>
        <v>0</v>
      </c>
      <c r="Z96" s="140">
        <f>CFwp_Korea!Z96+CFwp_US_KRW!Z96</f>
        <v>0</v>
      </c>
      <c r="AA96" s="182"/>
      <c r="AB96" s="182"/>
    </row>
    <row r="97" spans="2:28">
      <c r="B97" s="139" t="s">
        <v>112</v>
      </c>
      <c r="C97" s="139" t="s">
        <v>113</v>
      </c>
      <c r="D97" s="140">
        <f>CFwp_Korea!D97+CFwp_US_KRW!D97</f>
        <v>0</v>
      </c>
      <c r="E97" s="140">
        <f>CFwp_Korea!E97+CFwp_US_KRW!E97</f>
        <v>0</v>
      </c>
      <c r="F97" s="146">
        <f t="shared" si="11"/>
        <v>0</v>
      </c>
      <c r="G97" s="146">
        <f t="shared" si="4"/>
        <v>0</v>
      </c>
      <c r="H97" s="143" t="s">
        <v>441</v>
      </c>
      <c r="I97" s="140">
        <f>CFwp_Korea!I97+CFwp_US_KRW!I97</f>
        <v>0</v>
      </c>
      <c r="J97" s="140">
        <f>CFwp_Korea!J97+CFwp_US_KRW!J97</f>
        <v>0</v>
      </c>
      <c r="K97" s="140">
        <f>CFwp_Korea!K97+CFwp_US_KRW!K97</f>
        <v>0</v>
      </c>
      <c r="L97" s="140">
        <f>CFwp_Korea!L97+CFwp_US_KRW!L97</f>
        <v>0</v>
      </c>
      <c r="M97" s="140">
        <f>CFwp_Korea!M97+CFwp_US_KRW!M97</f>
        <v>0</v>
      </c>
      <c r="N97" s="140">
        <f>CFwp_Korea!N97+CFwp_US_KRW!N97</f>
        <v>0</v>
      </c>
      <c r="O97" s="140">
        <f>CFwp_Korea!O97+CFwp_US_KRW!O97</f>
        <v>0</v>
      </c>
      <c r="P97" s="140">
        <f>CFwp_Korea!P97+CFwp_US_KRW!P97</f>
        <v>0</v>
      </c>
      <c r="Q97" s="140">
        <f>CFwp_Korea!Q97+CFwp_US_KRW!Q97</f>
        <v>0</v>
      </c>
      <c r="R97" s="140">
        <f>CFwp_Korea!R97+CFwp_US_KRW!R97</f>
        <v>0</v>
      </c>
      <c r="S97" s="140">
        <f>CFwp_Korea!S97+CFwp_US_KRW!S97</f>
        <v>0</v>
      </c>
      <c r="T97" s="140">
        <f>CFwp_Korea!T97+CFwp_US_KRW!T97</f>
        <v>0</v>
      </c>
      <c r="U97" s="140">
        <f>CFwp_Korea!U97+CFwp_US_KRW!U97</f>
        <v>0</v>
      </c>
      <c r="V97" s="140">
        <f>CFwp_Korea!V97+CFwp_US_KRW!V97</f>
        <v>0</v>
      </c>
      <c r="W97" s="140">
        <f>CFwp_Korea!W97+CFwp_US_KRW!W97</f>
        <v>0</v>
      </c>
      <c r="X97" s="140">
        <f>CFwp_Korea!X97+CFwp_US_KRW!X97</f>
        <v>0</v>
      </c>
      <c r="Y97" s="140">
        <f>CFwp_Korea!Y97+CFwp_US_KRW!Y97</f>
        <v>0</v>
      </c>
      <c r="Z97" s="140">
        <f>CFwp_Korea!Z97+CFwp_US_KRW!Z97</f>
        <v>0</v>
      </c>
      <c r="AA97" s="182"/>
      <c r="AB97" s="182"/>
    </row>
    <row r="98" spans="2:28">
      <c r="B98" s="139" t="s">
        <v>952</v>
      </c>
      <c r="C98" s="139" t="s">
        <v>953</v>
      </c>
      <c r="D98" s="140">
        <f>CFwp_Korea!D98+CFwp_US_KRW!D98</f>
        <v>42450000</v>
      </c>
      <c r="E98" s="140">
        <f>CFwp_Korea!E98+CFwp_US_KRW!E98</f>
        <v>42450000</v>
      </c>
      <c r="F98" s="146">
        <f t="shared" ref="F98" si="12">E98-D98</f>
        <v>0</v>
      </c>
      <c r="G98" s="146">
        <f t="shared" ref="G98" si="13">J98-K98+N98+O98-P98+Q98-R98-T98+V98+F98-W98+X98-Y98+Z98</f>
        <v>0</v>
      </c>
      <c r="H98" s="143"/>
      <c r="I98" s="140">
        <f>CFwp_Korea!I98+CFwp_US_KRW!I98</f>
        <v>0</v>
      </c>
      <c r="J98" s="140">
        <f>CFwp_Korea!J98+CFwp_US_KRW!J98</f>
        <v>0</v>
      </c>
      <c r="K98" s="140">
        <f>CFwp_Korea!K98+CFwp_US_KRW!K98</f>
        <v>0</v>
      </c>
      <c r="L98" s="140">
        <f>CFwp_Korea!L98+CFwp_US_KRW!L98</f>
        <v>0</v>
      </c>
      <c r="M98" s="140">
        <f>CFwp_Korea!M98+CFwp_US_KRW!M98</f>
        <v>0</v>
      </c>
      <c r="N98" s="140">
        <f>CFwp_Korea!N98+CFwp_US_KRW!N98</f>
        <v>0</v>
      </c>
      <c r="O98" s="140">
        <f>CFwp_Korea!O98+CFwp_US_KRW!O98</f>
        <v>0</v>
      </c>
      <c r="P98" s="140">
        <f>CFwp_Korea!P98+CFwp_US_KRW!P98</f>
        <v>0</v>
      </c>
      <c r="Q98" s="140">
        <f>CFwp_Korea!Q98+CFwp_US_KRW!Q98</f>
        <v>0</v>
      </c>
      <c r="R98" s="140">
        <f>CFwp_Korea!R98+CFwp_US_KRW!R98</f>
        <v>0</v>
      </c>
      <c r="S98" s="140">
        <f>CFwp_Korea!S98+CFwp_US_KRW!S98</f>
        <v>0</v>
      </c>
      <c r="T98" s="140">
        <f>CFwp_Korea!T98+CFwp_US_KRW!T98</f>
        <v>0</v>
      </c>
      <c r="U98" s="140">
        <f>CFwp_Korea!U98+CFwp_US_KRW!U98</f>
        <v>0</v>
      </c>
      <c r="V98" s="140">
        <f>CFwp_Korea!V98+CFwp_US_KRW!V98</f>
        <v>0</v>
      </c>
      <c r="W98" s="140">
        <f>CFwp_Korea!W98+CFwp_US_KRW!W98</f>
        <v>0</v>
      </c>
      <c r="X98" s="140">
        <f>CFwp_Korea!X98+CFwp_US_KRW!X98</f>
        <v>0</v>
      </c>
      <c r="Y98" s="140">
        <f>CFwp_Korea!Y98+CFwp_US_KRW!Y98</f>
        <v>0</v>
      </c>
      <c r="Z98" s="140">
        <f>CFwp_Korea!Z98+CFwp_US_KRW!Z98</f>
        <v>0</v>
      </c>
      <c r="AA98" s="182"/>
      <c r="AB98" s="182"/>
    </row>
    <row r="99" spans="2:28">
      <c r="B99" s="139" t="s">
        <v>114</v>
      </c>
      <c r="C99" s="139" t="s">
        <v>115</v>
      </c>
      <c r="D99" s="140">
        <f>CFwp_Korea!D99+CFwp_US_KRW!D99</f>
        <v>0</v>
      </c>
      <c r="E99" s="140">
        <f>CFwp_Korea!E99+CFwp_US_KRW!E99</f>
        <v>0</v>
      </c>
      <c r="F99" s="146">
        <f t="shared" si="11"/>
        <v>0</v>
      </c>
      <c r="G99" s="146">
        <f t="shared" si="4"/>
        <v>0</v>
      </c>
      <c r="H99" s="143"/>
      <c r="I99" s="140">
        <f>CFwp_Korea!I99+CFwp_US_KRW!I99</f>
        <v>0</v>
      </c>
      <c r="J99" s="140">
        <f>CFwp_Korea!J99+CFwp_US_KRW!J99</f>
        <v>0</v>
      </c>
      <c r="K99" s="140">
        <f>CFwp_Korea!K99+CFwp_US_KRW!K99</f>
        <v>0</v>
      </c>
      <c r="L99" s="140">
        <f>CFwp_Korea!L99+CFwp_US_KRW!L99</f>
        <v>0</v>
      </c>
      <c r="M99" s="140">
        <f>CFwp_Korea!M99+CFwp_US_KRW!M99</f>
        <v>0</v>
      </c>
      <c r="N99" s="140">
        <f>CFwp_Korea!N99+CFwp_US_KRW!N99</f>
        <v>0</v>
      </c>
      <c r="O99" s="140">
        <f>CFwp_Korea!O99+CFwp_US_KRW!O99</f>
        <v>0</v>
      </c>
      <c r="P99" s="140">
        <f>CFwp_Korea!P99+CFwp_US_KRW!P99</f>
        <v>0</v>
      </c>
      <c r="Q99" s="140">
        <f>CFwp_Korea!Q99+CFwp_US_KRW!Q99</f>
        <v>0</v>
      </c>
      <c r="R99" s="140">
        <f>CFwp_Korea!R99+CFwp_US_KRW!R99</f>
        <v>0</v>
      </c>
      <c r="S99" s="140">
        <f>CFwp_Korea!S99+CFwp_US_KRW!S99</f>
        <v>0</v>
      </c>
      <c r="T99" s="140">
        <f>CFwp_Korea!T99+CFwp_US_KRW!T99</f>
        <v>0</v>
      </c>
      <c r="U99" s="140">
        <f>CFwp_Korea!U99+CFwp_US_KRW!U99</f>
        <v>0</v>
      </c>
      <c r="V99" s="140">
        <f>CFwp_Korea!V99+CFwp_US_KRW!V99</f>
        <v>0</v>
      </c>
      <c r="W99" s="140">
        <f>CFwp_Korea!W99+CFwp_US_KRW!W99</f>
        <v>0</v>
      </c>
      <c r="X99" s="140">
        <f>CFwp_Korea!X99+CFwp_US_KRW!X99</f>
        <v>0</v>
      </c>
      <c r="Y99" s="140">
        <f>CFwp_Korea!Y99+CFwp_US_KRW!Y99</f>
        <v>0</v>
      </c>
      <c r="Z99" s="140">
        <f>CFwp_Korea!Z99+CFwp_US_KRW!Z99</f>
        <v>0</v>
      </c>
      <c r="AA99" s="182"/>
      <c r="AB99" s="182"/>
    </row>
    <row r="100" spans="2:28">
      <c r="B100" s="134"/>
      <c r="C100" s="134" t="s">
        <v>185</v>
      </c>
      <c r="D100" s="136">
        <f>D48+D8</f>
        <v>132247355835</v>
      </c>
      <c r="E100" s="136">
        <f>E48+E8</f>
        <v>714100418854.02502</v>
      </c>
      <c r="F100" s="152"/>
      <c r="G100" s="152"/>
      <c r="H100" s="136"/>
      <c r="I100" s="153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>
        <v>0</v>
      </c>
      <c r="Z100" s="136">
        <v>0</v>
      </c>
      <c r="AA100" s="182"/>
      <c r="AB100" s="182"/>
    </row>
    <row r="101" spans="2:28">
      <c r="B101" s="137"/>
      <c r="C101" s="137" t="s">
        <v>586</v>
      </c>
      <c r="D101" s="138">
        <f>SUM(D102:D120)</f>
        <v>16883199986</v>
      </c>
      <c r="E101" s="138">
        <f>SUM(E102:E120)</f>
        <v>184052799455</v>
      </c>
      <c r="F101" s="154"/>
      <c r="G101" s="154"/>
      <c r="H101" s="138"/>
      <c r="I101" s="149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>
        <v>0</v>
      </c>
      <c r="Z101" s="138">
        <v>0</v>
      </c>
      <c r="AA101" s="182"/>
      <c r="AB101" s="182"/>
    </row>
    <row r="102" spans="2:28">
      <c r="B102" s="139" t="s">
        <v>188</v>
      </c>
      <c r="C102" s="139" t="s">
        <v>189</v>
      </c>
      <c r="D102" s="140">
        <f>CFwp_Korea!D102+CFwp_US_KRW!D102</f>
        <v>2315989588</v>
      </c>
      <c r="E102" s="140">
        <f>CFwp_Korea!E102+CFwp_US_KRW!E102</f>
        <v>29810884706</v>
      </c>
      <c r="F102" s="146">
        <f t="shared" ref="F102:F120" si="14">E102-D102</f>
        <v>27494895118</v>
      </c>
      <c r="G102" s="146">
        <f>J102-K102+N102+O102-P102+Q102-R102-T102+V102-F102-W102+X102-Y102+Z102</f>
        <v>0</v>
      </c>
      <c r="H102" s="143" t="s">
        <v>410</v>
      </c>
      <c r="I102" s="140">
        <f>CFwp_Korea!I102+CFwp_US_KRW!I102</f>
        <v>18069188</v>
      </c>
      <c r="J102" s="140">
        <f>CFwp_Korea!J102+CFwp_US_KRW!J102</f>
        <v>0</v>
      </c>
      <c r="K102" s="140">
        <f>CFwp_Korea!K102+CFwp_US_KRW!K102</f>
        <v>18069188</v>
      </c>
      <c r="L102" s="140">
        <f>CFwp_Korea!L102+CFwp_US_KRW!L102</f>
        <v>27512964306</v>
      </c>
      <c r="M102" s="140">
        <f>CFwp_Korea!M102+CFwp_US_KRW!M102</f>
        <v>0</v>
      </c>
      <c r="N102" s="140">
        <f>CFwp_Korea!N102+CFwp_US_KRW!N102</f>
        <v>27512964306</v>
      </c>
      <c r="O102" s="140">
        <f>CFwp_Korea!O102+CFwp_US_KRW!O102</f>
        <v>0</v>
      </c>
      <c r="P102" s="140">
        <f>CFwp_Korea!P102+CFwp_US_KRW!P102</f>
        <v>0</v>
      </c>
      <c r="Q102" s="140">
        <f>CFwp_Korea!Q102+CFwp_US_KRW!Q102</f>
        <v>0</v>
      </c>
      <c r="R102" s="140">
        <f>CFwp_Korea!R102+CFwp_US_KRW!R102</f>
        <v>0</v>
      </c>
      <c r="S102" s="140">
        <f>CFwp_Korea!S102+CFwp_US_KRW!S102</f>
        <v>0</v>
      </c>
      <c r="T102" s="140">
        <f>CFwp_Korea!T102+CFwp_US_KRW!T102</f>
        <v>0</v>
      </c>
      <c r="U102" s="140">
        <f>CFwp_Korea!U102+CFwp_US_KRW!U102</f>
        <v>0</v>
      </c>
      <c r="V102" s="140">
        <f>CFwp_Korea!V102+CFwp_US_KRW!V102</f>
        <v>0</v>
      </c>
      <c r="W102" s="140">
        <f>CFwp_Korea!W102+CFwp_US_KRW!W102</f>
        <v>0</v>
      </c>
      <c r="X102" s="140">
        <f>CFwp_Korea!X102+CFwp_US_KRW!X102</f>
        <v>0</v>
      </c>
      <c r="Y102" s="140">
        <f>CFwp_Korea!Y102+CFwp_US_KRW!Y102</f>
        <v>0</v>
      </c>
      <c r="Z102" s="140">
        <f>CFwp_Korea!Z102+CFwp_US_KRW!Z102</f>
        <v>0</v>
      </c>
      <c r="AA102" s="182"/>
      <c r="AB102" s="182"/>
    </row>
    <row r="103" spans="2:28">
      <c r="B103" s="139" t="s">
        <v>192</v>
      </c>
      <c r="C103" s="139" t="s">
        <v>193</v>
      </c>
      <c r="D103" s="140">
        <f>CFwp_Korea!D103+CFwp_US_KRW!D103</f>
        <v>0</v>
      </c>
      <c r="E103" s="140">
        <f>CFwp_Korea!E103+CFwp_US_KRW!E103</f>
        <v>0</v>
      </c>
      <c r="F103" s="146">
        <f t="shared" si="14"/>
        <v>0</v>
      </c>
      <c r="G103" s="146">
        <f t="shared" ref="G103:G120" si="15">J103-K103+N103+O103-P103+Q103-R103-T103+V103-F103-W103+X103-Y103+Z103</f>
        <v>0</v>
      </c>
      <c r="H103" s="143" t="s">
        <v>428</v>
      </c>
      <c r="I103" s="140">
        <f>CFwp_Korea!I103+CFwp_US_KRW!I103</f>
        <v>0</v>
      </c>
      <c r="J103" s="140">
        <f>CFwp_Korea!J103+CFwp_US_KRW!J103</f>
        <v>0</v>
      </c>
      <c r="K103" s="140">
        <f>CFwp_Korea!K103+CFwp_US_KRW!K103</f>
        <v>0</v>
      </c>
      <c r="L103" s="140">
        <f>CFwp_Korea!L103+CFwp_US_KRW!L103</f>
        <v>0</v>
      </c>
      <c r="M103" s="140">
        <f>CFwp_Korea!M103+CFwp_US_KRW!M103</f>
        <v>0</v>
      </c>
      <c r="N103" s="140">
        <f>CFwp_Korea!N103+CFwp_US_KRW!N103</f>
        <v>0</v>
      </c>
      <c r="O103" s="140">
        <f>CFwp_Korea!O103+CFwp_US_KRW!O103</f>
        <v>0</v>
      </c>
      <c r="P103" s="140">
        <f>CFwp_Korea!P103+CFwp_US_KRW!P103</f>
        <v>0</v>
      </c>
      <c r="Q103" s="140">
        <f>CFwp_Korea!Q103+CFwp_US_KRW!Q103</f>
        <v>0</v>
      </c>
      <c r="R103" s="140">
        <f>CFwp_Korea!R103+CFwp_US_KRW!R103</f>
        <v>0</v>
      </c>
      <c r="S103" s="140">
        <f>CFwp_Korea!S103+CFwp_US_KRW!S103</f>
        <v>0</v>
      </c>
      <c r="T103" s="140">
        <f>CFwp_Korea!T103+CFwp_US_KRW!T103</f>
        <v>0</v>
      </c>
      <c r="U103" s="140">
        <f>CFwp_Korea!U103+CFwp_US_KRW!U103</f>
        <v>0</v>
      </c>
      <c r="V103" s="140">
        <f>CFwp_Korea!V103+CFwp_US_KRW!V103</f>
        <v>0</v>
      </c>
      <c r="W103" s="140">
        <f>CFwp_Korea!W103+CFwp_US_KRW!W103</f>
        <v>0</v>
      </c>
      <c r="X103" s="140">
        <f>CFwp_Korea!X103+CFwp_US_KRW!X103</f>
        <v>0</v>
      </c>
      <c r="Y103" s="140">
        <f>CFwp_Korea!Y103+CFwp_US_KRW!Y103</f>
        <v>0</v>
      </c>
      <c r="Z103" s="140">
        <f>CFwp_Korea!Z103+CFwp_US_KRW!Z103</f>
        <v>0</v>
      </c>
      <c r="AA103" s="182"/>
      <c r="AB103" s="182"/>
    </row>
    <row r="104" spans="2:28">
      <c r="B104" s="139" t="s">
        <v>194</v>
      </c>
      <c r="C104" s="139" t="s">
        <v>195</v>
      </c>
      <c r="D104" s="140">
        <f>CFwp_Korea!D104+CFwp_US_KRW!D104</f>
        <v>818042447</v>
      </c>
      <c r="E104" s="140">
        <f>CFwp_Korea!E104+CFwp_US_KRW!E104</f>
        <v>3067370458</v>
      </c>
      <c r="F104" s="146">
        <f t="shared" si="14"/>
        <v>2249328011</v>
      </c>
      <c r="G104" s="146">
        <f t="shared" si="15"/>
        <v>0</v>
      </c>
      <c r="H104" s="143" t="s">
        <v>410</v>
      </c>
      <c r="I104" s="140">
        <f>CFwp_Korea!I104+CFwp_US_KRW!I104</f>
        <v>105998</v>
      </c>
      <c r="J104" s="140">
        <f>CFwp_Korea!J104+CFwp_US_KRW!J104</f>
        <v>0</v>
      </c>
      <c r="K104" s="140">
        <f>CFwp_Korea!K104+CFwp_US_KRW!K104</f>
        <v>105998</v>
      </c>
      <c r="L104" s="140">
        <f>CFwp_Korea!L104+CFwp_US_KRW!L104</f>
        <v>1295562133</v>
      </c>
      <c r="M104" s="140">
        <f>CFwp_Korea!M104+CFwp_US_KRW!M104</f>
        <v>0</v>
      </c>
      <c r="N104" s="140">
        <f>CFwp_Korea!N104+CFwp_US_KRW!N104</f>
        <v>1295562133</v>
      </c>
      <c r="O104" s="140">
        <f>CFwp_Korea!O104+CFwp_US_KRW!O104</f>
        <v>0</v>
      </c>
      <c r="P104" s="140">
        <f>CFwp_Korea!P104+CFwp_US_KRW!P104</f>
        <v>0</v>
      </c>
      <c r="Q104" s="140">
        <f>CFwp_Korea!Q104+CFwp_US_KRW!Q104</f>
        <v>0</v>
      </c>
      <c r="R104" s="140">
        <f>CFwp_Korea!R104+CFwp_US_KRW!R104</f>
        <v>0</v>
      </c>
      <c r="S104" s="140">
        <f>CFwp_Korea!S104+CFwp_US_KRW!S104</f>
        <v>0</v>
      </c>
      <c r="T104" s="140">
        <f>CFwp_Korea!T104+CFwp_US_KRW!T104</f>
        <v>0</v>
      </c>
      <c r="U104" s="140">
        <f>CFwp_Korea!U104+CFwp_US_KRW!U104</f>
        <v>0</v>
      </c>
      <c r="V104" s="140">
        <f>CFwp_Korea!V104+CFwp_US_KRW!V104</f>
        <v>957641176</v>
      </c>
      <c r="W104" s="140">
        <f>CFwp_Korea!W104+CFwp_US_KRW!W104</f>
        <v>0</v>
      </c>
      <c r="X104" s="140">
        <f>CFwp_Korea!X104+CFwp_US_KRW!X104</f>
        <v>0</v>
      </c>
      <c r="Y104" s="140">
        <f>CFwp_Korea!Y104+CFwp_US_KRW!Y104</f>
        <v>3769300</v>
      </c>
      <c r="Z104" s="140">
        <f>CFwp_Korea!Z104+CFwp_US_KRW!Z104</f>
        <v>0</v>
      </c>
      <c r="AA104" s="182"/>
      <c r="AB104" s="182"/>
    </row>
    <row r="105" spans="2:28">
      <c r="B105" s="139" t="s">
        <v>198</v>
      </c>
      <c r="C105" s="139" t="s">
        <v>199</v>
      </c>
      <c r="D105" s="140">
        <f>CFwp_Korea!D105+CFwp_US_KRW!D105</f>
        <v>0</v>
      </c>
      <c r="E105" s="140">
        <f>CFwp_Korea!E105+CFwp_US_KRW!E105</f>
        <v>0</v>
      </c>
      <c r="F105" s="146">
        <f t="shared" si="14"/>
        <v>0</v>
      </c>
      <c r="G105" s="146">
        <f t="shared" si="15"/>
        <v>0</v>
      </c>
      <c r="H105" s="143"/>
      <c r="I105" s="140">
        <f>CFwp_Korea!I105+CFwp_US_KRW!I105</f>
        <v>0</v>
      </c>
      <c r="J105" s="140">
        <f>CFwp_Korea!J105+CFwp_US_KRW!J105</f>
        <v>0</v>
      </c>
      <c r="K105" s="140">
        <f>CFwp_Korea!K105+CFwp_US_KRW!K105</f>
        <v>0</v>
      </c>
      <c r="L105" s="140">
        <f>CFwp_Korea!L105+CFwp_US_KRW!L105</f>
        <v>0</v>
      </c>
      <c r="M105" s="140">
        <f>CFwp_Korea!M105+CFwp_US_KRW!M105</f>
        <v>0</v>
      </c>
      <c r="N105" s="140">
        <f>CFwp_Korea!N105+CFwp_US_KRW!N105</f>
        <v>0</v>
      </c>
      <c r="O105" s="140">
        <f>CFwp_Korea!O105+CFwp_US_KRW!O105</f>
        <v>0</v>
      </c>
      <c r="P105" s="140">
        <f>CFwp_Korea!P105+CFwp_US_KRW!P105</f>
        <v>0</v>
      </c>
      <c r="Q105" s="140">
        <f>CFwp_Korea!Q105+CFwp_US_KRW!Q105</f>
        <v>0</v>
      </c>
      <c r="R105" s="140">
        <f>CFwp_Korea!R105+CFwp_US_KRW!R105</f>
        <v>0</v>
      </c>
      <c r="S105" s="140">
        <f>CFwp_Korea!S105+CFwp_US_KRW!S105</f>
        <v>0</v>
      </c>
      <c r="T105" s="140">
        <f>CFwp_Korea!T105+CFwp_US_KRW!T105</f>
        <v>0</v>
      </c>
      <c r="U105" s="140">
        <f>CFwp_Korea!U105+CFwp_US_KRW!U105</f>
        <v>0</v>
      </c>
      <c r="V105" s="140">
        <f>CFwp_Korea!V105+CFwp_US_KRW!V105</f>
        <v>0</v>
      </c>
      <c r="W105" s="140">
        <f>CFwp_Korea!W105+CFwp_US_KRW!W105</f>
        <v>0</v>
      </c>
      <c r="X105" s="140">
        <f>CFwp_Korea!X105+CFwp_US_KRW!X105</f>
        <v>0</v>
      </c>
      <c r="Y105" s="140">
        <f>CFwp_Korea!Y105+CFwp_US_KRW!Y105</f>
        <v>0</v>
      </c>
      <c r="Z105" s="140">
        <f>CFwp_Korea!Z105+CFwp_US_KRW!Z105</f>
        <v>0</v>
      </c>
      <c r="AA105" s="182"/>
      <c r="AB105" s="182"/>
    </row>
    <row r="106" spans="2:28">
      <c r="B106" s="139" t="s">
        <v>200</v>
      </c>
      <c r="C106" s="139" t="s">
        <v>201</v>
      </c>
      <c r="D106" s="140">
        <f>CFwp_Korea!D106+CFwp_US_KRW!D106</f>
        <v>92240620</v>
      </c>
      <c r="E106" s="140">
        <f>CFwp_Korea!E106+CFwp_US_KRW!E106</f>
        <v>0</v>
      </c>
      <c r="F106" s="146">
        <f t="shared" si="14"/>
        <v>-92240620</v>
      </c>
      <c r="G106" s="146">
        <f t="shared" si="15"/>
        <v>0</v>
      </c>
      <c r="H106" s="143"/>
      <c r="I106" s="140">
        <f>CFwp_Korea!I106+CFwp_US_KRW!I106</f>
        <v>0</v>
      </c>
      <c r="J106" s="140">
        <f>CFwp_Korea!J106+CFwp_US_KRW!J106</f>
        <v>0</v>
      </c>
      <c r="K106" s="140">
        <f>CFwp_Korea!K106+CFwp_US_KRW!K106</f>
        <v>0</v>
      </c>
      <c r="L106" s="140">
        <f>CFwp_Korea!L106+CFwp_US_KRW!L106</f>
        <v>-92240620</v>
      </c>
      <c r="M106" s="140">
        <f>CFwp_Korea!M106+CFwp_US_KRW!M106</f>
        <v>0</v>
      </c>
      <c r="N106" s="140">
        <f>CFwp_Korea!N106+CFwp_US_KRW!N106</f>
        <v>-92240620</v>
      </c>
      <c r="O106" s="140">
        <f>CFwp_Korea!O106+CFwp_US_KRW!O106</f>
        <v>0</v>
      </c>
      <c r="P106" s="140">
        <f>CFwp_Korea!P106+CFwp_US_KRW!P106</f>
        <v>0</v>
      </c>
      <c r="Q106" s="140">
        <f>CFwp_Korea!Q106+CFwp_US_KRW!Q106</f>
        <v>0</v>
      </c>
      <c r="R106" s="140">
        <f>CFwp_Korea!R106+CFwp_US_KRW!R106</f>
        <v>0</v>
      </c>
      <c r="S106" s="140">
        <f>CFwp_Korea!S106+CFwp_US_KRW!S106</f>
        <v>0</v>
      </c>
      <c r="T106" s="140">
        <f>CFwp_Korea!T106+CFwp_US_KRW!T106</f>
        <v>0</v>
      </c>
      <c r="U106" s="140">
        <f>CFwp_Korea!U106+CFwp_US_KRW!U106</f>
        <v>0</v>
      </c>
      <c r="V106" s="140">
        <f>CFwp_Korea!V106+CFwp_US_KRW!V106</f>
        <v>0</v>
      </c>
      <c r="W106" s="140">
        <f>CFwp_Korea!W106+CFwp_US_KRW!W106</f>
        <v>0</v>
      </c>
      <c r="X106" s="140">
        <f>CFwp_Korea!X106+CFwp_US_KRW!X106</f>
        <v>0</v>
      </c>
      <c r="Y106" s="140">
        <f>CFwp_Korea!Y106+CFwp_US_KRW!Y106</f>
        <v>0</v>
      </c>
      <c r="Z106" s="140">
        <f>CFwp_Korea!Z106+CFwp_US_KRW!Z106</f>
        <v>0</v>
      </c>
      <c r="AA106" s="182"/>
      <c r="AB106" s="182"/>
    </row>
    <row r="107" spans="2:28">
      <c r="B107" s="139" t="s">
        <v>954</v>
      </c>
      <c r="C107" s="139" t="s">
        <v>955</v>
      </c>
      <c r="D107" s="140">
        <f>CFwp_Korea!D107+CFwp_US_KRW!D107</f>
        <v>0</v>
      </c>
      <c r="E107" s="140">
        <f>CFwp_Korea!E107+CFwp_US_KRW!E107</f>
        <v>8095212856</v>
      </c>
      <c r="F107" s="146">
        <f t="shared" ref="F107" si="16">E107-D107</f>
        <v>8095212856</v>
      </c>
      <c r="G107" s="146">
        <f t="shared" ref="G107" si="17">J107-K107+N107+O107-P107+Q107-R107-T107+V107-F107-W107+X107-Y107+Z107</f>
        <v>0</v>
      </c>
      <c r="H107" s="143"/>
      <c r="I107" s="140">
        <f>CFwp_Korea!I107+CFwp_US_KRW!I107</f>
        <v>0</v>
      </c>
      <c r="J107" s="140">
        <f>CFwp_Korea!J107+CFwp_US_KRW!J107</f>
        <v>0</v>
      </c>
      <c r="K107" s="140">
        <f>CFwp_Korea!K107+CFwp_US_KRW!K107</f>
        <v>0</v>
      </c>
      <c r="L107" s="140">
        <f>CFwp_Korea!L107+CFwp_US_KRW!L107</f>
        <v>8095212856</v>
      </c>
      <c r="M107" s="140">
        <f>CFwp_Korea!M107+CFwp_US_KRW!M107</f>
        <v>0</v>
      </c>
      <c r="N107" s="140">
        <f>CFwp_Korea!N107+CFwp_US_KRW!N107</f>
        <v>8095212856</v>
      </c>
      <c r="O107" s="140">
        <f>CFwp_Korea!O107+CFwp_US_KRW!O107</f>
        <v>0</v>
      </c>
      <c r="P107" s="140">
        <f>CFwp_Korea!P107+CFwp_US_KRW!P107</f>
        <v>0</v>
      </c>
      <c r="Q107" s="140">
        <f>CFwp_Korea!Q107+CFwp_US_KRW!Q107</f>
        <v>0</v>
      </c>
      <c r="R107" s="140">
        <f>CFwp_Korea!R107+CFwp_US_KRW!R107</f>
        <v>0</v>
      </c>
      <c r="S107" s="140">
        <f>CFwp_Korea!S107+CFwp_US_KRW!S107</f>
        <v>0</v>
      </c>
      <c r="T107" s="140">
        <f>CFwp_Korea!T107+CFwp_US_KRW!T107</f>
        <v>0</v>
      </c>
      <c r="U107" s="140">
        <f>CFwp_Korea!U107+CFwp_US_KRW!U107</f>
        <v>0</v>
      </c>
      <c r="V107" s="140">
        <f>CFwp_Korea!V107+CFwp_US_KRW!V107</f>
        <v>0</v>
      </c>
      <c r="W107" s="140">
        <f>CFwp_Korea!W107+CFwp_US_KRW!W107</f>
        <v>0</v>
      </c>
      <c r="X107" s="140">
        <f>CFwp_Korea!X107+CFwp_US_KRW!X107</f>
        <v>0</v>
      </c>
      <c r="Y107" s="140">
        <f>CFwp_Korea!Y107+CFwp_US_KRW!Y107</f>
        <v>0</v>
      </c>
      <c r="Z107" s="140">
        <f>CFwp_Korea!Z107+CFwp_US_KRW!Z107</f>
        <v>0</v>
      </c>
      <c r="AA107" s="182"/>
      <c r="AB107" s="182"/>
    </row>
    <row r="108" spans="2:28">
      <c r="B108" s="139" t="s">
        <v>851</v>
      </c>
      <c r="C108" s="139" t="s">
        <v>852</v>
      </c>
      <c r="D108" s="140">
        <f>CFwp_Korea!D108+CFwp_US_KRW!D108</f>
        <v>5756000</v>
      </c>
      <c r="E108" s="140">
        <f>CFwp_Korea!E108+CFwp_US_KRW!E108</f>
        <v>2159272</v>
      </c>
      <c r="F108" s="146">
        <f t="shared" si="14"/>
        <v>-3596728</v>
      </c>
      <c r="G108" s="146">
        <f t="shared" si="15"/>
        <v>0</v>
      </c>
      <c r="H108" s="143"/>
      <c r="I108" s="140">
        <f>CFwp_Korea!I108+CFwp_US_KRW!I108</f>
        <v>0</v>
      </c>
      <c r="J108" s="140">
        <f>CFwp_Korea!J108+CFwp_US_KRW!J108</f>
        <v>0</v>
      </c>
      <c r="K108" s="140">
        <f>CFwp_Korea!K108+CFwp_US_KRW!K108</f>
        <v>0</v>
      </c>
      <c r="L108" s="140">
        <f>CFwp_Korea!L108+CFwp_US_KRW!L108</f>
        <v>-3596728</v>
      </c>
      <c r="M108" s="140">
        <f>CFwp_Korea!M108+CFwp_US_KRW!M108</f>
        <v>0</v>
      </c>
      <c r="N108" s="140">
        <f>CFwp_Korea!N108+CFwp_US_KRW!N108</f>
        <v>-3596728</v>
      </c>
      <c r="O108" s="140">
        <f>CFwp_Korea!O108+CFwp_US_KRW!O108</f>
        <v>0</v>
      </c>
      <c r="P108" s="140">
        <f>CFwp_Korea!P108+CFwp_US_KRW!P108</f>
        <v>0</v>
      </c>
      <c r="Q108" s="140">
        <f>CFwp_Korea!Q108+CFwp_US_KRW!Q108</f>
        <v>0</v>
      </c>
      <c r="R108" s="140">
        <f>CFwp_Korea!R108+CFwp_US_KRW!R108</f>
        <v>0</v>
      </c>
      <c r="S108" s="140">
        <f>CFwp_Korea!S108+CFwp_US_KRW!S108</f>
        <v>0</v>
      </c>
      <c r="T108" s="140">
        <f>CFwp_Korea!T108+CFwp_US_KRW!T108</f>
        <v>0</v>
      </c>
      <c r="U108" s="140">
        <f>CFwp_Korea!U108+CFwp_US_KRW!U108</f>
        <v>0</v>
      </c>
      <c r="V108" s="140">
        <f>CFwp_Korea!V108+CFwp_US_KRW!V108</f>
        <v>0</v>
      </c>
      <c r="W108" s="140">
        <f>CFwp_Korea!W108+CFwp_US_KRW!W108</f>
        <v>0</v>
      </c>
      <c r="X108" s="140">
        <f>CFwp_Korea!X108+CFwp_US_KRW!X108</f>
        <v>0</v>
      </c>
      <c r="Y108" s="140">
        <f>CFwp_Korea!Y108+CFwp_US_KRW!Y108</f>
        <v>0</v>
      </c>
      <c r="Z108" s="140">
        <f>CFwp_Korea!Z108+CFwp_US_KRW!Z108</f>
        <v>0</v>
      </c>
      <c r="AA108" s="182"/>
      <c r="AB108" s="182"/>
    </row>
    <row r="109" spans="2:28">
      <c r="B109" s="139" t="s">
        <v>956</v>
      </c>
      <c r="C109" s="139" t="s">
        <v>957</v>
      </c>
      <c r="D109" s="140">
        <f>CFwp_Korea!D109+CFwp_US_KRW!D109</f>
        <v>0</v>
      </c>
      <c r="E109" s="140">
        <f>CFwp_Korea!E109+CFwp_US_KRW!E109</f>
        <v>420000000</v>
      </c>
      <c r="F109" s="146">
        <f t="shared" ref="F109" si="18">E109-D109</f>
        <v>420000000</v>
      </c>
      <c r="G109" s="146">
        <f t="shared" ref="G109" si="19">J109-K109+N109+O109-P109+Q109-R109-T109+V109-F109-W109+X109-Y109+Z109</f>
        <v>0</v>
      </c>
      <c r="H109" s="143"/>
      <c r="I109" s="140">
        <f>CFwp_Korea!I109+CFwp_US_KRW!I109</f>
        <v>0</v>
      </c>
      <c r="J109" s="140">
        <f>CFwp_Korea!J109+CFwp_US_KRW!J109</f>
        <v>0</v>
      </c>
      <c r="K109" s="140">
        <f>CFwp_Korea!K109+CFwp_US_KRW!K109</f>
        <v>0</v>
      </c>
      <c r="L109" s="140">
        <f>CFwp_Korea!L109+CFwp_US_KRW!L109</f>
        <v>0</v>
      </c>
      <c r="M109" s="140">
        <f>CFwp_Korea!M109+CFwp_US_KRW!M109</f>
        <v>0</v>
      </c>
      <c r="N109" s="140">
        <f>CFwp_Korea!N109+CFwp_US_KRW!N109</f>
        <v>0</v>
      </c>
      <c r="O109" s="140">
        <f>CFwp_Korea!O109+CFwp_US_KRW!O109</f>
        <v>0</v>
      </c>
      <c r="P109" s="140">
        <f>CFwp_Korea!P109+CFwp_US_KRW!P109</f>
        <v>0</v>
      </c>
      <c r="Q109" s="140">
        <f>CFwp_Korea!Q109+CFwp_US_KRW!Q109</f>
        <v>420000000</v>
      </c>
      <c r="R109" s="140">
        <f>CFwp_Korea!R109+CFwp_US_KRW!R109</f>
        <v>0</v>
      </c>
      <c r="S109" s="140">
        <f>CFwp_Korea!S109+CFwp_US_KRW!S109</f>
        <v>0</v>
      </c>
      <c r="T109" s="140">
        <f>CFwp_Korea!T109+CFwp_US_KRW!T109</f>
        <v>0</v>
      </c>
      <c r="U109" s="140">
        <f>CFwp_Korea!U109+CFwp_US_KRW!U109</f>
        <v>0</v>
      </c>
      <c r="V109" s="140">
        <f>CFwp_Korea!V109+CFwp_US_KRW!V109</f>
        <v>0</v>
      </c>
      <c r="W109" s="140">
        <f>CFwp_Korea!W109+CFwp_US_KRW!W109</f>
        <v>0</v>
      </c>
      <c r="X109" s="140">
        <f>CFwp_Korea!X109+CFwp_US_KRW!X109</f>
        <v>0</v>
      </c>
      <c r="Y109" s="140">
        <f>CFwp_Korea!Y109+CFwp_US_KRW!Y109</f>
        <v>0</v>
      </c>
      <c r="Z109" s="140">
        <f>CFwp_Korea!Z109+CFwp_US_KRW!Z109</f>
        <v>0</v>
      </c>
      <c r="AA109" s="182"/>
      <c r="AB109" s="182"/>
    </row>
    <row r="110" spans="2:28">
      <c r="B110" s="139" t="s">
        <v>204</v>
      </c>
      <c r="C110" s="139" t="s">
        <v>205</v>
      </c>
      <c r="D110" s="140">
        <f>CFwp_Korea!D110+CFwp_US_KRW!D110</f>
        <v>0</v>
      </c>
      <c r="E110" s="140">
        <f>CFwp_Korea!E110+CFwp_US_KRW!E110</f>
        <v>0</v>
      </c>
      <c r="F110" s="146">
        <f t="shared" si="14"/>
        <v>0</v>
      </c>
      <c r="G110" s="146">
        <f t="shared" si="15"/>
        <v>0</v>
      </c>
      <c r="H110" s="143"/>
      <c r="I110" s="140">
        <f>CFwp_Korea!I110+CFwp_US_KRW!I110</f>
        <v>0</v>
      </c>
      <c r="J110" s="140">
        <f>CFwp_Korea!J110+CFwp_US_KRW!J110</f>
        <v>0</v>
      </c>
      <c r="K110" s="140">
        <f>CFwp_Korea!K110+CFwp_US_KRW!K110</f>
        <v>0</v>
      </c>
      <c r="L110" s="140">
        <f>CFwp_Korea!L110+CFwp_US_KRW!L110</f>
        <v>0</v>
      </c>
      <c r="M110" s="140">
        <f>CFwp_Korea!M110+CFwp_US_KRW!M110</f>
        <v>0</v>
      </c>
      <c r="N110" s="140">
        <f>CFwp_Korea!N110+CFwp_US_KRW!N110</f>
        <v>0</v>
      </c>
      <c r="O110" s="140">
        <f>CFwp_Korea!O110+CFwp_US_KRW!O110</f>
        <v>0</v>
      </c>
      <c r="P110" s="140">
        <f>CFwp_Korea!P110+CFwp_US_KRW!P110</f>
        <v>0</v>
      </c>
      <c r="Q110" s="140">
        <f>CFwp_Korea!Q110+CFwp_US_KRW!Q110</f>
        <v>0</v>
      </c>
      <c r="R110" s="140">
        <f>CFwp_Korea!R110+CFwp_US_KRW!R110</f>
        <v>0</v>
      </c>
      <c r="S110" s="140">
        <f>CFwp_Korea!S110+CFwp_US_KRW!S110</f>
        <v>0</v>
      </c>
      <c r="T110" s="140">
        <f>CFwp_Korea!T110+CFwp_US_KRW!T110</f>
        <v>0</v>
      </c>
      <c r="U110" s="140">
        <f>CFwp_Korea!U110+CFwp_US_KRW!U110</f>
        <v>0</v>
      </c>
      <c r="V110" s="140">
        <f>CFwp_Korea!V110+CFwp_US_KRW!V110</f>
        <v>0</v>
      </c>
      <c r="W110" s="140">
        <f>CFwp_Korea!W110+CFwp_US_KRW!W110</f>
        <v>0</v>
      </c>
      <c r="X110" s="140">
        <f>CFwp_Korea!X110+CFwp_US_KRW!X110</f>
        <v>0</v>
      </c>
      <c r="Y110" s="140">
        <f>CFwp_Korea!Y110+CFwp_US_KRW!Y110</f>
        <v>0</v>
      </c>
      <c r="Z110" s="140">
        <f>CFwp_Korea!Z110+CFwp_US_KRW!Z110</f>
        <v>0</v>
      </c>
      <c r="AA110" s="182"/>
      <c r="AB110" s="182"/>
    </row>
    <row r="111" spans="2:28">
      <c r="B111" s="139" t="s">
        <v>66</v>
      </c>
      <c r="C111" s="139" t="s">
        <v>854</v>
      </c>
      <c r="D111" s="140">
        <f>CFwp_Korea!D111+CFwp_US_KRW!D111</f>
        <v>0</v>
      </c>
      <c r="E111" s="140">
        <f>CFwp_Korea!E111+CFwp_US_KRW!E111</f>
        <v>0</v>
      </c>
      <c r="F111" s="146">
        <f t="shared" si="14"/>
        <v>0</v>
      </c>
      <c r="G111" s="146">
        <f t="shared" si="15"/>
        <v>0</v>
      </c>
      <c r="H111" s="143"/>
      <c r="I111" s="140">
        <f>CFwp_Korea!I111+CFwp_US_KRW!I111</f>
        <v>0</v>
      </c>
      <c r="J111" s="140">
        <f>CFwp_Korea!J111+CFwp_US_KRW!J111</f>
        <v>0</v>
      </c>
      <c r="K111" s="140">
        <f>CFwp_Korea!K111+CFwp_US_KRW!K111</f>
        <v>0</v>
      </c>
      <c r="L111" s="140">
        <f>CFwp_Korea!L111+CFwp_US_KRW!L111</f>
        <v>0</v>
      </c>
      <c r="M111" s="140">
        <f>CFwp_Korea!M111+CFwp_US_KRW!M111</f>
        <v>0</v>
      </c>
      <c r="N111" s="140">
        <f>CFwp_Korea!N111+CFwp_US_KRW!N111</f>
        <v>0</v>
      </c>
      <c r="O111" s="140">
        <f>CFwp_Korea!O111+CFwp_US_KRW!O111</f>
        <v>0</v>
      </c>
      <c r="P111" s="140">
        <f>CFwp_Korea!P111+CFwp_US_KRW!P111</f>
        <v>0</v>
      </c>
      <c r="Q111" s="140">
        <f>CFwp_Korea!Q111+CFwp_US_KRW!Q111</f>
        <v>0</v>
      </c>
      <c r="R111" s="140">
        <f>CFwp_Korea!R111+CFwp_US_KRW!R111</f>
        <v>0</v>
      </c>
      <c r="S111" s="140">
        <f>CFwp_Korea!S111+CFwp_US_KRW!S111</f>
        <v>0</v>
      </c>
      <c r="T111" s="140">
        <f>CFwp_Korea!T111+CFwp_US_KRW!T111</f>
        <v>0</v>
      </c>
      <c r="U111" s="140">
        <f>CFwp_Korea!U111+CFwp_US_KRW!U111</f>
        <v>0</v>
      </c>
      <c r="V111" s="140">
        <f>CFwp_Korea!V111+CFwp_US_KRW!V111</f>
        <v>0</v>
      </c>
      <c r="W111" s="140">
        <f>CFwp_Korea!W111+CFwp_US_KRW!W111</f>
        <v>0</v>
      </c>
      <c r="X111" s="140">
        <f>CFwp_Korea!X111+CFwp_US_KRW!X111</f>
        <v>0</v>
      </c>
      <c r="Y111" s="140">
        <f>CFwp_Korea!Y111+CFwp_US_KRW!Y111</f>
        <v>0</v>
      </c>
      <c r="Z111" s="140">
        <f>CFwp_Korea!Z111+CFwp_US_KRW!Z111</f>
        <v>0</v>
      </c>
      <c r="AA111" s="182"/>
      <c r="AB111" s="182"/>
    </row>
    <row r="112" spans="2:28">
      <c r="B112" s="139" t="s">
        <v>206</v>
      </c>
      <c r="C112" s="139" t="s">
        <v>589</v>
      </c>
      <c r="D112" s="140">
        <f>CFwp_Korea!D112+CFwp_US_KRW!D112</f>
        <v>284270337</v>
      </c>
      <c r="E112" s="140">
        <f>CFwp_Korea!E112+CFwp_US_KRW!E112</f>
        <v>575376334</v>
      </c>
      <c r="F112" s="146">
        <f t="shared" si="14"/>
        <v>291105997</v>
      </c>
      <c r="G112" s="146">
        <f t="shared" si="15"/>
        <v>0</v>
      </c>
      <c r="H112" s="143"/>
      <c r="I112" s="140">
        <f>CFwp_Korea!I112+CFwp_US_KRW!I112</f>
        <v>0</v>
      </c>
      <c r="J112" s="140">
        <f>CFwp_Korea!J112+CFwp_US_KRW!J112</f>
        <v>0</v>
      </c>
      <c r="K112" s="140">
        <f>CFwp_Korea!K112+CFwp_US_KRW!K112</f>
        <v>0</v>
      </c>
      <c r="L112" s="140">
        <f>CFwp_Korea!L112+CFwp_US_KRW!L112</f>
        <v>291105997</v>
      </c>
      <c r="M112" s="140">
        <f>CFwp_Korea!M112+CFwp_US_KRW!M112</f>
        <v>0</v>
      </c>
      <c r="N112" s="140">
        <f>CFwp_Korea!N112+CFwp_US_KRW!N112</f>
        <v>291105997</v>
      </c>
      <c r="O112" s="140">
        <f>CFwp_Korea!O112+CFwp_US_KRW!O112</f>
        <v>0</v>
      </c>
      <c r="P112" s="140">
        <f>CFwp_Korea!P112+CFwp_US_KRW!P112</f>
        <v>0</v>
      </c>
      <c r="Q112" s="140">
        <f>CFwp_Korea!Q112+CFwp_US_KRW!Q112</f>
        <v>0</v>
      </c>
      <c r="R112" s="140">
        <f>CFwp_Korea!R112+CFwp_US_KRW!R112</f>
        <v>0</v>
      </c>
      <c r="S112" s="140">
        <f>CFwp_Korea!S112+CFwp_US_KRW!S112</f>
        <v>0</v>
      </c>
      <c r="T112" s="140">
        <f>CFwp_Korea!T112+CFwp_US_KRW!T112</f>
        <v>0</v>
      </c>
      <c r="U112" s="140">
        <f>CFwp_Korea!U112+CFwp_US_KRW!U112</f>
        <v>0</v>
      </c>
      <c r="V112" s="140">
        <f>CFwp_Korea!V112+CFwp_US_KRW!V112</f>
        <v>0</v>
      </c>
      <c r="W112" s="140">
        <f>CFwp_Korea!W112+CFwp_US_KRW!W112</f>
        <v>0</v>
      </c>
      <c r="X112" s="140">
        <f>CFwp_Korea!X112+CFwp_US_KRW!X112</f>
        <v>0</v>
      </c>
      <c r="Y112" s="140">
        <f>CFwp_Korea!Y112+CFwp_US_KRW!Y112</f>
        <v>0</v>
      </c>
      <c r="Z112" s="140">
        <f>CFwp_Korea!Z112+CFwp_US_KRW!Z112</f>
        <v>0</v>
      </c>
      <c r="AA112" s="182"/>
      <c r="AB112" s="182"/>
    </row>
    <row r="113" spans="2:28">
      <c r="B113" s="139" t="s">
        <v>209</v>
      </c>
      <c r="C113" s="139" t="s">
        <v>210</v>
      </c>
      <c r="D113" s="140">
        <f>CFwp_Korea!D113+CFwp_US_KRW!D113</f>
        <v>12000000000</v>
      </c>
      <c r="E113" s="140">
        <f>CFwp_Korea!E113+CFwp_US_KRW!E113</f>
        <v>0</v>
      </c>
      <c r="F113" s="146">
        <f t="shared" si="14"/>
        <v>-12000000000</v>
      </c>
      <c r="G113" s="146">
        <f t="shared" si="15"/>
        <v>0</v>
      </c>
      <c r="H113" s="143"/>
      <c r="I113" s="140">
        <f>CFwp_Korea!I113+CFwp_US_KRW!I113</f>
        <v>0</v>
      </c>
      <c r="J113" s="140">
        <f>CFwp_Korea!J113+CFwp_US_KRW!J113</f>
        <v>0</v>
      </c>
      <c r="K113" s="140">
        <f>CFwp_Korea!K113+CFwp_US_KRW!K113</f>
        <v>0</v>
      </c>
      <c r="L113" s="140">
        <f>CFwp_Korea!L113+CFwp_US_KRW!L113</f>
        <v>0</v>
      </c>
      <c r="M113" s="140">
        <f>CFwp_Korea!M113+CFwp_US_KRW!M113</f>
        <v>0</v>
      </c>
      <c r="N113" s="140">
        <f>CFwp_Korea!N113+CFwp_US_KRW!N113</f>
        <v>0</v>
      </c>
      <c r="O113" s="140">
        <f>CFwp_Korea!O113+CFwp_US_KRW!O113</f>
        <v>0</v>
      </c>
      <c r="P113" s="140">
        <f>CFwp_Korea!P113+CFwp_US_KRW!P113</f>
        <v>0</v>
      </c>
      <c r="Q113" s="140">
        <f>CFwp_Korea!Q113+CFwp_US_KRW!Q113</f>
        <v>0</v>
      </c>
      <c r="R113" s="140">
        <f>CFwp_Korea!R113+CFwp_US_KRW!R113</f>
        <v>12000000000</v>
      </c>
      <c r="S113" s="140">
        <f>CFwp_Korea!S113+CFwp_US_KRW!S113</f>
        <v>0</v>
      </c>
      <c r="T113" s="140">
        <f>CFwp_Korea!T113+CFwp_US_KRW!T113</f>
        <v>0</v>
      </c>
      <c r="U113" s="140">
        <f>CFwp_Korea!U113+CFwp_US_KRW!U113</f>
        <v>0</v>
      </c>
      <c r="V113" s="140">
        <f>CFwp_Korea!V113+CFwp_US_KRW!V113</f>
        <v>0</v>
      </c>
      <c r="W113" s="140">
        <f>CFwp_Korea!W113+CFwp_US_KRW!W113</f>
        <v>0</v>
      </c>
      <c r="X113" s="140">
        <f>CFwp_Korea!X113+CFwp_US_KRW!X113</f>
        <v>0</v>
      </c>
      <c r="Y113" s="140">
        <f>CFwp_Korea!Y113+CFwp_US_KRW!Y113</f>
        <v>0</v>
      </c>
      <c r="Z113" s="140">
        <f>CFwp_Korea!Z113+CFwp_US_KRW!Z113</f>
        <v>0</v>
      </c>
      <c r="AA113" s="182"/>
      <c r="AB113" s="182"/>
    </row>
    <row r="114" spans="2:28">
      <c r="B114" s="139" t="s">
        <v>213</v>
      </c>
      <c r="C114" s="139" t="s">
        <v>214</v>
      </c>
      <c r="D114" s="140">
        <f>CFwp_Korea!D114+CFwp_US_KRW!D114</f>
        <v>964956210</v>
      </c>
      <c r="E114" s="140">
        <f>CFwp_Korea!E114+CFwp_US_KRW!E114</f>
        <v>139102800790</v>
      </c>
      <c r="F114" s="146">
        <f t="shared" si="14"/>
        <v>138137844580</v>
      </c>
      <c r="G114" s="146">
        <f t="shared" si="15"/>
        <v>-781135343</v>
      </c>
      <c r="H114" s="143" t="s">
        <v>461</v>
      </c>
      <c r="I114" s="140">
        <f>CFwp_Korea!I114+CFwp_US_KRW!I114</f>
        <v>138349735077</v>
      </c>
      <c r="J114" s="140">
        <f>CFwp_Korea!J114+CFwp_US_KRW!J114</f>
        <v>138349735077</v>
      </c>
      <c r="K114" s="140">
        <f>CFwp_Korea!K114+CFwp_US_KRW!K114</f>
        <v>0</v>
      </c>
      <c r="L114" s="140">
        <f>CFwp_Korea!L114+CFwp_US_KRW!L114</f>
        <v>0</v>
      </c>
      <c r="M114" s="140">
        <f>CFwp_Korea!M114+CFwp_US_KRW!M114</f>
        <v>-993025840</v>
      </c>
      <c r="N114" s="140">
        <f>CFwp_Korea!N114+CFwp_US_KRW!N114</f>
        <v>-993025840</v>
      </c>
      <c r="O114" s="140">
        <f>CFwp_Korea!O114+CFwp_US_KRW!O114</f>
        <v>0</v>
      </c>
      <c r="P114" s="140">
        <f>CFwp_Korea!P114+CFwp_US_KRW!P114</f>
        <v>0</v>
      </c>
      <c r="Q114" s="140">
        <f>CFwp_Korea!Q114+CFwp_US_KRW!Q114</f>
        <v>0</v>
      </c>
      <c r="R114" s="140">
        <f>CFwp_Korea!R114+CFwp_US_KRW!R114</f>
        <v>0</v>
      </c>
      <c r="S114" s="140">
        <f>CFwp_Korea!S114+CFwp_US_KRW!S114</f>
        <v>0</v>
      </c>
      <c r="T114" s="140">
        <f>CFwp_Korea!T114+CFwp_US_KRW!T114</f>
        <v>0</v>
      </c>
      <c r="U114" s="140">
        <f>CFwp_Korea!U114+CFwp_US_KRW!U114</f>
        <v>0</v>
      </c>
      <c r="V114" s="140">
        <f>CFwp_Korea!V114+CFwp_US_KRW!V114</f>
        <v>0</v>
      </c>
      <c r="W114" s="140">
        <f>CFwp_Korea!W114+CFwp_US_KRW!W114</f>
        <v>0</v>
      </c>
      <c r="X114" s="140">
        <f>CFwp_Korea!X114+CFwp_US_KRW!X114</f>
        <v>0</v>
      </c>
      <c r="Y114" s="140">
        <f>CFwp_Korea!Y114+CFwp_US_KRW!Y114</f>
        <v>0</v>
      </c>
      <c r="Z114" s="140">
        <f>CFwp_Korea!Z114+CFwp_US_KRW!Z114</f>
        <v>0</v>
      </c>
      <c r="AA114" s="182"/>
      <c r="AB114" s="182"/>
    </row>
    <row r="115" spans="2:28">
      <c r="B115" s="139" t="s">
        <v>217</v>
      </c>
      <c r="C115" s="139" t="s">
        <v>218</v>
      </c>
      <c r="D115" s="140">
        <f>CFwp_Korea!D115+CFwp_US_KRW!D115</f>
        <v>177318330</v>
      </c>
      <c r="E115" s="140">
        <f>CFwp_Korea!E115+CFwp_US_KRW!E115</f>
        <v>2589237419</v>
      </c>
      <c r="F115" s="146">
        <f t="shared" si="14"/>
        <v>2411919089</v>
      </c>
      <c r="G115" s="146">
        <f t="shared" si="15"/>
        <v>0</v>
      </c>
      <c r="H115" s="143" t="s">
        <v>448</v>
      </c>
      <c r="I115" s="140">
        <f>CFwp_Korea!I115+CFwp_US_KRW!I115</f>
        <v>165715444</v>
      </c>
      <c r="J115" s="140">
        <f>CFwp_Korea!J115+CFwp_US_KRW!J115</f>
        <v>165715444</v>
      </c>
      <c r="K115" s="140">
        <f>CFwp_Korea!K115+CFwp_US_KRW!K115</f>
        <v>0</v>
      </c>
      <c r="L115" s="140">
        <f>CFwp_Korea!L115+CFwp_US_KRW!L115</f>
        <v>2411919089</v>
      </c>
      <c r="M115" s="140">
        <f>CFwp_Korea!M115+CFwp_US_KRW!M115</f>
        <v>-165715444</v>
      </c>
      <c r="N115" s="140">
        <f>CFwp_Korea!N115+CFwp_US_KRW!N115</f>
        <v>2246203645</v>
      </c>
      <c r="O115" s="140">
        <f>CFwp_Korea!O115+CFwp_US_KRW!O115</f>
        <v>0</v>
      </c>
      <c r="P115" s="140">
        <f>CFwp_Korea!P115+CFwp_US_KRW!P115</f>
        <v>0</v>
      </c>
      <c r="Q115" s="140">
        <f>CFwp_Korea!Q115+CFwp_US_KRW!Q115</f>
        <v>0</v>
      </c>
      <c r="R115" s="140">
        <f>CFwp_Korea!R115+CFwp_US_KRW!R115</f>
        <v>0</v>
      </c>
      <c r="S115" s="140">
        <f>CFwp_Korea!S115+CFwp_US_KRW!S115</f>
        <v>0</v>
      </c>
      <c r="T115" s="140">
        <f>CFwp_Korea!T115+CFwp_US_KRW!T115</f>
        <v>0</v>
      </c>
      <c r="U115" s="140">
        <f>CFwp_Korea!U115+CFwp_US_KRW!U115</f>
        <v>0</v>
      </c>
      <c r="V115" s="140">
        <f>CFwp_Korea!V115+CFwp_US_KRW!V115</f>
        <v>0</v>
      </c>
      <c r="W115" s="140">
        <f>CFwp_Korea!W115+CFwp_US_KRW!W115</f>
        <v>0</v>
      </c>
      <c r="X115" s="140">
        <f>CFwp_Korea!X115+CFwp_US_KRW!X115</f>
        <v>0</v>
      </c>
      <c r="Y115" s="140">
        <f>CFwp_Korea!Y115+CFwp_US_KRW!Y115</f>
        <v>0</v>
      </c>
      <c r="Z115" s="140">
        <f>CFwp_Korea!Z115+CFwp_US_KRW!Z115</f>
        <v>0</v>
      </c>
      <c r="AA115" s="182"/>
      <c r="AB115" s="182"/>
    </row>
    <row r="116" spans="2:28">
      <c r="B116" s="139" t="s">
        <v>219</v>
      </c>
      <c r="C116" s="139" t="s">
        <v>220</v>
      </c>
      <c r="D116" s="140">
        <f>CFwp_Korea!D116+CFwp_US_KRW!D116</f>
        <v>0</v>
      </c>
      <c r="E116" s="140">
        <f>CFwp_Korea!E116+CFwp_US_KRW!E116</f>
        <v>0</v>
      </c>
      <c r="F116" s="146">
        <f t="shared" si="14"/>
        <v>0</v>
      </c>
      <c r="G116" s="146">
        <f t="shared" si="15"/>
        <v>0</v>
      </c>
      <c r="H116" s="143"/>
      <c r="I116" s="140">
        <f>CFwp_Korea!I116+CFwp_US_KRW!I116</f>
        <v>0</v>
      </c>
      <c r="J116" s="140">
        <f>CFwp_Korea!J116+CFwp_US_KRW!J116</f>
        <v>0</v>
      </c>
      <c r="K116" s="140">
        <f>CFwp_Korea!K116+CFwp_US_KRW!K116</f>
        <v>0</v>
      </c>
      <c r="L116" s="140">
        <f>CFwp_Korea!L116+CFwp_US_KRW!L116</f>
        <v>0</v>
      </c>
      <c r="M116" s="140">
        <f>CFwp_Korea!M116+CFwp_US_KRW!M116</f>
        <v>0</v>
      </c>
      <c r="N116" s="140">
        <f>CFwp_Korea!N116+CFwp_US_KRW!N116</f>
        <v>0</v>
      </c>
      <c r="O116" s="140">
        <f>CFwp_Korea!O116+CFwp_US_KRW!O116</f>
        <v>0</v>
      </c>
      <c r="P116" s="140">
        <f>CFwp_Korea!P116+CFwp_US_KRW!P116</f>
        <v>0</v>
      </c>
      <c r="Q116" s="140">
        <f>CFwp_Korea!Q116+CFwp_US_KRW!Q116</f>
        <v>0</v>
      </c>
      <c r="R116" s="140">
        <f>CFwp_Korea!R116+CFwp_US_KRW!R116</f>
        <v>0</v>
      </c>
      <c r="S116" s="140">
        <f>CFwp_Korea!S116+CFwp_US_KRW!S116</f>
        <v>0</v>
      </c>
      <c r="T116" s="140">
        <f>CFwp_Korea!T116+CFwp_US_KRW!T116</f>
        <v>0</v>
      </c>
      <c r="U116" s="140">
        <f>CFwp_Korea!U116+CFwp_US_KRW!U116</f>
        <v>0</v>
      </c>
      <c r="V116" s="140">
        <f>CFwp_Korea!V116+CFwp_US_KRW!V116</f>
        <v>0</v>
      </c>
      <c r="W116" s="140">
        <f>CFwp_Korea!W116+CFwp_US_KRW!W116</f>
        <v>0</v>
      </c>
      <c r="X116" s="140">
        <f>CFwp_Korea!X116+CFwp_US_KRW!X116</f>
        <v>0</v>
      </c>
      <c r="Y116" s="140">
        <f>CFwp_Korea!Y116+CFwp_US_KRW!Y116</f>
        <v>0</v>
      </c>
      <c r="Z116" s="140">
        <f>CFwp_Korea!Z116+CFwp_US_KRW!Z116</f>
        <v>0</v>
      </c>
      <c r="AA116" s="182"/>
      <c r="AB116" s="182"/>
    </row>
    <row r="117" spans="2:28">
      <c r="B117" s="139" t="s">
        <v>221</v>
      </c>
      <c r="C117" s="139" t="s">
        <v>222</v>
      </c>
      <c r="D117" s="140">
        <f>CFwp_Korea!D117+CFwp_US_KRW!D117</f>
        <v>182945958</v>
      </c>
      <c r="E117" s="140">
        <f>CFwp_Korea!E117+CFwp_US_KRW!E117</f>
        <v>251936857</v>
      </c>
      <c r="F117" s="146">
        <f t="shared" si="14"/>
        <v>68990899</v>
      </c>
      <c r="G117" s="146">
        <f t="shared" si="15"/>
        <v>0</v>
      </c>
      <c r="H117" s="143" t="s">
        <v>712</v>
      </c>
      <c r="I117" s="140">
        <f>CFwp_Korea!I117+CFwp_US_KRW!I117</f>
        <v>68990899</v>
      </c>
      <c r="J117" s="140">
        <f>CFwp_Korea!J117+CFwp_US_KRW!J117</f>
        <v>68990899</v>
      </c>
      <c r="K117" s="140">
        <f>CFwp_Korea!K117+CFwp_US_KRW!K117</f>
        <v>0</v>
      </c>
      <c r="L117" s="140">
        <f>CFwp_Korea!L117+CFwp_US_KRW!L117</f>
        <v>0</v>
      </c>
      <c r="M117" s="140">
        <f>CFwp_Korea!M117+CFwp_US_KRW!M117</f>
        <v>0</v>
      </c>
      <c r="N117" s="140">
        <f>CFwp_Korea!N117+CFwp_US_KRW!N117</f>
        <v>0</v>
      </c>
      <c r="O117" s="140">
        <f>CFwp_Korea!O117+CFwp_US_KRW!O117</f>
        <v>0</v>
      </c>
      <c r="P117" s="140">
        <f>CFwp_Korea!P117+CFwp_US_KRW!P117</f>
        <v>0</v>
      </c>
      <c r="Q117" s="140">
        <f>CFwp_Korea!Q117+CFwp_US_KRW!Q117</f>
        <v>0</v>
      </c>
      <c r="R117" s="140">
        <f>CFwp_Korea!R117+CFwp_US_KRW!R117</f>
        <v>0</v>
      </c>
      <c r="S117" s="140">
        <f>CFwp_Korea!S117+CFwp_US_KRW!S117</f>
        <v>0</v>
      </c>
      <c r="T117" s="140">
        <f>CFwp_Korea!T117+CFwp_US_KRW!T117</f>
        <v>0</v>
      </c>
      <c r="U117" s="140">
        <f>CFwp_Korea!U117+CFwp_US_KRW!U117</f>
        <v>0</v>
      </c>
      <c r="V117" s="140">
        <f>CFwp_Korea!V117+CFwp_US_KRW!V117</f>
        <v>0</v>
      </c>
      <c r="W117" s="140">
        <f>CFwp_Korea!W117+CFwp_US_KRW!W117</f>
        <v>0</v>
      </c>
      <c r="X117" s="140">
        <f>CFwp_Korea!X117+CFwp_US_KRW!X117</f>
        <v>0</v>
      </c>
      <c r="Y117" s="140">
        <f>CFwp_Korea!Y117+CFwp_US_KRW!Y117</f>
        <v>0</v>
      </c>
      <c r="Z117" s="140">
        <f>CFwp_Korea!Z117+CFwp_US_KRW!Z117</f>
        <v>0</v>
      </c>
      <c r="AA117" s="182"/>
      <c r="AB117" s="182"/>
    </row>
    <row r="118" spans="2:28">
      <c r="B118" s="139" t="s">
        <v>223</v>
      </c>
      <c r="C118" s="139" t="s">
        <v>224</v>
      </c>
      <c r="D118" s="140">
        <f>CFwp_Korea!D118+CFwp_US_KRW!D118</f>
        <v>43536000</v>
      </c>
      <c r="E118" s="140">
        <f>CFwp_Korea!E118+CFwp_US_KRW!E118</f>
        <v>152695680</v>
      </c>
      <c r="F118" s="146">
        <f t="shared" si="14"/>
        <v>109159680</v>
      </c>
      <c r="G118" s="146">
        <f t="shared" si="15"/>
        <v>0</v>
      </c>
      <c r="H118" s="143"/>
      <c r="I118" s="140">
        <f>CFwp_Korea!I118+CFwp_US_KRW!I118</f>
        <v>0</v>
      </c>
      <c r="J118" s="140">
        <f>CFwp_Korea!J118+CFwp_US_KRW!J118</f>
        <v>0</v>
      </c>
      <c r="K118" s="140">
        <f>CFwp_Korea!K118+CFwp_US_KRW!K118</f>
        <v>0</v>
      </c>
      <c r="L118" s="140">
        <f>CFwp_Korea!L118+CFwp_US_KRW!L118</f>
        <v>0</v>
      </c>
      <c r="M118" s="140">
        <f>CFwp_Korea!M118+CFwp_US_KRW!M118</f>
        <v>0</v>
      </c>
      <c r="N118" s="140">
        <f>CFwp_Korea!N118+CFwp_US_KRW!N118</f>
        <v>0</v>
      </c>
      <c r="O118" s="140">
        <f>CFwp_Korea!O118+CFwp_US_KRW!O118</f>
        <v>0</v>
      </c>
      <c r="P118" s="140">
        <f>CFwp_Korea!P118+CFwp_US_KRW!P118</f>
        <v>0</v>
      </c>
      <c r="Q118" s="140">
        <f>CFwp_Korea!Q118+CFwp_US_KRW!Q118</f>
        <v>0</v>
      </c>
      <c r="R118" s="140">
        <f>CFwp_Korea!R118+CFwp_US_KRW!R118</f>
        <v>79827840</v>
      </c>
      <c r="S118" s="140">
        <f>CFwp_Korea!S118+CFwp_US_KRW!S118</f>
        <v>0</v>
      </c>
      <c r="T118" s="140">
        <f>CFwp_Korea!T118+CFwp_US_KRW!T118</f>
        <v>0</v>
      </c>
      <c r="U118" s="140">
        <f>CFwp_Korea!U118+CFwp_US_KRW!U118</f>
        <v>0</v>
      </c>
      <c r="V118" s="140">
        <f>CFwp_Korea!V118+CFwp_US_KRW!V118</f>
        <v>188987520</v>
      </c>
      <c r="W118" s="140">
        <f>CFwp_Korea!W118+CFwp_US_KRW!W118</f>
        <v>0</v>
      </c>
      <c r="X118" s="140">
        <f>CFwp_Korea!X118+CFwp_US_KRW!X118</f>
        <v>0</v>
      </c>
      <c r="Y118" s="140">
        <f>CFwp_Korea!Y118+CFwp_US_KRW!Y118</f>
        <v>0</v>
      </c>
      <c r="Z118" s="140">
        <f>CFwp_Korea!Z118+CFwp_US_KRW!Z118</f>
        <v>0</v>
      </c>
      <c r="AA118" s="182"/>
      <c r="AB118" s="182"/>
    </row>
    <row r="119" spans="2:28">
      <c r="B119" s="139" t="s">
        <v>226</v>
      </c>
      <c r="C119" s="139" t="s">
        <v>227</v>
      </c>
      <c r="D119" s="140">
        <f>CFwp_Korea!D119+CFwp_US_KRW!D119</f>
        <v>-1855504</v>
      </c>
      <c r="E119" s="140">
        <f>CFwp_Korea!E119+CFwp_US_KRW!E119</f>
        <v>-14874917</v>
      </c>
      <c r="F119" s="146">
        <f t="shared" si="14"/>
        <v>-13019413</v>
      </c>
      <c r="G119" s="146">
        <f t="shared" si="15"/>
        <v>0</v>
      </c>
      <c r="H119" s="143" t="s">
        <v>950</v>
      </c>
      <c r="I119" s="140">
        <f>CFwp_Korea!I119+CFwp_US_KRW!I119</f>
        <v>706713</v>
      </c>
      <c r="J119" s="140">
        <f>CFwp_Korea!J119+CFwp_US_KRW!J119</f>
        <v>706713</v>
      </c>
      <c r="K119" s="140">
        <f>CFwp_Korea!K119+CFwp_US_KRW!K119</f>
        <v>0</v>
      </c>
      <c r="L119" s="140">
        <f>CFwp_Korea!L119+CFwp_US_KRW!L119</f>
        <v>0</v>
      </c>
      <c r="M119" s="140">
        <f>CFwp_Korea!M119+CFwp_US_KRW!M119</f>
        <v>0</v>
      </c>
      <c r="N119" s="140">
        <f>CFwp_Korea!N119+CFwp_US_KRW!N119</f>
        <v>0</v>
      </c>
      <c r="O119" s="140">
        <f>CFwp_Korea!O119+CFwp_US_KRW!O119</f>
        <v>0</v>
      </c>
      <c r="P119" s="140">
        <f>CFwp_Korea!P119+CFwp_US_KRW!P119</f>
        <v>0</v>
      </c>
      <c r="Q119" s="140">
        <f>CFwp_Korea!Q119+CFwp_US_KRW!Q119</f>
        <v>0</v>
      </c>
      <c r="R119" s="140">
        <f>CFwp_Korea!R119+CFwp_US_KRW!R119</f>
        <v>0</v>
      </c>
      <c r="S119" s="140">
        <f>CFwp_Korea!S119+CFwp_US_KRW!S119</f>
        <v>0</v>
      </c>
      <c r="T119" s="140">
        <f>CFwp_Korea!T119+CFwp_US_KRW!T119</f>
        <v>13726126</v>
      </c>
      <c r="U119" s="140">
        <f>CFwp_Korea!U119+CFwp_US_KRW!U119</f>
        <v>0</v>
      </c>
      <c r="V119" s="140">
        <f>CFwp_Korea!V119+CFwp_US_KRW!V119</f>
        <v>0</v>
      </c>
      <c r="W119" s="140">
        <f>CFwp_Korea!W119+CFwp_US_KRW!W119</f>
        <v>0</v>
      </c>
      <c r="X119" s="140">
        <f>CFwp_Korea!X119+CFwp_US_KRW!X119</f>
        <v>0</v>
      </c>
      <c r="Y119" s="140">
        <f>CFwp_Korea!Y119+CFwp_US_KRW!Y119</f>
        <v>0</v>
      </c>
      <c r="Z119" s="140">
        <f>CFwp_Korea!Z119+CFwp_US_KRW!Z119</f>
        <v>0</v>
      </c>
      <c r="AA119" s="182"/>
      <c r="AB119" s="182"/>
    </row>
    <row r="120" spans="2:28">
      <c r="B120" s="50" t="s">
        <v>508</v>
      </c>
      <c r="C120" s="2" t="s">
        <v>509</v>
      </c>
      <c r="D120" s="140">
        <f>CFwp_Korea!D120+CFwp_US_KRW!D120</f>
        <v>0</v>
      </c>
      <c r="E120" s="140">
        <f>CFwp_Korea!E120+CFwp_US_KRW!E120</f>
        <v>0</v>
      </c>
      <c r="F120" s="146">
        <f t="shared" si="14"/>
        <v>0</v>
      </c>
      <c r="G120" s="146">
        <f t="shared" si="15"/>
        <v>0</v>
      </c>
      <c r="H120" s="143"/>
      <c r="I120" s="140">
        <f>CFwp_Korea!I120+CFwp_US_KRW!I120</f>
        <v>0</v>
      </c>
      <c r="J120" s="140">
        <f>CFwp_Korea!J120+CFwp_US_KRW!J120</f>
        <v>0</v>
      </c>
      <c r="K120" s="140">
        <f>CFwp_Korea!K120+CFwp_US_KRW!K120</f>
        <v>0</v>
      </c>
      <c r="L120" s="140">
        <f>CFwp_Korea!L120+CFwp_US_KRW!L120</f>
        <v>0</v>
      </c>
      <c r="M120" s="140">
        <f>CFwp_Korea!M120+CFwp_US_KRW!M120</f>
        <v>0</v>
      </c>
      <c r="N120" s="140">
        <f>CFwp_Korea!N120+CFwp_US_KRW!N120</f>
        <v>0</v>
      </c>
      <c r="O120" s="140">
        <f>CFwp_Korea!O120+CFwp_US_KRW!O120</f>
        <v>0</v>
      </c>
      <c r="P120" s="140">
        <f>CFwp_Korea!P120+CFwp_US_KRW!P120</f>
        <v>0</v>
      </c>
      <c r="Q120" s="140">
        <f>CFwp_Korea!Q120+CFwp_US_KRW!Q120</f>
        <v>0</v>
      </c>
      <c r="R120" s="140">
        <f>CFwp_Korea!R120+CFwp_US_KRW!R120</f>
        <v>0</v>
      </c>
      <c r="S120" s="140">
        <f>CFwp_Korea!S120+CFwp_US_KRW!S120</f>
        <v>0</v>
      </c>
      <c r="T120" s="140">
        <f>CFwp_Korea!T120+CFwp_US_KRW!T120</f>
        <v>0</v>
      </c>
      <c r="U120" s="140">
        <f>CFwp_Korea!U120+CFwp_US_KRW!U120</f>
        <v>0</v>
      </c>
      <c r="V120" s="140">
        <f>CFwp_Korea!V120+CFwp_US_KRW!V120</f>
        <v>0</v>
      </c>
      <c r="W120" s="140">
        <f>CFwp_Korea!W120+CFwp_US_KRW!W120</f>
        <v>0</v>
      </c>
      <c r="X120" s="140">
        <f>CFwp_Korea!X120+CFwp_US_KRW!X120</f>
        <v>0</v>
      </c>
      <c r="Y120" s="140">
        <f>CFwp_Korea!Y120+CFwp_US_KRW!Y120</f>
        <v>0</v>
      </c>
      <c r="Z120" s="140">
        <f>CFwp_Korea!Z120+CFwp_US_KRW!Z120</f>
        <v>0</v>
      </c>
      <c r="AA120" s="182"/>
      <c r="AB120" s="182"/>
    </row>
    <row r="121" spans="2:28">
      <c r="B121" s="137"/>
      <c r="C121" s="137" t="s">
        <v>592</v>
      </c>
      <c r="D121" s="138">
        <f>SUM(D122:D130)</f>
        <v>3400236326</v>
      </c>
      <c r="E121" s="138">
        <f>SUM(E122:E130)</f>
        <v>3520748500</v>
      </c>
      <c r="F121" s="154"/>
      <c r="G121" s="154"/>
      <c r="H121" s="138"/>
      <c r="I121" s="149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>
        <v>0</v>
      </c>
      <c r="Z121" s="138">
        <v>0</v>
      </c>
      <c r="AA121" s="182"/>
      <c r="AB121" s="182"/>
    </row>
    <row r="122" spans="2:28">
      <c r="B122" s="139" t="s">
        <v>229</v>
      </c>
      <c r="C122" s="139" t="s">
        <v>230</v>
      </c>
      <c r="D122" s="140">
        <f>CFwp_Korea!D122+CFwp_US_KRW!D122</f>
        <v>0</v>
      </c>
      <c r="E122" s="140">
        <f>CFwp_Korea!E122+CFwp_US_KRW!E122</f>
        <v>0</v>
      </c>
      <c r="F122" s="146">
        <f t="shared" ref="F122:F129" si="20">E122-D122</f>
        <v>0</v>
      </c>
      <c r="G122" s="146">
        <f t="shared" ref="G122:G129" si="21">J122-K122+N122+O122-P122+Q122-R122-T122+V122-F122-W122+X122-Y122+Z122</f>
        <v>0</v>
      </c>
      <c r="H122" s="143"/>
      <c r="I122" s="140">
        <f>CFwp_Korea!I122+CFwp_US_KRW!I122</f>
        <v>0</v>
      </c>
      <c r="J122" s="140">
        <f>CFwp_Korea!J122+CFwp_US_KRW!J122</f>
        <v>0</v>
      </c>
      <c r="K122" s="140">
        <f>CFwp_Korea!K122+CFwp_US_KRW!K122</f>
        <v>0</v>
      </c>
      <c r="L122" s="140">
        <f>CFwp_Korea!L122+CFwp_US_KRW!L122</f>
        <v>0</v>
      </c>
      <c r="M122" s="140">
        <f>CFwp_Korea!M122+CFwp_US_KRW!M122</f>
        <v>0</v>
      </c>
      <c r="N122" s="140">
        <f>CFwp_Korea!N122+CFwp_US_KRW!N122</f>
        <v>0</v>
      </c>
      <c r="O122" s="140">
        <f>CFwp_Korea!O122+CFwp_US_KRW!O122</f>
        <v>0</v>
      </c>
      <c r="P122" s="140">
        <f>CFwp_Korea!P122+CFwp_US_KRW!P122</f>
        <v>0</v>
      </c>
      <c r="Q122" s="140">
        <f>CFwp_Korea!Q122+CFwp_US_KRW!Q122</f>
        <v>0</v>
      </c>
      <c r="R122" s="140">
        <f>CFwp_Korea!R122+CFwp_US_KRW!R122</f>
        <v>0</v>
      </c>
      <c r="S122" s="140">
        <f>CFwp_Korea!S122+CFwp_US_KRW!S122</f>
        <v>0</v>
      </c>
      <c r="T122" s="140">
        <f>CFwp_Korea!T122+CFwp_US_KRW!T122</f>
        <v>0</v>
      </c>
      <c r="U122" s="140">
        <f>CFwp_Korea!U122+CFwp_US_KRW!U122</f>
        <v>0</v>
      </c>
      <c r="V122" s="140">
        <f>CFwp_Korea!V122+CFwp_US_KRW!V122</f>
        <v>0</v>
      </c>
      <c r="W122" s="140">
        <f>CFwp_Korea!W122+CFwp_US_KRW!W122</f>
        <v>0</v>
      </c>
      <c r="X122" s="140">
        <f>CFwp_Korea!X122+CFwp_US_KRW!X122</f>
        <v>0</v>
      </c>
      <c r="Y122" s="140">
        <f>CFwp_Korea!Y122+CFwp_US_KRW!Y122</f>
        <v>0</v>
      </c>
      <c r="Z122" s="140">
        <f>CFwp_Korea!Z122+CFwp_US_KRW!Z122</f>
        <v>0</v>
      </c>
      <c r="AA122" s="182"/>
      <c r="AB122" s="182"/>
    </row>
    <row r="123" spans="2:28">
      <c r="B123" s="139" t="s">
        <v>233</v>
      </c>
      <c r="C123" s="139" t="s">
        <v>234</v>
      </c>
      <c r="D123" s="140">
        <f>CFwp_Korea!D123+CFwp_US_KRW!D123</f>
        <v>0</v>
      </c>
      <c r="E123" s="140">
        <f>CFwp_Korea!E123+CFwp_US_KRW!E123</f>
        <v>0</v>
      </c>
      <c r="F123" s="146">
        <f t="shared" si="20"/>
        <v>0</v>
      </c>
      <c r="G123" s="146">
        <f t="shared" si="21"/>
        <v>0</v>
      </c>
      <c r="H123" s="143"/>
      <c r="I123" s="140">
        <f>CFwp_Korea!I123+CFwp_US_KRW!I123</f>
        <v>0</v>
      </c>
      <c r="J123" s="140">
        <f>CFwp_Korea!J123+CFwp_US_KRW!J123</f>
        <v>0</v>
      </c>
      <c r="K123" s="140">
        <f>CFwp_Korea!K123+CFwp_US_KRW!K123</f>
        <v>0</v>
      </c>
      <c r="L123" s="140">
        <f>CFwp_Korea!L123+CFwp_US_KRW!L123</f>
        <v>0</v>
      </c>
      <c r="M123" s="140">
        <f>CFwp_Korea!M123+CFwp_US_KRW!M123</f>
        <v>0</v>
      </c>
      <c r="N123" s="140">
        <f>CFwp_Korea!N123+CFwp_US_KRW!N123</f>
        <v>0</v>
      </c>
      <c r="O123" s="140">
        <f>CFwp_Korea!O123+CFwp_US_KRW!O123</f>
        <v>0</v>
      </c>
      <c r="P123" s="140">
        <f>CFwp_Korea!P123+CFwp_US_KRW!P123</f>
        <v>0</v>
      </c>
      <c r="Q123" s="140">
        <f>CFwp_Korea!Q123+CFwp_US_KRW!Q123</f>
        <v>0</v>
      </c>
      <c r="R123" s="140">
        <f>CFwp_Korea!R123+CFwp_US_KRW!R123</f>
        <v>0</v>
      </c>
      <c r="S123" s="140">
        <f>CFwp_Korea!S123+CFwp_US_KRW!S123</f>
        <v>0</v>
      </c>
      <c r="T123" s="140">
        <f>CFwp_Korea!T123+CFwp_US_KRW!T123</f>
        <v>0</v>
      </c>
      <c r="U123" s="140">
        <f>CFwp_Korea!U123+CFwp_US_KRW!U123</f>
        <v>0</v>
      </c>
      <c r="V123" s="140">
        <f>CFwp_Korea!V123+CFwp_US_KRW!V123</f>
        <v>0</v>
      </c>
      <c r="W123" s="140">
        <f>CFwp_Korea!W123+CFwp_US_KRW!W123</f>
        <v>0</v>
      </c>
      <c r="X123" s="140">
        <f>CFwp_Korea!X123+CFwp_US_KRW!X123</f>
        <v>0</v>
      </c>
      <c r="Y123" s="140">
        <f>CFwp_Korea!Y123+CFwp_US_KRW!Y123</f>
        <v>0</v>
      </c>
      <c r="Z123" s="140">
        <f>CFwp_Korea!Z123+CFwp_US_KRW!Z123</f>
        <v>0</v>
      </c>
      <c r="AA123" s="182"/>
      <c r="AB123" s="182"/>
    </row>
    <row r="124" spans="2:28">
      <c r="B124" s="139" t="s">
        <v>237</v>
      </c>
      <c r="C124" s="139" t="s">
        <v>238</v>
      </c>
      <c r="D124" s="140">
        <f>CFwp_Korea!D124+CFwp_US_KRW!D124</f>
        <v>5000000</v>
      </c>
      <c r="E124" s="140">
        <f>CFwp_Korea!E124+CFwp_US_KRW!E124</f>
        <v>0</v>
      </c>
      <c r="F124" s="146">
        <f t="shared" si="20"/>
        <v>-5000000</v>
      </c>
      <c r="G124" s="146">
        <f t="shared" si="21"/>
        <v>0</v>
      </c>
      <c r="H124" s="143"/>
      <c r="I124" s="140">
        <f>CFwp_Korea!I124+CFwp_US_KRW!I124</f>
        <v>0</v>
      </c>
      <c r="J124" s="140">
        <f>CFwp_Korea!J124+CFwp_US_KRW!J124</f>
        <v>0</v>
      </c>
      <c r="K124" s="140">
        <f>CFwp_Korea!K124+CFwp_US_KRW!K124</f>
        <v>0</v>
      </c>
      <c r="L124" s="140">
        <f>CFwp_Korea!L124+CFwp_US_KRW!L124</f>
        <v>0</v>
      </c>
      <c r="M124" s="140">
        <f>CFwp_Korea!M124+CFwp_US_KRW!M124</f>
        <v>0</v>
      </c>
      <c r="N124" s="140">
        <f>CFwp_Korea!N124+CFwp_US_KRW!N124</f>
        <v>0</v>
      </c>
      <c r="O124" s="140">
        <f>CFwp_Korea!O124+CFwp_US_KRW!O124</f>
        <v>0</v>
      </c>
      <c r="P124" s="140">
        <f>CFwp_Korea!P124+CFwp_US_KRW!P124</f>
        <v>0</v>
      </c>
      <c r="Q124" s="140">
        <f>CFwp_Korea!Q124+CFwp_US_KRW!Q124</f>
        <v>0</v>
      </c>
      <c r="R124" s="140">
        <f>CFwp_Korea!R124+CFwp_US_KRW!R124</f>
        <v>5000000</v>
      </c>
      <c r="S124" s="140">
        <f>CFwp_Korea!S124+CFwp_US_KRW!S124</f>
        <v>0</v>
      </c>
      <c r="T124" s="140">
        <f>CFwp_Korea!T124+CFwp_US_KRW!T124</f>
        <v>0</v>
      </c>
      <c r="U124" s="140">
        <f>CFwp_Korea!U124+CFwp_US_KRW!U124</f>
        <v>0</v>
      </c>
      <c r="V124" s="140">
        <f>CFwp_Korea!V124+CFwp_US_KRW!V124</f>
        <v>0</v>
      </c>
      <c r="W124" s="140">
        <f>CFwp_Korea!W124+CFwp_US_KRW!W124</f>
        <v>0</v>
      </c>
      <c r="X124" s="140">
        <f>CFwp_Korea!X124+CFwp_US_KRW!X124</f>
        <v>0</v>
      </c>
      <c r="Y124" s="140">
        <f>CFwp_Korea!Y124+CFwp_US_KRW!Y124</f>
        <v>0</v>
      </c>
      <c r="Z124" s="140">
        <f>CFwp_Korea!Z124+CFwp_US_KRW!Z124</f>
        <v>0</v>
      </c>
      <c r="AA124" s="182"/>
      <c r="AB124" s="182"/>
    </row>
    <row r="125" spans="2:28">
      <c r="B125" s="37" t="s">
        <v>510</v>
      </c>
      <c r="C125" s="2" t="s">
        <v>511</v>
      </c>
      <c r="D125" s="140">
        <f>CFwp_Korea!D125+CFwp_US_KRW!D125</f>
        <v>0</v>
      </c>
      <c r="E125" s="140">
        <f>CFwp_Korea!E125+CFwp_US_KRW!E125</f>
        <v>0</v>
      </c>
      <c r="F125" s="146">
        <f t="shared" si="20"/>
        <v>0</v>
      </c>
      <c r="G125" s="146">
        <f t="shared" si="21"/>
        <v>0</v>
      </c>
      <c r="H125" s="143"/>
      <c r="I125" s="140">
        <f>CFwp_Korea!I125+CFwp_US_KRW!I125</f>
        <v>0</v>
      </c>
      <c r="J125" s="140">
        <f>CFwp_Korea!J125+CFwp_US_KRW!J125</f>
        <v>0</v>
      </c>
      <c r="K125" s="140">
        <f>CFwp_Korea!K125+CFwp_US_KRW!K125</f>
        <v>0</v>
      </c>
      <c r="L125" s="140">
        <f>CFwp_Korea!L125+CFwp_US_KRW!L125</f>
        <v>0</v>
      </c>
      <c r="M125" s="140">
        <f>CFwp_Korea!M125+CFwp_US_KRW!M125</f>
        <v>0</v>
      </c>
      <c r="N125" s="140">
        <f>CFwp_Korea!N125+CFwp_US_KRW!N125</f>
        <v>0</v>
      </c>
      <c r="O125" s="140">
        <f>CFwp_Korea!O125+CFwp_US_KRW!O125</f>
        <v>0</v>
      </c>
      <c r="P125" s="140">
        <f>CFwp_Korea!P125+CFwp_US_KRW!P125</f>
        <v>0</v>
      </c>
      <c r="Q125" s="140">
        <f>CFwp_Korea!Q125+CFwp_US_KRW!Q125</f>
        <v>0</v>
      </c>
      <c r="R125" s="140">
        <f>CFwp_Korea!R125+CFwp_US_KRW!R125</f>
        <v>0</v>
      </c>
      <c r="S125" s="140">
        <f>CFwp_Korea!S125+CFwp_US_KRW!S125</f>
        <v>0</v>
      </c>
      <c r="T125" s="140">
        <f>CFwp_Korea!T125+CFwp_US_KRW!T125</f>
        <v>0</v>
      </c>
      <c r="U125" s="140">
        <f>CFwp_Korea!U125+CFwp_US_KRW!U125</f>
        <v>0</v>
      </c>
      <c r="V125" s="140">
        <f>CFwp_Korea!V125+CFwp_US_KRW!V125</f>
        <v>0</v>
      </c>
      <c r="W125" s="140">
        <f>CFwp_Korea!W125+CFwp_US_KRW!W125</f>
        <v>0</v>
      </c>
      <c r="X125" s="140">
        <f>CFwp_Korea!X125+CFwp_US_KRW!X125</f>
        <v>0</v>
      </c>
      <c r="Y125" s="140">
        <f>CFwp_Korea!Y125+CFwp_US_KRW!Y125</f>
        <v>0</v>
      </c>
      <c r="Z125" s="140">
        <f>CFwp_Korea!Z125+CFwp_US_KRW!Z125</f>
        <v>0</v>
      </c>
      <c r="AA125" s="182"/>
      <c r="AB125" s="182"/>
    </row>
    <row r="126" spans="2:28">
      <c r="B126" s="139" t="s">
        <v>241</v>
      </c>
      <c r="C126" s="139" t="s">
        <v>593</v>
      </c>
      <c r="D126" s="140">
        <f>CFwp_Korea!D126+CFwp_US_KRW!D126</f>
        <v>0</v>
      </c>
      <c r="E126" s="140">
        <f>CFwp_Korea!E126+CFwp_US_KRW!E126</f>
        <v>0</v>
      </c>
      <c r="F126" s="146">
        <f t="shared" si="20"/>
        <v>0</v>
      </c>
      <c r="G126" s="146">
        <f t="shared" si="21"/>
        <v>0</v>
      </c>
      <c r="H126" s="143"/>
      <c r="I126" s="140">
        <f>CFwp_Korea!I126+CFwp_US_KRW!I126</f>
        <v>0</v>
      </c>
      <c r="J126" s="140">
        <f>CFwp_Korea!J126+CFwp_US_KRW!J126</f>
        <v>0</v>
      </c>
      <c r="K126" s="140">
        <f>CFwp_Korea!K126+CFwp_US_KRW!K126</f>
        <v>0</v>
      </c>
      <c r="L126" s="140">
        <f>CFwp_Korea!L126+CFwp_US_KRW!L126</f>
        <v>0</v>
      </c>
      <c r="M126" s="140">
        <f>CFwp_Korea!M126+CFwp_US_KRW!M126</f>
        <v>0</v>
      </c>
      <c r="N126" s="140">
        <f>CFwp_Korea!N126+CFwp_US_KRW!N126</f>
        <v>0</v>
      </c>
      <c r="O126" s="140">
        <f>CFwp_Korea!O126+CFwp_US_KRW!O126</f>
        <v>0</v>
      </c>
      <c r="P126" s="140">
        <f>CFwp_Korea!P126+CFwp_US_KRW!P126</f>
        <v>0</v>
      </c>
      <c r="Q126" s="140">
        <f>CFwp_Korea!Q126+CFwp_US_KRW!Q126</f>
        <v>0</v>
      </c>
      <c r="R126" s="140">
        <f>CFwp_Korea!R126+CFwp_US_KRW!R126</f>
        <v>0</v>
      </c>
      <c r="S126" s="140">
        <f>CFwp_Korea!S126+CFwp_US_KRW!S126</f>
        <v>0</v>
      </c>
      <c r="T126" s="140">
        <f>CFwp_Korea!T126+CFwp_US_KRW!T126</f>
        <v>0</v>
      </c>
      <c r="U126" s="140">
        <f>CFwp_Korea!U126+CFwp_US_KRW!U126</f>
        <v>0</v>
      </c>
      <c r="V126" s="140">
        <f>CFwp_Korea!V126+CFwp_US_KRW!V126</f>
        <v>0</v>
      </c>
      <c r="W126" s="140">
        <f>CFwp_Korea!W126+CFwp_US_KRW!W126</f>
        <v>0</v>
      </c>
      <c r="X126" s="140">
        <f>CFwp_Korea!X126+CFwp_US_KRW!X126</f>
        <v>0</v>
      </c>
      <c r="Y126" s="140">
        <f>CFwp_Korea!Y126+CFwp_US_KRW!Y126</f>
        <v>0</v>
      </c>
      <c r="Z126" s="140">
        <f>CFwp_Korea!Z126+CFwp_US_KRW!Z126</f>
        <v>0</v>
      </c>
      <c r="AA126" s="182"/>
      <c r="AB126" s="182"/>
    </row>
    <row r="127" spans="2:28">
      <c r="B127" s="139" t="s">
        <v>243</v>
      </c>
      <c r="C127" s="139" t="s">
        <v>244</v>
      </c>
      <c r="D127" s="140">
        <f>CFwp_Korea!D127+CFwp_US_KRW!D127</f>
        <v>25303266</v>
      </c>
      <c r="E127" s="140">
        <f>CFwp_Korea!E127+CFwp_US_KRW!E127</f>
        <v>31747682</v>
      </c>
      <c r="F127" s="146">
        <f t="shared" si="20"/>
        <v>6444416</v>
      </c>
      <c r="G127" s="146">
        <f t="shared" si="21"/>
        <v>0</v>
      </c>
      <c r="H127" s="143" t="s">
        <v>246</v>
      </c>
      <c r="I127" s="140">
        <f>CFwp_Korea!I127+CFwp_US_KRW!I127</f>
        <v>15624416</v>
      </c>
      <c r="J127" s="140">
        <f>CFwp_Korea!J127+CFwp_US_KRW!J127</f>
        <v>15624416</v>
      </c>
      <c r="K127" s="140">
        <f>CFwp_Korea!K127+CFwp_US_KRW!K127</f>
        <v>0</v>
      </c>
      <c r="L127" s="140">
        <f>CFwp_Korea!L127+CFwp_US_KRW!L127</f>
        <v>-9180000</v>
      </c>
      <c r="M127" s="140">
        <f>CFwp_Korea!M127+CFwp_US_KRW!M127</f>
        <v>0</v>
      </c>
      <c r="N127" s="140">
        <f>CFwp_Korea!N127+CFwp_US_KRW!N127</f>
        <v>-9180000</v>
      </c>
      <c r="O127" s="140">
        <f>CFwp_Korea!O127+CFwp_US_KRW!O127</f>
        <v>0</v>
      </c>
      <c r="P127" s="140">
        <f>CFwp_Korea!P127+CFwp_US_KRW!P127</f>
        <v>0</v>
      </c>
      <c r="Q127" s="140">
        <f>CFwp_Korea!Q127+CFwp_US_KRW!Q127</f>
        <v>0</v>
      </c>
      <c r="R127" s="140">
        <f>CFwp_Korea!R127+CFwp_US_KRW!R127</f>
        <v>0</v>
      </c>
      <c r="S127" s="140">
        <f>CFwp_Korea!S127+CFwp_US_KRW!S127</f>
        <v>0</v>
      </c>
      <c r="T127" s="140">
        <f>CFwp_Korea!T127+CFwp_US_KRW!T127</f>
        <v>0</v>
      </c>
      <c r="U127" s="140">
        <f>CFwp_Korea!U127+CFwp_US_KRW!U127</f>
        <v>0</v>
      </c>
      <c r="V127" s="140">
        <f>CFwp_Korea!V127+CFwp_US_KRW!V127</f>
        <v>0</v>
      </c>
      <c r="W127" s="140">
        <f>CFwp_Korea!W127+CFwp_US_KRW!W127</f>
        <v>0</v>
      </c>
      <c r="X127" s="140">
        <f>CFwp_Korea!X127+CFwp_US_KRW!X127</f>
        <v>0</v>
      </c>
      <c r="Y127" s="140">
        <f>CFwp_Korea!Y127+CFwp_US_KRW!Y127</f>
        <v>0</v>
      </c>
      <c r="Z127" s="140">
        <f>CFwp_Korea!Z127+CFwp_US_KRW!Z127</f>
        <v>0</v>
      </c>
      <c r="AA127" s="182"/>
      <c r="AB127" s="182"/>
    </row>
    <row r="128" spans="2:28">
      <c r="B128" s="139" t="s">
        <v>247</v>
      </c>
      <c r="C128" s="139" t="s">
        <v>248</v>
      </c>
      <c r="D128" s="140">
        <f>CFwp_Korea!D128+CFwp_US_KRW!D128</f>
        <v>50916000</v>
      </c>
      <c r="E128" s="140">
        <f>CFwp_Korea!E128+CFwp_US_KRW!E128</f>
        <v>213917520</v>
      </c>
      <c r="F128" s="146">
        <f t="shared" si="20"/>
        <v>163001520</v>
      </c>
      <c r="G128" s="146">
        <f t="shared" si="21"/>
        <v>0</v>
      </c>
      <c r="H128" s="143"/>
      <c r="I128" s="140">
        <f>CFwp_Korea!I128+CFwp_US_KRW!I128</f>
        <v>0</v>
      </c>
      <c r="J128" s="140">
        <f>CFwp_Korea!J128+CFwp_US_KRW!J128</f>
        <v>0</v>
      </c>
      <c r="K128" s="140">
        <f>CFwp_Korea!K128+CFwp_US_KRW!K128</f>
        <v>0</v>
      </c>
      <c r="L128" s="140">
        <f>CFwp_Korea!L128+CFwp_US_KRW!L128</f>
        <v>0</v>
      </c>
      <c r="M128" s="140">
        <f>CFwp_Korea!M128+CFwp_US_KRW!M128</f>
        <v>0</v>
      </c>
      <c r="N128" s="140">
        <f>CFwp_Korea!N128+CFwp_US_KRW!N128</f>
        <v>0</v>
      </c>
      <c r="O128" s="140">
        <f>CFwp_Korea!O128+CFwp_US_KRW!O128</f>
        <v>0</v>
      </c>
      <c r="P128" s="140">
        <f>CFwp_Korea!P128+CFwp_US_KRW!P128</f>
        <v>0</v>
      </c>
      <c r="Q128" s="140">
        <f>CFwp_Korea!Q128+CFwp_US_KRW!Q128</f>
        <v>0</v>
      </c>
      <c r="R128" s="140">
        <f>CFwp_Korea!R128+CFwp_US_KRW!R128</f>
        <v>0</v>
      </c>
      <c r="S128" s="140">
        <f>CFwp_Korea!S128+CFwp_US_KRW!S128</f>
        <v>0</v>
      </c>
      <c r="T128" s="140">
        <f>CFwp_Korea!T128+CFwp_US_KRW!T128</f>
        <v>75090840</v>
      </c>
      <c r="U128" s="140">
        <f>CFwp_Korea!U128+CFwp_US_KRW!U128</f>
        <v>0</v>
      </c>
      <c r="V128" s="140">
        <f>CFwp_Korea!V128+CFwp_US_KRW!V128</f>
        <v>238092360</v>
      </c>
      <c r="W128" s="140">
        <f>CFwp_Korea!W128+CFwp_US_KRW!W128</f>
        <v>0</v>
      </c>
      <c r="X128" s="140">
        <f>CFwp_Korea!X128+CFwp_US_KRW!X128</f>
        <v>0</v>
      </c>
      <c r="Y128" s="140">
        <f>CFwp_Korea!Y128+CFwp_US_KRW!Y128</f>
        <v>0</v>
      </c>
      <c r="Z128" s="140">
        <f>CFwp_Korea!Z128+CFwp_US_KRW!Z128</f>
        <v>0</v>
      </c>
      <c r="AA128" s="182"/>
      <c r="AB128" s="182"/>
    </row>
    <row r="129" spans="2:28">
      <c r="B129" s="139" t="s">
        <v>250</v>
      </c>
      <c r="C129" s="139" t="s">
        <v>251</v>
      </c>
      <c r="D129" s="140">
        <f>CFwp_Korea!D129+CFwp_US_KRW!D129</f>
        <v>-1340414</v>
      </c>
      <c r="E129" s="140">
        <f>CFwp_Korea!E129+CFwp_US_KRW!E129</f>
        <v>-7302942</v>
      </c>
      <c r="F129" s="146">
        <f t="shared" si="20"/>
        <v>-5962528</v>
      </c>
      <c r="G129" s="146">
        <f t="shared" si="21"/>
        <v>0</v>
      </c>
      <c r="H129" s="143" t="s">
        <v>950</v>
      </c>
      <c r="I129" s="140">
        <f>CFwp_Korea!I129+CFwp_US_KRW!I129</f>
        <v>6205823</v>
      </c>
      <c r="J129" s="140">
        <f>CFwp_Korea!J129+CFwp_US_KRW!J129</f>
        <v>6205823</v>
      </c>
      <c r="K129" s="140">
        <f>CFwp_Korea!K129+CFwp_US_KRW!K129</f>
        <v>0</v>
      </c>
      <c r="L129" s="140">
        <f>CFwp_Korea!L129+CFwp_US_KRW!L129</f>
        <v>0</v>
      </c>
      <c r="M129" s="140">
        <f>CFwp_Korea!M129+CFwp_US_KRW!M129</f>
        <v>0</v>
      </c>
      <c r="N129" s="140">
        <f>CFwp_Korea!N129+CFwp_US_KRW!N129</f>
        <v>0</v>
      </c>
      <c r="O129" s="140">
        <f>CFwp_Korea!O129+CFwp_US_KRW!O129</f>
        <v>0</v>
      </c>
      <c r="P129" s="140">
        <f>CFwp_Korea!P129+CFwp_US_KRW!P129</f>
        <v>0</v>
      </c>
      <c r="Q129" s="140">
        <f>CFwp_Korea!Q129+CFwp_US_KRW!Q129</f>
        <v>0</v>
      </c>
      <c r="R129" s="140">
        <f>CFwp_Korea!R129+CFwp_US_KRW!R129</f>
        <v>0</v>
      </c>
      <c r="S129" s="140">
        <f>CFwp_Korea!S129+CFwp_US_KRW!S129</f>
        <v>0</v>
      </c>
      <c r="T129" s="140">
        <f>CFwp_Korea!T129+CFwp_US_KRW!T129</f>
        <v>12168351</v>
      </c>
      <c r="U129" s="140">
        <f>CFwp_Korea!U129+CFwp_US_KRW!U129</f>
        <v>0</v>
      </c>
      <c r="V129" s="140">
        <f>CFwp_Korea!V129+CFwp_US_KRW!V129</f>
        <v>0</v>
      </c>
      <c r="W129" s="140">
        <f>CFwp_Korea!W129+CFwp_US_KRW!W129</f>
        <v>0</v>
      </c>
      <c r="X129" s="140">
        <f>CFwp_Korea!X129+CFwp_US_KRW!X129</f>
        <v>0</v>
      </c>
      <c r="Y129" s="140">
        <f>CFwp_Korea!Y129+CFwp_US_KRW!Y129</f>
        <v>0</v>
      </c>
      <c r="Z129" s="140">
        <f>CFwp_Korea!Z129+CFwp_US_KRW!Z129</f>
        <v>0</v>
      </c>
      <c r="AA129" s="182"/>
      <c r="AB129" s="182"/>
    </row>
    <row r="130" spans="2:28">
      <c r="B130" s="139" t="s">
        <v>910</v>
      </c>
      <c r="C130" s="139" t="s">
        <v>908</v>
      </c>
      <c r="D130" s="140">
        <f>CFwp_Korea!D130+CFwp_US_KRW!D130</f>
        <v>3320357474</v>
      </c>
      <c r="E130" s="140">
        <f>CFwp_Korea!E130+CFwp_US_KRW!E130</f>
        <v>3282386240</v>
      </c>
      <c r="F130" s="146">
        <f t="shared" ref="F130" si="22">E130-D130</f>
        <v>-37971234</v>
      </c>
      <c r="G130" s="146">
        <f t="shared" ref="G130" si="23">J130-K130+N130+O130-P130+Q130-R130-T130+V130-F130-W130+X130-Y130+Z130</f>
        <v>781135343</v>
      </c>
      <c r="H130" s="143" t="s">
        <v>461</v>
      </c>
      <c r="I130" s="140">
        <f>CFwp_Korea!I130+CFwp_US_KRW!I130</f>
        <v>743164109</v>
      </c>
      <c r="J130" s="140">
        <f>CFwp_Korea!J130+CFwp_US_KRW!J130</f>
        <v>743164109</v>
      </c>
      <c r="K130" s="140">
        <f>CFwp_Korea!K130+CFwp_US_KRW!K130</f>
        <v>0</v>
      </c>
      <c r="L130" s="140">
        <f>CFwp_Korea!L130+CFwp_US_KRW!L130</f>
        <v>0</v>
      </c>
      <c r="M130" s="140">
        <f>CFwp_Korea!M130+CFwp_US_KRW!M130</f>
        <v>0</v>
      </c>
      <c r="N130" s="140">
        <f>CFwp_Korea!N130+CFwp_US_KRW!N130</f>
        <v>0</v>
      </c>
      <c r="O130" s="140">
        <f>CFwp_Korea!O130+CFwp_US_KRW!O130</f>
        <v>0</v>
      </c>
      <c r="P130" s="140">
        <f>CFwp_Korea!P130+CFwp_US_KRW!P130</f>
        <v>0</v>
      </c>
      <c r="Q130" s="140">
        <f>CFwp_Korea!Q130+CFwp_US_KRW!Q130</f>
        <v>0</v>
      </c>
      <c r="R130" s="140">
        <f>CFwp_Korea!R130+CFwp_US_KRW!R130</f>
        <v>0</v>
      </c>
      <c r="S130" s="140">
        <f>CFwp_Korea!S130+CFwp_US_KRW!S130</f>
        <v>0</v>
      </c>
      <c r="T130" s="140">
        <f>CFwp_Korea!T130+CFwp_US_KRW!T130</f>
        <v>0</v>
      </c>
      <c r="U130" s="140">
        <f>CFwp_Korea!U130+CFwp_US_KRW!U130</f>
        <v>0</v>
      </c>
      <c r="V130" s="140">
        <f>CFwp_Korea!V130+CFwp_US_KRW!V130</f>
        <v>0</v>
      </c>
      <c r="W130" s="140">
        <f>CFwp_Korea!W130+CFwp_US_KRW!W130</f>
        <v>0</v>
      </c>
      <c r="X130" s="140">
        <f>CFwp_Korea!X130+CFwp_US_KRW!X130</f>
        <v>0</v>
      </c>
      <c r="Y130" s="140">
        <f>CFwp_Korea!Y130+CFwp_US_KRW!Y130</f>
        <v>0</v>
      </c>
      <c r="Z130" s="140">
        <f>CFwp_Korea!Z130+CFwp_US_KRW!Z130</f>
        <v>0</v>
      </c>
      <c r="AA130" s="182"/>
      <c r="AB130" s="182"/>
    </row>
    <row r="131" spans="2:28">
      <c r="B131" s="134"/>
      <c r="C131" s="134" t="s">
        <v>252</v>
      </c>
      <c r="D131" s="136">
        <f>D121+D101</f>
        <v>20283436312</v>
      </c>
      <c r="E131" s="136">
        <f>E121+E101</f>
        <v>187573547955</v>
      </c>
      <c r="F131" s="152"/>
      <c r="G131" s="152"/>
      <c r="H131" s="136"/>
      <c r="I131" s="153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>
        <v>0</v>
      </c>
      <c r="Z131" s="136">
        <v>0</v>
      </c>
      <c r="AA131" s="182"/>
      <c r="AB131" s="182"/>
    </row>
    <row r="132" spans="2:28">
      <c r="B132" s="134"/>
      <c r="C132" s="134" t="s">
        <v>253</v>
      </c>
      <c r="D132" s="136"/>
      <c r="E132" s="136"/>
      <c r="F132" s="152"/>
      <c r="G132" s="152"/>
      <c r="H132" s="136"/>
      <c r="I132" s="153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>
        <v>0</v>
      </c>
      <c r="Z132" s="136">
        <v>0</v>
      </c>
      <c r="AA132" s="182"/>
      <c r="AB132" s="182"/>
    </row>
    <row r="133" spans="2:28">
      <c r="B133" s="137"/>
      <c r="C133" s="137" t="s">
        <v>259</v>
      </c>
      <c r="D133" s="138">
        <f>SUM(D134:D135)</f>
        <v>2929525130</v>
      </c>
      <c r="E133" s="138">
        <f>SUM(E134:E135)</f>
        <v>2929525130</v>
      </c>
      <c r="F133" s="154"/>
      <c r="G133" s="154"/>
      <c r="H133" s="138"/>
      <c r="I133" s="149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>
        <v>0</v>
      </c>
      <c r="Z133" s="138">
        <v>0</v>
      </c>
      <c r="AA133" s="182"/>
      <c r="AB133" s="182"/>
    </row>
    <row r="134" spans="2:28">
      <c r="B134" s="139" t="s">
        <v>256</v>
      </c>
      <c r="C134" s="139" t="s">
        <v>257</v>
      </c>
      <c r="D134" s="140">
        <f>CFwp_Korea!D134+CFwp_US_KRW!D134</f>
        <v>2929525130</v>
      </c>
      <c r="E134" s="140">
        <f>CFwp_Korea!E134+CFwp_US_KRW!E134</f>
        <v>2929525130</v>
      </c>
      <c r="F134" s="146">
        <f>E134-D134</f>
        <v>0</v>
      </c>
      <c r="G134" s="146">
        <f t="shared" ref="G134:G135" si="24">J134-K134+N134+O134-P134+Q134-R134-T134+V134-F134-W134+X134-Y134+Z134</f>
        <v>0</v>
      </c>
      <c r="H134" s="143"/>
      <c r="I134" s="140">
        <f>CFwp_Korea!I134+CFwp_US_KRW!I134</f>
        <v>0</v>
      </c>
      <c r="J134" s="140">
        <f>CFwp_Korea!J134+CFwp_US_KRW!J134</f>
        <v>0</v>
      </c>
      <c r="K134" s="140">
        <f>CFwp_Korea!K134+CFwp_US_KRW!K134</f>
        <v>0</v>
      </c>
      <c r="L134" s="140">
        <f>CFwp_Korea!L134+CFwp_US_KRW!L134</f>
        <v>0</v>
      </c>
      <c r="M134" s="140">
        <f>CFwp_Korea!M134+CFwp_US_KRW!M134</f>
        <v>0</v>
      </c>
      <c r="N134" s="140">
        <f>CFwp_Korea!N134+CFwp_US_KRW!N134</f>
        <v>0</v>
      </c>
      <c r="O134" s="140">
        <f>CFwp_Korea!O134+CFwp_US_KRW!O134</f>
        <v>0</v>
      </c>
      <c r="P134" s="140">
        <f>CFwp_Korea!P134+CFwp_US_KRW!P134</f>
        <v>0</v>
      </c>
      <c r="Q134" s="140">
        <f>CFwp_Korea!Q134+CFwp_US_KRW!Q134</f>
        <v>0</v>
      </c>
      <c r="R134" s="140">
        <f>CFwp_Korea!R134+CFwp_US_KRW!R134</f>
        <v>0</v>
      </c>
      <c r="S134" s="140">
        <f>CFwp_Korea!S134+CFwp_US_KRW!S134</f>
        <v>0</v>
      </c>
      <c r="T134" s="140">
        <f>CFwp_Korea!T134+CFwp_US_KRW!T134</f>
        <v>0</v>
      </c>
      <c r="U134" s="140">
        <f>CFwp_Korea!U134+CFwp_US_KRW!U134</f>
        <v>0</v>
      </c>
      <c r="V134" s="140">
        <f>CFwp_Korea!V134+CFwp_US_KRW!V134</f>
        <v>0</v>
      </c>
      <c r="W134" s="140">
        <f>CFwp_Korea!W134+CFwp_US_KRW!W134</f>
        <v>0</v>
      </c>
      <c r="X134" s="140">
        <f>CFwp_Korea!X134+CFwp_US_KRW!X134</f>
        <v>0</v>
      </c>
      <c r="Y134" s="140">
        <f>CFwp_Korea!Y134+CFwp_US_KRW!Y134</f>
        <v>0</v>
      </c>
      <c r="Z134" s="140">
        <f>CFwp_Korea!Z134+CFwp_US_KRW!Z134</f>
        <v>0</v>
      </c>
      <c r="AA134" s="182"/>
      <c r="AB134" s="182"/>
    </row>
    <row r="135" spans="2:28">
      <c r="B135" s="139" t="s">
        <v>909</v>
      </c>
      <c r="C135" s="139" t="s">
        <v>594</v>
      </c>
      <c r="D135" s="140">
        <f>CFwp_Korea!D135+CFwp_US_KRW!D135</f>
        <v>0</v>
      </c>
      <c r="E135" s="140">
        <f>CFwp_Korea!E135+CFwp_US_KRW!E135</f>
        <v>0</v>
      </c>
      <c r="F135" s="146">
        <f>E135-D135</f>
        <v>0</v>
      </c>
      <c r="G135" s="146">
        <f t="shared" si="24"/>
        <v>0</v>
      </c>
      <c r="H135" s="143"/>
      <c r="I135" s="140">
        <f>CFwp_Korea!I135+CFwp_US_KRW!I135</f>
        <v>0</v>
      </c>
      <c r="J135" s="140">
        <f>CFwp_Korea!J135+CFwp_US_KRW!J135</f>
        <v>0</v>
      </c>
      <c r="K135" s="140">
        <f>CFwp_Korea!K135+CFwp_US_KRW!K135</f>
        <v>0</v>
      </c>
      <c r="L135" s="140">
        <f>CFwp_Korea!L135+CFwp_US_KRW!L135</f>
        <v>0</v>
      </c>
      <c r="M135" s="140">
        <f>CFwp_Korea!M135+CFwp_US_KRW!M135</f>
        <v>0</v>
      </c>
      <c r="N135" s="140">
        <f>CFwp_Korea!N135+CFwp_US_KRW!N135</f>
        <v>0</v>
      </c>
      <c r="O135" s="140">
        <f>CFwp_Korea!O135+CFwp_US_KRW!O135</f>
        <v>0</v>
      </c>
      <c r="P135" s="140">
        <f>CFwp_Korea!P135+CFwp_US_KRW!P135</f>
        <v>0</v>
      </c>
      <c r="Q135" s="140">
        <f>CFwp_Korea!Q135+CFwp_US_KRW!Q135</f>
        <v>0</v>
      </c>
      <c r="R135" s="140">
        <f>CFwp_Korea!R135+CFwp_US_KRW!R135</f>
        <v>0</v>
      </c>
      <c r="S135" s="140">
        <f>CFwp_Korea!S135+CFwp_US_KRW!S135</f>
        <v>0</v>
      </c>
      <c r="T135" s="140">
        <f>CFwp_Korea!T135+CFwp_US_KRW!T135</f>
        <v>0</v>
      </c>
      <c r="U135" s="140">
        <f>CFwp_Korea!U135+CFwp_US_KRW!U135</f>
        <v>0</v>
      </c>
      <c r="V135" s="140">
        <f>CFwp_Korea!V135+CFwp_US_KRW!V135</f>
        <v>0</v>
      </c>
      <c r="W135" s="140">
        <f>CFwp_Korea!W135+CFwp_US_KRW!W135</f>
        <v>0</v>
      </c>
      <c r="X135" s="140">
        <f>CFwp_Korea!X135+CFwp_US_KRW!X135</f>
        <v>0</v>
      </c>
      <c r="Y135" s="140">
        <f>CFwp_Korea!Y135+CFwp_US_KRW!Y135</f>
        <v>0</v>
      </c>
      <c r="Z135" s="140">
        <f>CFwp_Korea!Z135+CFwp_US_KRW!Z135</f>
        <v>0</v>
      </c>
      <c r="AA135" s="182"/>
      <c r="AB135" s="182"/>
    </row>
    <row r="136" spans="2:28">
      <c r="B136" s="137"/>
      <c r="C136" s="137" t="s">
        <v>264</v>
      </c>
      <c r="D136" s="138">
        <f>SUM(D137:D139)</f>
        <v>56905662423</v>
      </c>
      <c r="E136" s="138">
        <f>SUM(E137:E139)</f>
        <v>57451762423</v>
      </c>
      <c r="F136" s="154"/>
      <c r="G136" s="154"/>
      <c r="H136" s="138"/>
      <c r="I136" s="149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>
        <v>0</v>
      </c>
      <c r="Z136" s="138">
        <v>0</v>
      </c>
      <c r="AA136" s="182"/>
      <c r="AB136" s="182"/>
    </row>
    <row r="137" spans="2:28">
      <c r="B137" s="139" t="s">
        <v>261</v>
      </c>
      <c r="C137" s="139" t="s">
        <v>262</v>
      </c>
      <c r="D137" s="140">
        <f>CFwp_Korea!D137+CFwp_US_KRW!D137</f>
        <v>56905662423</v>
      </c>
      <c r="E137" s="140">
        <f>CFwp_Korea!E137+CFwp_US_KRW!E137</f>
        <v>57451762423</v>
      </c>
      <c r="F137" s="146">
        <f>E137-D137</f>
        <v>546100000</v>
      </c>
      <c r="G137" s="146">
        <f t="shared" ref="G137:G151" si="25">J137-K137+N137+O137-P137+Q137-R137-T137+V137-F137-W137+X137-Y137+Z137</f>
        <v>0</v>
      </c>
      <c r="H137" s="143"/>
      <c r="I137" s="140">
        <f>CFwp_Korea!I137+CFwp_US_KRW!I137</f>
        <v>0</v>
      </c>
      <c r="J137" s="140">
        <f>CFwp_Korea!J137+CFwp_US_KRW!J137</f>
        <v>0</v>
      </c>
      <c r="K137" s="140">
        <f>CFwp_Korea!K137+CFwp_US_KRW!K137</f>
        <v>0</v>
      </c>
      <c r="L137" s="140">
        <f>CFwp_Korea!L137+CFwp_US_KRW!L137</f>
        <v>0</v>
      </c>
      <c r="M137" s="140">
        <f>CFwp_Korea!M137+CFwp_US_KRW!M137</f>
        <v>0</v>
      </c>
      <c r="N137" s="140">
        <f>CFwp_Korea!N137+CFwp_US_KRW!N137</f>
        <v>0</v>
      </c>
      <c r="O137" s="140">
        <f>CFwp_Korea!O137+CFwp_US_KRW!O137</f>
        <v>0</v>
      </c>
      <c r="P137" s="140">
        <f>CFwp_Korea!P137+CFwp_US_KRW!P137</f>
        <v>0</v>
      </c>
      <c r="Q137" s="140">
        <f>CFwp_Korea!Q137+CFwp_US_KRW!Q137</f>
        <v>546100000</v>
      </c>
      <c r="R137" s="140">
        <f>CFwp_Korea!R137+CFwp_US_KRW!R137</f>
        <v>0</v>
      </c>
      <c r="S137" s="140">
        <f>CFwp_Korea!S137+CFwp_US_KRW!S137</f>
        <v>0</v>
      </c>
      <c r="T137" s="140">
        <f>CFwp_Korea!T137+CFwp_US_KRW!T137</f>
        <v>0</v>
      </c>
      <c r="U137" s="140">
        <f>CFwp_Korea!U137+CFwp_US_KRW!U137</f>
        <v>0</v>
      </c>
      <c r="V137" s="140">
        <f>CFwp_Korea!V137+CFwp_US_KRW!V137</f>
        <v>0</v>
      </c>
      <c r="W137" s="140">
        <f>CFwp_Korea!W137+CFwp_US_KRW!W137</f>
        <v>0</v>
      </c>
      <c r="X137" s="140">
        <f>CFwp_Korea!X137+CFwp_US_KRW!X137</f>
        <v>0</v>
      </c>
      <c r="Y137" s="140">
        <f>CFwp_Korea!Y137+CFwp_US_KRW!Y137</f>
        <v>0</v>
      </c>
      <c r="Z137" s="140">
        <f>CFwp_Korea!Z137+CFwp_US_KRW!Z137</f>
        <v>0</v>
      </c>
      <c r="AA137" s="182"/>
      <c r="AB137" s="182"/>
    </row>
    <row r="138" spans="2:28">
      <c r="B138" s="139" t="s">
        <v>265</v>
      </c>
      <c r="C138" s="139" t="s">
        <v>266</v>
      </c>
      <c r="D138" s="140">
        <f>CFwp_Korea!D138+CFwp_US_KRW!D138</f>
        <v>0</v>
      </c>
      <c r="E138" s="140">
        <f>CFwp_Korea!E138+CFwp_US_KRW!E138</f>
        <v>0</v>
      </c>
      <c r="F138" s="146">
        <f>E138-D138</f>
        <v>0</v>
      </c>
      <c r="G138" s="146">
        <f t="shared" si="25"/>
        <v>0</v>
      </c>
      <c r="H138" s="143"/>
      <c r="I138" s="140">
        <f>CFwp_Korea!I138+CFwp_US_KRW!I138</f>
        <v>0</v>
      </c>
      <c r="J138" s="140">
        <f>CFwp_Korea!J138+CFwp_US_KRW!J138</f>
        <v>0</v>
      </c>
      <c r="K138" s="140">
        <f>CFwp_Korea!K138+CFwp_US_KRW!K138</f>
        <v>0</v>
      </c>
      <c r="L138" s="140">
        <f>CFwp_Korea!L138+CFwp_US_KRW!L138</f>
        <v>0</v>
      </c>
      <c r="M138" s="140">
        <f>CFwp_Korea!M138+CFwp_US_KRW!M138</f>
        <v>0</v>
      </c>
      <c r="N138" s="140">
        <f>CFwp_Korea!N138+CFwp_US_KRW!N138</f>
        <v>0</v>
      </c>
      <c r="O138" s="140">
        <f>CFwp_Korea!O138+CFwp_US_KRW!O138</f>
        <v>0</v>
      </c>
      <c r="P138" s="140">
        <f>CFwp_Korea!P138+CFwp_US_KRW!P138</f>
        <v>0</v>
      </c>
      <c r="Q138" s="140">
        <f>CFwp_Korea!Q138+CFwp_US_KRW!Q138</f>
        <v>0</v>
      </c>
      <c r="R138" s="140">
        <f>CFwp_Korea!R138+CFwp_US_KRW!R138</f>
        <v>0</v>
      </c>
      <c r="S138" s="140">
        <f>CFwp_Korea!S138+CFwp_US_KRW!S138</f>
        <v>0</v>
      </c>
      <c r="T138" s="140">
        <f>CFwp_Korea!T138+CFwp_US_KRW!T138</f>
        <v>0</v>
      </c>
      <c r="U138" s="140">
        <f>CFwp_Korea!U138+CFwp_US_KRW!U138</f>
        <v>0</v>
      </c>
      <c r="V138" s="140">
        <f>CFwp_Korea!V138+CFwp_US_KRW!V138</f>
        <v>0</v>
      </c>
      <c r="W138" s="140">
        <f>CFwp_Korea!W138+CFwp_US_KRW!W138</f>
        <v>0</v>
      </c>
      <c r="X138" s="140">
        <f>CFwp_Korea!X138+CFwp_US_KRW!X138</f>
        <v>0</v>
      </c>
      <c r="Y138" s="140">
        <f>CFwp_Korea!Y138+CFwp_US_KRW!Y138</f>
        <v>0</v>
      </c>
      <c r="Z138" s="140">
        <f>CFwp_Korea!Z138+CFwp_US_KRW!Z138</f>
        <v>0</v>
      </c>
      <c r="AA138" s="182"/>
      <c r="AB138" s="182"/>
    </row>
    <row r="139" spans="2:28">
      <c r="B139" s="139" t="s">
        <v>267</v>
      </c>
      <c r="C139" s="139" t="s">
        <v>268</v>
      </c>
      <c r="D139" s="140">
        <f>CFwp_Korea!D139+CFwp_US_KRW!D139</f>
        <v>0</v>
      </c>
      <c r="E139" s="140">
        <f>CFwp_Korea!E139+CFwp_US_KRW!E139</f>
        <v>0</v>
      </c>
      <c r="F139" s="146">
        <f>E139-D139</f>
        <v>0</v>
      </c>
      <c r="G139" s="146">
        <f t="shared" si="25"/>
        <v>0</v>
      </c>
      <c r="H139" s="143"/>
      <c r="I139" s="140">
        <f>CFwp_Korea!I139+CFwp_US_KRW!I139</f>
        <v>0</v>
      </c>
      <c r="J139" s="140">
        <f>CFwp_Korea!J139+CFwp_US_KRW!J139</f>
        <v>0</v>
      </c>
      <c r="K139" s="140">
        <f>CFwp_Korea!K139+CFwp_US_KRW!K139</f>
        <v>0</v>
      </c>
      <c r="L139" s="140">
        <f>CFwp_Korea!L139+CFwp_US_KRW!L139</f>
        <v>0</v>
      </c>
      <c r="M139" s="140">
        <f>CFwp_Korea!M139+CFwp_US_KRW!M139</f>
        <v>0</v>
      </c>
      <c r="N139" s="140">
        <f>CFwp_Korea!N139+CFwp_US_KRW!N139</f>
        <v>0</v>
      </c>
      <c r="O139" s="140">
        <f>CFwp_Korea!O139+CFwp_US_KRW!O139</f>
        <v>0</v>
      </c>
      <c r="P139" s="140">
        <f>CFwp_Korea!P139+CFwp_US_KRW!P139</f>
        <v>0</v>
      </c>
      <c r="Q139" s="140">
        <f>CFwp_Korea!Q139+CFwp_US_KRW!Q139</f>
        <v>0</v>
      </c>
      <c r="R139" s="140">
        <f>CFwp_Korea!R139+CFwp_US_KRW!R139</f>
        <v>0</v>
      </c>
      <c r="S139" s="140">
        <f>CFwp_Korea!S139+CFwp_US_KRW!S139</f>
        <v>0</v>
      </c>
      <c r="T139" s="140">
        <f>CFwp_Korea!T139+CFwp_US_KRW!T139</f>
        <v>0</v>
      </c>
      <c r="U139" s="140">
        <f>CFwp_Korea!U139+CFwp_US_KRW!U139</f>
        <v>0</v>
      </c>
      <c r="V139" s="140">
        <f>CFwp_Korea!V139+CFwp_US_KRW!V139</f>
        <v>0</v>
      </c>
      <c r="W139" s="140">
        <f>CFwp_Korea!W139+CFwp_US_KRW!W139</f>
        <v>0</v>
      </c>
      <c r="X139" s="140">
        <f>CFwp_Korea!X139+CFwp_US_KRW!X139</f>
        <v>0</v>
      </c>
      <c r="Y139" s="140">
        <f>CFwp_Korea!Y139+CFwp_US_KRW!Y139</f>
        <v>0</v>
      </c>
      <c r="Z139" s="140">
        <f>CFwp_Korea!Z139+CFwp_US_KRW!Z139</f>
        <v>0</v>
      </c>
      <c r="AA139" s="182"/>
      <c r="AB139" s="182"/>
    </row>
    <row r="140" spans="2:28">
      <c r="B140" s="137"/>
      <c r="C140" s="137" t="s">
        <v>273</v>
      </c>
      <c r="D140" s="138">
        <f>SUM(D141)</f>
        <v>0</v>
      </c>
      <c r="E140" s="138">
        <f>SUM(E141)</f>
        <v>348063905</v>
      </c>
      <c r="F140" s="154"/>
      <c r="G140" s="154"/>
      <c r="H140" s="138"/>
      <c r="I140" s="149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>
        <v>0</v>
      </c>
      <c r="Z140" s="138">
        <v>0</v>
      </c>
      <c r="AA140" s="182"/>
      <c r="AB140" s="182"/>
    </row>
    <row r="141" spans="2:28">
      <c r="B141" s="139" t="s">
        <v>270</v>
      </c>
      <c r="C141" s="139" t="s">
        <v>595</v>
      </c>
      <c r="D141" s="140">
        <f>CFwp_Korea!D141+CFwp_US_KRW!D141</f>
        <v>0</v>
      </c>
      <c r="E141" s="140">
        <f>CFwp_Korea!E141+CFwp_US_KRW!E141</f>
        <v>348063905</v>
      </c>
      <c r="F141" s="146">
        <f>E141-D141</f>
        <v>348063905</v>
      </c>
      <c r="G141" s="146">
        <f t="shared" si="25"/>
        <v>0</v>
      </c>
      <c r="H141" s="143" t="s">
        <v>400</v>
      </c>
      <c r="I141" s="140">
        <f>CFwp_Korea!I141+CFwp_US_KRW!I141</f>
        <v>348063905</v>
      </c>
      <c r="J141" s="140">
        <f>CFwp_Korea!J141+CFwp_US_KRW!J141</f>
        <v>348063905</v>
      </c>
      <c r="K141" s="140">
        <f>CFwp_Korea!K141+CFwp_US_KRW!K141</f>
        <v>0</v>
      </c>
      <c r="L141" s="140">
        <f>CFwp_Korea!L141+CFwp_US_KRW!L141</f>
        <v>0</v>
      </c>
      <c r="M141" s="140">
        <f>CFwp_Korea!M141+CFwp_US_KRW!M141</f>
        <v>0</v>
      </c>
      <c r="N141" s="140">
        <f>CFwp_Korea!N141+CFwp_US_KRW!N141</f>
        <v>0</v>
      </c>
      <c r="O141" s="140">
        <f>CFwp_Korea!O141+CFwp_US_KRW!O141</f>
        <v>0</v>
      </c>
      <c r="P141" s="140">
        <f>CFwp_Korea!P141+CFwp_US_KRW!P141</f>
        <v>0</v>
      </c>
      <c r="Q141" s="140">
        <f>CFwp_Korea!Q141+CFwp_US_KRW!Q141</f>
        <v>0</v>
      </c>
      <c r="R141" s="140">
        <f>CFwp_Korea!R141+CFwp_US_KRW!R141</f>
        <v>0</v>
      </c>
      <c r="S141" s="140">
        <f>CFwp_Korea!S141+CFwp_US_KRW!S141</f>
        <v>0</v>
      </c>
      <c r="T141" s="140">
        <f>CFwp_Korea!T141+CFwp_US_KRW!T141</f>
        <v>0</v>
      </c>
      <c r="U141" s="140">
        <f>CFwp_Korea!U141+CFwp_US_KRW!U141</f>
        <v>0</v>
      </c>
      <c r="V141" s="140">
        <f>CFwp_Korea!V141+CFwp_US_KRW!V141</f>
        <v>0</v>
      </c>
      <c r="W141" s="140">
        <f>CFwp_Korea!W141+CFwp_US_KRW!W141</f>
        <v>0</v>
      </c>
      <c r="X141" s="140">
        <f>CFwp_Korea!X141+CFwp_US_KRW!X141</f>
        <v>0</v>
      </c>
      <c r="Y141" s="140">
        <f>CFwp_Korea!Y141+CFwp_US_KRW!Y141</f>
        <v>0</v>
      </c>
      <c r="Z141" s="140">
        <f>CFwp_Korea!Z141+CFwp_US_KRW!Z141</f>
        <v>0</v>
      </c>
      <c r="AA141" s="182"/>
      <c r="AB141" s="182"/>
    </row>
    <row r="142" spans="2:28">
      <c r="B142" s="137"/>
      <c r="C142" s="137" t="s">
        <v>597</v>
      </c>
      <c r="D142" s="138">
        <f>SUM(D143:D145)</f>
        <v>-21926013</v>
      </c>
      <c r="E142" s="138">
        <f>SUM(E143:E145)</f>
        <v>-10623822</v>
      </c>
      <c r="F142" s="154"/>
      <c r="G142" s="154"/>
      <c r="H142" s="138"/>
      <c r="I142" s="149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>
        <v>0</v>
      </c>
      <c r="Z142" s="138">
        <v>0</v>
      </c>
      <c r="AA142" s="182"/>
      <c r="AB142" s="182"/>
    </row>
    <row r="143" spans="2:28">
      <c r="B143" s="139" t="s">
        <v>275</v>
      </c>
      <c r="C143" s="139" t="s">
        <v>276</v>
      </c>
      <c r="D143" s="140">
        <f>CFwp_Korea!D143+CFwp_US_KRW!D143</f>
        <v>0</v>
      </c>
      <c r="E143" s="140">
        <f>CFwp_Korea!E143+CFwp_US_KRW!E143</f>
        <v>0</v>
      </c>
      <c r="F143" s="146">
        <f>E143-D143</f>
        <v>0</v>
      </c>
      <c r="G143" s="146">
        <f t="shared" si="25"/>
        <v>0</v>
      </c>
      <c r="H143" s="143"/>
      <c r="I143" s="140">
        <f>CFwp_Korea!I143+CFwp_US_KRW!I143</f>
        <v>0</v>
      </c>
      <c r="J143" s="140">
        <f>CFwp_Korea!J143+CFwp_US_KRW!J143</f>
        <v>0</v>
      </c>
      <c r="K143" s="140">
        <f>CFwp_Korea!K143+CFwp_US_KRW!K143</f>
        <v>0</v>
      </c>
      <c r="L143" s="140">
        <f>CFwp_Korea!L143+CFwp_US_KRW!L143</f>
        <v>0</v>
      </c>
      <c r="M143" s="140">
        <f>CFwp_Korea!M143+CFwp_US_KRW!M143</f>
        <v>0</v>
      </c>
      <c r="N143" s="140">
        <f>CFwp_Korea!N143+CFwp_US_KRW!N143</f>
        <v>0</v>
      </c>
      <c r="O143" s="140">
        <f>CFwp_Korea!O143+CFwp_US_KRW!O143</f>
        <v>0</v>
      </c>
      <c r="P143" s="140">
        <f>CFwp_Korea!P143+CFwp_US_KRW!P143</f>
        <v>0</v>
      </c>
      <c r="Q143" s="140">
        <f>CFwp_Korea!Q143+CFwp_US_KRW!Q143</f>
        <v>0</v>
      </c>
      <c r="R143" s="140">
        <f>CFwp_Korea!R143+CFwp_US_KRW!R143</f>
        <v>0</v>
      </c>
      <c r="S143" s="140">
        <f>CFwp_Korea!S143+CFwp_US_KRW!S143</f>
        <v>0</v>
      </c>
      <c r="T143" s="140">
        <f>CFwp_Korea!T143+CFwp_US_KRW!T143</f>
        <v>0</v>
      </c>
      <c r="U143" s="140">
        <f>CFwp_Korea!U143+CFwp_US_KRW!U143</f>
        <v>0</v>
      </c>
      <c r="V143" s="140">
        <f>CFwp_Korea!V143+CFwp_US_KRW!V143</f>
        <v>0</v>
      </c>
      <c r="W143" s="140">
        <f>CFwp_Korea!W143+CFwp_US_KRW!W143</f>
        <v>0</v>
      </c>
      <c r="X143" s="140">
        <f>CFwp_Korea!X143+CFwp_US_KRW!X143</f>
        <v>0</v>
      </c>
      <c r="Y143" s="140">
        <f>CFwp_Korea!Y143+CFwp_US_KRW!Y143</f>
        <v>0</v>
      </c>
      <c r="Z143" s="140">
        <f>CFwp_Korea!Z143+CFwp_US_KRW!Z143</f>
        <v>0</v>
      </c>
      <c r="AA143" s="182"/>
      <c r="AB143" s="182"/>
    </row>
    <row r="144" spans="2:28">
      <c r="B144" s="139" t="s">
        <v>279</v>
      </c>
      <c r="C144" s="139" t="s">
        <v>280</v>
      </c>
      <c r="D144" s="140">
        <f>CFwp_Korea!D144+CFwp_US_KRW!D144</f>
        <v>-21926013</v>
      </c>
      <c r="E144" s="140">
        <f>CFwp_Korea!E144+CFwp_US_KRW!E144</f>
        <v>-10623822</v>
      </c>
      <c r="F144" s="146">
        <f t="shared" ref="F144:F145" si="26">E144-D144</f>
        <v>11302191</v>
      </c>
      <c r="G144" s="146">
        <f t="shared" si="25"/>
        <v>0</v>
      </c>
      <c r="H144" s="143"/>
      <c r="I144" s="140">
        <f>CFwp_Korea!I144+CFwp_US_KRW!I144</f>
        <v>0</v>
      </c>
      <c r="J144" s="140">
        <f>CFwp_Korea!J144+CFwp_US_KRW!J144</f>
        <v>0</v>
      </c>
      <c r="K144" s="140">
        <f>CFwp_Korea!K144+CFwp_US_KRW!K144</f>
        <v>0</v>
      </c>
      <c r="L144" s="140">
        <f>CFwp_Korea!L144+CFwp_US_KRW!L144</f>
        <v>0</v>
      </c>
      <c r="M144" s="140">
        <f>CFwp_Korea!M144+CFwp_US_KRW!M144</f>
        <v>0</v>
      </c>
      <c r="N144" s="140">
        <f>CFwp_Korea!N144+CFwp_US_KRW!N144</f>
        <v>0</v>
      </c>
      <c r="O144" s="140">
        <f>CFwp_Korea!O144+CFwp_US_KRW!O144</f>
        <v>0</v>
      </c>
      <c r="P144" s="140">
        <f>CFwp_Korea!P144+CFwp_US_KRW!P144</f>
        <v>0</v>
      </c>
      <c r="Q144" s="140">
        <f>CFwp_Korea!Q144+CFwp_US_KRW!Q144</f>
        <v>0</v>
      </c>
      <c r="R144" s="140">
        <f>CFwp_Korea!R144+CFwp_US_KRW!R144</f>
        <v>0</v>
      </c>
      <c r="S144" s="140">
        <f>CFwp_Korea!S144+CFwp_US_KRW!S144</f>
        <v>0</v>
      </c>
      <c r="T144" s="140">
        <f>CFwp_Korea!T144+CFwp_US_KRW!T144</f>
        <v>0</v>
      </c>
      <c r="U144" s="140">
        <f>CFwp_Korea!U144+CFwp_US_KRW!U144</f>
        <v>0</v>
      </c>
      <c r="V144" s="140">
        <f>CFwp_Korea!V144+CFwp_US_KRW!V144</f>
        <v>0</v>
      </c>
      <c r="W144" s="140">
        <f>CFwp_Korea!W144+CFwp_US_KRW!W144</f>
        <v>0</v>
      </c>
      <c r="X144" s="140">
        <f>CFwp_Korea!X144+CFwp_US_KRW!X144</f>
        <v>0</v>
      </c>
      <c r="Y144" s="140">
        <f>CFwp_Korea!Y144+CFwp_US_KRW!Y144</f>
        <v>0</v>
      </c>
      <c r="Z144" s="140">
        <f>CFwp_Korea!Z144+CFwp_US_KRW!Z144</f>
        <v>11302191</v>
      </c>
      <c r="AA144" s="182"/>
      <c r="AB144" s="182"/>
    </row>
    <row r="145" spans="2:28">
      <c r="B145" s="139" t="s">
        <v>281</v>
      </c>
      <c r="C145" s="139" t="s">
        <v>282</v>
      </c>
      <c r="D145" s="140">
        <f>CFwp_Korea!D145+CFwp_US_KRW!D145</f>
        <v>0</v>
      </c>
      <c r="E145" s="140">
        <f>CFwp_Korea!E145+CFwp_US_KRW!E145</f>
        <v>0</v>
      </c>
      <c r="F145" s="146">
        <f t="shared" si="26"/>
        <v>0</v>
      </c>
      <c r="G145" s="146">
        <f t="shared" si="25"/>
        <v>0</v>
      </c>
      <c r="H145" s="143"/>
      <c r="I145" s="140">
        <f>CFwp_Korea!I145+CFwp_US_KRW!I145</f>
        <v>0</v>
      </c>
      <c r="J145" s="140">
        <f>CFwp_Korea!J145+CFwp_US_KRW!J145</f>
        <v>0</v>
      </c>
      <c r="K145" s="140">
        <f>CFwp_Korea!K145+CFwp_US_KRW!K145</f>
        <v>0</v>
      </c>
      <c r="L145" s="140">
        <f>CFwp_Korea!L145+CFwp_US_KRW!L145</f>
        <v>0</v>
      </c>
      <c r="M145" s="140">
        <f>CFwp_Korea!M145+CFwp_US_KRW!M145</f>
        <v>0</v>
      </c>
      <c r="N145" s="140">
        <f>CFwp_Korea!N145+CFwp_US_KRW!N145</f>
        <v>0</v>
      </c>
      <c r="O145" s="140">
        <f>CFwp_Korea!O145+CFwp_US_KRW!O145</f>
        <v>0</v>
      </c>
      <c r="P145" s="140">
        <f>CFwp_Korea!P145+CFwp_US_KRW!P145</f>
        <v>0</v>
      </c>
      <c r="Q145" s="140">
        <f>CFwp_Korea!Q145+CFwp_US_KRW!Q145</f>
        <v>0</v>
      </c>
      <c r="R145" s="140">
        <f>CFwp_Korea!R145+CFwp_US_KRW!R145</f>
        <v>0</v>
      </c>
      <c r="S145" s="140">
        <f>CFwp_Korea!S145+CFwp_US_KRW!S145</f>
        <v>0</v>
      </c>
      <c r="T145" s="140">
        <f>CFwp_Korea!T145+CFwp_US_KRW!T145</f>
        <v>0</v>
      </c>
      <c r="U145" s="140">
        <f>CFwp_Korea!U145+CFwp_US_KRW!U145</f>
        <v>0</v>
      </c>
      <c r="V145" s="140">
        <f>CFwp_Korea!V145+CFwp_US_KRW!V145</f>
        <v>0</v>
      </c>
      <c r="W145" s="140">
        <f>CFwp_Korea!W145+CFwp_US_KRW!W145</f>
        <v>0</v>
      </c>
      <c r="X145" s="140">
        <f>CFwp_Korea!X145+CFwp_US_KRW!X145</f>
        <v>0</v>
      </c>
      <c r="Y145" s="140">
        <f>CFwp_Korea!Y145+CFwp_US_KRW!Y145</f>
        <v>0</v>
      </c>
      <c r="Z145" s="140">
        <f>CFwp_Korea!Z145+CFwp_US_KRW!Z145</f>
        <v>0</v>
      </c>
      <c r="AA145" s="182"/>
      <c r="AB145" s="182"/>
    </row>
    <row r="146" spans="2:28">
      <c r="B146" s="137"/>
      <c r="C146" s="137" t="s">
        <v>287</v>
      </c>
      <c r="D146" s="138">
        <f>SUM(D147:D151)</f>
        <v>52150657983</v>
      </c>
      <c r="E146" s="138">
        <f>SUM(E147:E151)</f>
        <v>465264143263.02502</v>
      </c>
      <c r="F146" s="154"/>
      <c r="G146" s="154"/>
      <c r="H146" s="138"/>
      <c r="I146" s="149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>
        <v>0</v>
      </c>
      <c r="Z146" s="138">
        <v>0</v>
      </c>
      <c r="AA146" s="182"/>
      <c r="AB146" s="182"/>
    </row>
    <row r="147" spans="2:28">
      <c r="B147" s="139" t="s">
        <v>284</v>
      </c>
      <c r="C147" s="139" t="s">
        <v>285</v>
      </c>
      <c r="D147" s="140">
        <f>CFwp_Korea!D147+CFwp_US_KRW!D147</f>
        <v>265000000</v>
      </c>
      <c r="E147" s="140">
        <f>CFwp_Korea!E147+CFwp_US_KRW!E147</f>
        <v>265000000</v>
      </c>
      <c r="F147" s="146">
        <f>E147-D147</f>
        <v>0</v>
      </c>
      <c r="G147" s="146">
        <f t="shared" si="25"/>
        <v>0</v>
      </c>
      <c r="H147" s="143"/>
      <c r="I147" s="140">
        <f>CFwp_Korea!I147+CFwp_US_KRW!I147</f>
        <v>0</v>
      </c>
      <c r="J147" s="140">
        <f>CFwp_Korea!J147+CFwp_US_KRW!J147</f>
        <v>0</v>
      </c>
      <c r="K147" s="140">
        <f>CFwp_Korea!K147+CFwp_US_KRW!K147</f>
        <v>0</v>
      </c>
      <c r="L147" s="140">
        <f>CFwp_Korea!L147+CFwp_US_KRW!L147</f>
        <v>0</v>
      </c>
      <c r="M147" s="140">
        <f>CFwp_Korea!M147+CFwp_US_KRW!M147</f>
        <v>0</v>
      </c>
      <c r="N147" s="140">
        <f>CFwp_Korea!N147+CFwp_US_KRW!N147</f>
        <v>0</v>
      </c>
      <c r="O147" s="140">
        <f>CFwp_Korea!O147+CFwp_US_KRW!O147</f>
        <v>0</v>
      </c>
      <c r="P147" s="140">
        <f>CFwp_Korea!P147+CFwp_US_KRW!P147</f>
        <v>0</v>
      </c>
      <c r="Q147" s="140">
        <f>CFwp_Korea!Q147+CFwp_US_KRW!Q147</f>
        <v>0</v>
      </c>
      <c r="R147" s="140">
        <f>CFwp_Korea!R147+CFwp_US_KRW!R147</f>
        <v>0</v>
      </c>
      <c r="S147" s="140">
        <f>CFwp_Korea!S147+CFwp_US_KRW!S147</f>
        <v>0</v>
      </c>
      <c r="T147" s="140">
        <f>CFwp_Korea!T147+CFwp_US_KRW!T147</f>
        <v>0</v>
      </c>
      <c r="U147" s="140">
        <f>CFwp_Korea!U147+CFwp_US_KRW!U147</f>
        <v>0</v>
      </c>
      <c r="V147" s="140">
        <f>CFwp_Korea!V147+CFwp_US_KRW!V147</f>
        <v>0</v>
      </c>
      <c r="W147" s="140">
        <f>CFwp_Korea!W147+CFwp_US_KRW!W147</f>
        <v>0</v>
      </c>
      <c r="X147" s="140">
        <f>CFwp_Korea!X147+CFwp_US_KRW!X147</f>
        <v>0</v>
      </c>
      <c r="Y147" s="140">
        <f>CFwp_Korea!Y147+CFwp_US_KRW!Y147</f>
        <v>0</v>
      </c>
      <c r="Z147" s="140">
        <f>CFwp_Korea!Z147+CFwp_US_KRW!Z147</f>
        <v>0</v>
      </c>
      <c r="AA147" s="182"/>
      <c r="AB147" s="182"/>
    </row>
    <row r="148" spans="2:28">
      <c r="B148" s="139" t="s">
        <v>514</v>
      </c>
      <c r="C148" s="139" t="s">
        <v>515</v>
      </c>
      <c r="D148" s="140">
        <f>CFwp_Korea!D148+CFwp_US_KRW!D148</f>
        <v>0</v>
      </c>
      <c r="E148" s="140">
        <f>CFwp_Korea!E148+CFwp_US_KRW!E148</f>
        <v>0</v>
      </c>
      <c r="F148" s="146">
        <f>E148-D148</f>
        <v>0</v>
      </c>
      <c r="G148" s="146">
        <f t="shared" si="25"/>
        <v>0</v>
      </c>
      <c r="H148" s="143"/>
      <c r="I148" s="140">
        <f>CFwp_Korea!I148+CFwp_US_KRW!I148</f>
        <v>0</v>
      </c>
      <c r="J148" s="140">
        <f>CFwp_Korea!J148+CFwp_US_KRW!J148</f>
        <v>0</v>
      </c>
      <c r="K148" s="140">
        <f>CFwp_Korea!K148+CFwp_US_KRW!K148</f>
        <v>0</v>
      </c>
      <c r="L148" s="140">
        <f>CFwp_Korea!L148+CFwp_US_KRW!L148</f>
        <v>0</v>
      </c>
      <c r="M148" s="140">
        <f>CFwp_Korea!M148+CFwp_US_KRW!M148</f>
        <v>0</v>
      </c>
      <c r="N148" s="140">
        <f>CFwp_Korea!N148+CFwp_US_KRW!N148</f>
        <v>0</v>
      </c>
      <c r="O148" s="140">
        <f>CFwp_Korea!O148+CFwp_US_KRW!O148</f>
        <v>0</v>
      </c>
      <c r="P148" s="140">
        <f>CFwp_Korea!P148+CFwp_US_KRW!P148</f>
        <v>0</v>
      </c>
      <c r="Q148" s="140">
        <f>CFwp_Korea!Q148+CFwp_US_KRW!Q148</f>
        <v>0</v>
      </c>
      <c r="R148" s="140">
        <f>CFwp_Korea!R148+CFwp_US_KRW!R148</f>
        <v>0</v>
      </c>
      <c r="S148" s="140">
        <f>CFwp_Korea!S148+CFwp_US_KRW!S148</f>
        <v>0</v>
      </c>
      <c r="T148" s="140">
        <f>CFwp_Korea!T148+CFwp_US_KRW!T148</f>
        <v>0</v>
      </c>
      <c r="U148" s="140">
        <f>CFwp_Korea!U148+CFwp_US_KRW!U148</f>
        <v>0</v>
      </c>
      <c r="V148" s="140">
        <f>CFwp_Korea!V148+CFwp_US_KRW!V148</f>
        <v>0</v>
      </c>
      <c r="W148" s="140">
        <f>CFwp_Korea!W148+CFwp_US_KRW!W148</f>
        <v>0</v>
      </c>
      <c r="X148" s="140">
        <f>CFwp_Korea!X148+CFwp_US_KRW!X148</f>
        <v>0</v>
      </c>
      <c r="Y148" s="140">
        <f>CFwp_Korea!Y148+CFwp_US_KRW!Y148</f>
        <v>0</v>
      </c>
      <c r="Z148" s="140">
        <f>CFwp_Korea!Z148+CFwp_US_KRW!Z148</f>
        <v>0</v>
      </c>
      <c r="AA148" s="182"/>
      <c r="AB148" s="182"/>
    </row>
    <row r="149" spans="2:28">
      <c r="B149" s="139" t="s">
        <v>288</v>
      </c>
      <c r="C149" s="139" t="s">
        <v>289</v>
      </c>
      <c r="D149" s="140">
        <f>CFwp_Korea!D149+CFwp_US_KRW!D149</f>
        <v>0</v>
      </c>
      <c r="E149" s="140">
        <f>CFwp_Korea!E149+CFwp_US_KRW!E149</f>
        <v>0</v>
      </c>
      <c r="F149" s="146">
        <f>E149-D149</f>
        <v>0</v>
      </c>
      <c r="G149" s="146">
        <f t="shared" si="25"/>
        <v>0</v>
      </c>
      <c r="H149" s="143"/>
      <c r="I149" s="140">
        <f>CFwp_Korea!I149+CFwp_US_KRW!I149</f>
        <v>0</v>
      </c>
      <c r="J149" s="140">
        <f>CFwp_Korea!J149+CFwp_US_KRW!J149</f>
        <v>0</v>
      </c>
      <c r="K149" s="140">
        <f>CFwp_Korea!K149+CFwp_US_KRW!K149</f>
        <v>0</v>
      </c>
      <c r="L149" s="140">
        <f>CFwp_Korea!L149+CFwp_US_KRW!L149</f>
        <v>0</v>
      </c>
      <c r="M149" s="140">
        <f>CFwp_Korea!M149+CFwp_US_KRW!M149</f>
        <v>0</v>
      </c>
      <c r="N149" s="140">
        <f>CFwp_Korea!N149+CFwp_US_KRW!N149</f>
        <v>0</v>
      </c>
      <c r="O149" s="140">
        <f>CFwp_Korea!O149+CFwp_US_KRW!O149</f>
        <v>0</v>
      </c>
      <c r="P149" s="140">
        <f>CFwp_Korea!P149+CFwp_US_KRW!P149</f>
        <v>0</v>
      </c>
      <c r="Q149" s="140">
        <f>CFwp_Korea!Q149+CFwp_US_KRW!Q149</f>
        <v>0</v>
      </c>
      <c r="R149" s="140">
        <f>CFwp_Korea!R149+CFwp_US_KRW!R149</f>
        <v>0</v>
      </c>
      <c r="S149" s="140">
        <f>CFwp_Korea!S149+CFwp_US_KRW!S149</f>
        <v>0</v>
      </c>
      <c r="T149" s="140">
        <f>CFwp_Korea!T149+CFwp_US_KRW!T149</f>
        <v>0</v>
      </c>
      <c r="U149" s="140">
        <f>CFwp_Korea!U149+CFwp_US_KRW!U149</f>
        <v>0</v>
      </c>
      <c r="V149" s="140">
        <f>CFwp_Korea!V149+CFwp_US_KRW!V149</f>
        <v>0</v>
      </c>
      <c r="W149" s="140">
        <f>CFwp_Korea!W149+CFwp_US_KRW!W149</f>
        <v>0</v>
      </c>
      <c r="X149" s="140">
        <f>CFwp_Korea!X149+CFwp_US_KRW!X149</f>
        <v>0</v>
      </c>
      <c r="Y149" s="140">
        <f>CFwp_Korea!Y149+CFwp_US_KRW!Y149</f>
        <v>0</v>
      </c>
      <c r="Z149" s="140">
        <f>CFwp_Korea!Z149+CFwp_US_KRW!Z149</f>
        <v>0</v>
      </c>
      <c r="AA149" s="182"/>
      <c r="AB149" s="182"/>
    </row>
    <row r="150" spans="2:28">
      <c r="B150" s="139" t="s">
        <v>290</v>
      </c>
      <c r="C150" s="139" t="s">
        <v>598</v>
      </c>
      <c r="D150" s="140">
        <f>CFwp_Korea!D150+CFwp_US_KRW!D150</f>
        <v>20772475267</v>
      </c>
      <c r="E150" s="140">
        <f>CFwp_Korea!E150+CFwp_US_KRW!E150</f>
        <v>413113485280.02502</v>
      </c>
      <c r="F150" s="146">
        <f>E150-D150</f>
        <v>392341010013.02502</v>
      </c>
      <c r="G150" s="146">
        <f t="shared" si="25"/>
        <v>20878351446</v>
      </c>
      <c r="H150" s="143" t="s">
        <v>291</v>
      </c>
      <c r="I150" s="140">
        <f>CFwp_Korea!I150+CFwp_US_KRW!I150</f>
        <v>413114203131.02502</v>
      </c>
      <c r="J150" s="140">
        <f>CFwp_Korea!J150+CFwp_US_KRW!J150</f>
        <v>413114203131.02502</v>
      </c>
      <c r="K150" s="140">
        <f>CFwp_Korea!K150+CFwp_US_KRW!K150</f>
        <v>0</v>
      </c>
      <c r="L150" s="140">
        <f>CFwp_Korea!L150+CFwp_US_KRW!L150</f>
        <v>0</v>
      </c>
      <c r="M150" s="140">
        <f>CFwp_Korea!M150+CFwp_US_KRW!M150</f>
        <v>0</v>
      </c>
      <c r="N150" s="140">
        <f>CFwp_Korea!N150+CFwp_US_KRW!N150</f>
        <v>0</v>
      </c>
      <c r="O150" s="140">
        <f>CFwp_Korea!O150+CFwp_US_KRW!O150</f>
        <v>0</v>
      </c>
      <c r="P150" s="140">
        <f>CFwp_Korea!P150+CFwp_US_KRW!P150</f>
        <v>0</v>
      </c>
      <c r="Q150" s="140">
        <f>CFwp_Korea!Q150+CFwp_US_KRW!Q150</f>
        <v>0</v>
      </c>
      <c r="R150" s="140">
        <f>CFwp_Korea!R150+CFwp_US_KRW!R150</f>
        <v>0</v>
      </c>
      <c r="S150" s="140">
        <f>CFwp_Korea!S150+CFwp_US_KRW!S150</f>
        <v>0</v>
      </c>
      <c r="T150" s="140">
        <f>CFwp_Korea!T150+CFwp_US_KRW!T150</f>
        <v>0</v>
      </c>
      <c r="U150" s="140">
        <f>CFwp_Korea!U150+CFwp_US_KRW!U150</f>
        <v>0</v>
      </c>
      <c r="V150" s="140">
        <f>CFwp_Korea!V150+CFwp_US_KRW!V150</f>
        <v>0</v>
      </c>
      <c r="W150" s="140">
        <f>CFwp_Korea!W150+CFwp_US_KRW!W150</f>
        <v>0</v>
      </c>
      <c r="X150" s="140">
        <f>CFwp_Korea!X150+CFwp_US_KRW!X150</f>
        <v>0</v>
      </c>
      <c r="Y150" s="140">
        <f>CFwp_Korea!Y150+CFwp_US_KRW!Y150</f>
        <v>0</v>
      </c>
      <c r="Z150" s="140">
        <f>CFwp_Korea!Z150+CFwp_US_KRW!Z150</f>
        <v>105158328</v>
      </c>
      <c r="AA150" s="182"/>
      <c r="AB150" s="182"/>
    </row>
    <row r="151" spans="2:28">
      <c r="B151" s="139" t="s">
        <v>292</v>
      </c>
      <c r="C151" s="139" t="s">
        <v>293</v>
      </c>
      <c r="D151" s="140">
        <f>CFwp_Korea!D151+CFwp_US_KRW!D151</f>
        <v>31113182716</v>
      </c>
      <c r="E151" s="140">
        <f>CFwp_Korea!E151+CFwp_US_KRW!E151</f>
        <v>51885657983</v>
      </c>
      <c r="F151" s="146">
        <f>E151-D151</f>
        <v>20772475267</v>
      </c>
      <c r="G151" s="146">
        <f t="shared" si="25"/>
        <v>-20878351446</v>
      </c>
      <c r="H151" s="143"/>
      <c r="I151" s="140">
        <f>CFwp_Korea!I151+CFwp_US_KRW!I151</f>
        <v>0</v>
      </c>
      <c r="J151" s="140">
        <f>CFwp_Korea!J151+CFwp_US_KRW!J151</f>
        <v>0</v>
      </c>
      <c r="K151" s="140">
        <f>CFwp_Korea!K151+CFwp_US_KRW!K151</f>
        <v>0</v>
      </c>
      <c r="L151" s="140">
        <f>CFwp_Korea!L151+CFwp_US_KRW!L151</f>
        <v>0</v>
      </c>
      <c r="M151" s="140">
        <f>CFwp_Korea!M151+CFwp_US_KRW!M151</f>
        <v>0</v>
      </c>
      <c r="N151" s="140">
        <f>CFwp_Korea!N151+CFwp_US_KRW!N151</f>
        <v>0</v>
      </c>
      <c r="O151" s="140">
        <f>CFwp_Korea!O151+CFwp_US_KRW!O151</f>
        <v>0</v>
      </c>
      <c r="P151" s="140">
        <f>CFwp_Korea!P151+CFwp_US_KRW!P151</f>
        <v>0</v>
      </c>
      <c r="Q151" s="140">
        <f>CFwp_Korea!Q151+CFwp_US_KRW!Q151</f>
        <v>0</v>
      </c>
      <c r="R151" s="140">
        <f>CFwp_Korea!R151+CFwp_US_KRW!R151</f>
        <v>0</v>
      </c>
      <c r="S151" s="140">
        <f>CFwp_Korea!S151+CFwp_US_KRW!S151</f>
        <v>0</v>
      </c>
      <c r="T151" s="140">
        <f>CFwp_Korea!T151+CFwp_US_KRW!T151</f>
        <v>0</v>
      </c>
      <c r="U151" s="140">
        <f>CFwp_Korea!U151+CFwp_US_KRW!U151</f>
        <v>0</v>
      </c>
      <c r="V151" s="140">
        <f>CFwp_Korea!V151+CFwp_US_KRW!V151</f>
        <v>0</v>
      </c>
      <c r="W151" s="140">
        <f>CFwp_Korea!W151+CFwp_US_KRW!W151</f>
        <v>0</v>
      </c>
      <c r="X151" s="140">
        <f>CFwp_Korea!X151+CFwp_US_KRW!X151</f>
        <v>0</v>
      </c>
      <c r="Y151" s="140">
        <f>CFwp_Korea!Y151+CFwp_US_KRW!Y151</f>
        <v>105876179</v>
      </c>
      <c r="Z151" s="140">
        <f>CFwp_Korea!Z151+CFwp_US_KRW!Z151</f>
        <v>0</v>
      </c>
    </row>
    <row r="152" spans="2:28">
      <c r="B152" s="134"/>
      <c r="C152" s="134" t="s">
        <v>304</v>
      </c>
      <c r="D152" s="136">
        <f>D133+D136+D140+D146+D142</f>
        <v>111963919523</v>
      </c>
      <c r="E152" s="136">
        <f>E133+E136+E140+E146+E142</f>
        <v>525982870899.02502</v>
      </c>
      <c r="F152" s="152"/>
      <c r="G152" s="152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</row>
    <row r="153" spans="2:28">
      <c r="B153" s="134"/>
      <c r="C153" s="134" t="s">
        <v>305</v>
      </c>
      <c r="D153" s="136">
        <f>D152+D131</f>
        <v>132247355835</v>
      </c>
      <c r="E153" s="136">
        <f>E152+E131</f>
        <v>713556418854.02502</v>
      </c>
      <c r="F153" s="152"/>
      <c r="G153" s="152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</row>
    <row r="154" spans="2:28">
      <c r="D154" s="238">
        <f>D153-D100</f>
        <v>0</v>
      </c>
      <c r="E154" s="238">
        <f>E153-E100</f>
        <v>-544000000</v>
      </c>
      <c r="I154" s="115"/>
      <c r="J154" s="115">
        <f>SUM(J10:J151)</f>
        <v>562119166367.02502</v>
      </c>
      <c r="K154" s="115">
        <f>SUM(K10:K151)</f>
        <v>600976388.02499998</v>
      </c>
      <c r="L154" s="115">
        <f t="shared" ref="L154:Q154" si="27">SUM(L10:L151)</f>
        <v>-320470708167</v>
      </c>
      <c r="M154" s="115">
        <f t="shared" si="27"/>
        <v>-1121183605</v>
      </c>
      <c r="N154" s="115">
        <f t="shared" si="27"/>
        <v>-321591891772</v>
      </c>
      <c r="O154" s="115">
        <f t="shared" si="27"/>
        <v>8185502867</v>
      </c>
      <c r="P154" s="115">
        <f>SUM(P10:P151)</f>
        <v>120124694005</v>
      </c>
      <c r="Q154" s="115">
        <f t="shared" si="27"/>
        <v>966100000</v>
      </c>
      <c r="R154" s="115">
        <f>SUM(R10:R151)</f>
        <v>12084827840</v>
      </c>
      <c r="T154" s="115">
        <f>SUM(T10:T151)</f>
        <v>2301399152</v>
      </c>
      <c r="V154" s="115">
        <f>SUM(V10:V151)</f>
        <v>2301399152</v>
      </c>
      <c r="W154" s="115">
        <f>SUM(W10:W151)</f>
        <v>0</v>
      </c>
      <c r="X154" s="115">
        <f>SUM(X10:X151)</f>
        <v>0</v>
      </c>
    </row>
    <row r="155" spans="2:28">
      <c r="I155" s="115"/>
      <c r="J155" s="115">
        <f>J154-J150</f>
        <v>149004963236</v>
      </c>
      <c r="X155" s="115"/>
    </row>
    <row r="156" spans="2:28">
      <c r="I156" s="115"/>
      <c r="X156" s="115"/>
    </row>
    <row r="157" spans="2:28">
      <c r="B157" s="156"/>
      <c r="C157" s="156"/>
      <c r="D157" s="156" t="s">
        <v>599</v>
      </c>
      <c r="E157" s="157" t="s">
        <v>600</v>
      </c>
      <c r="H157" s="158" t="s">
        <v>713</v>
      </c>
      <c r="I157" s="159" t="s">
        <v>410</v>
      </c>
      <c r="J157" s="160" t="s">
        <v>428</v>
      </c>
      <c r="L157" s="114" t="s">
        <v>410</v>
      </c>
      <c r="M157" s="114" t="s">
        <v>428</v>
      </c>
      <c r="O157" s="114"/>
      <c r="P157" s="114" t="s">
        <v>714</v>
      </c>
      <c r="Q157" s="114" t="s">
        <v>306</v>
      </c>
      <c r="R157" s="114" t="s">
        <v>715</v>
      </c>
      <c r="X157" s="115"/>
    </row>
    <row r="158" spans="2:28">
      <c r="B158" s="114" t="s">
        <v>607</v>
      </c>
      <c r="D158" s="161">
        <f>D159+SUM(D163:D166)</f>
        <v>239926298207</v>
      </c>
      <c r="E158" s="288"/>
      <c r="F158" s="238"/>
      <c r="G158" s="163"/>
      <c r="H158" s="139" t="s">
        <v>18</v>
      </c>
      <c r="I158" s="140">
        <f>CFwp_Korea!I158+CFwp_US_KRW!I159</f>
        <v>0</v>
      </c>
      <c r="J158" s="140">
        <f>CFwp_Korea!J158+CFwp_US_KRW!J159</f>
        <v>384991529</v>
      </c>
      <c r="K158" s="114" t="s">
        <v>608</v>
      </c>
      <c r="L158" s="163">
        <f>I158</f>
        <v>0</v>
      </c>
      <c r="M158" s="163">
        <f>J158</f>
        <v>384991529</v>
      </c>
      <c r="O158" s="114" t="s">
        <v>441</v>
      </c>
      <c r="P158" s="164">
        <v>83347124</v>
      </c>
      <c r="Q158" s="164">
        <v>83347124</v>
      </c>
      <c r="R158" s="164">
        <v>0</v>
      </c>
      <c r="X158" s="115"/>
    </row>
    <row r="159" spans="2:28">
      <c r="B159" s="114" t="s">
        <v>609</v>
      </c>
      <c r="D159" s="161">
        <f>SUM(D160:D162)</f>
        <v>241047481812</v>
      </c>
      <c r="E159" s="288"/>
      <c r="F159" s="238"/>
      <c r="G159" s="163"/>
      <c r="H159" s="139" t="s">
        <v>34</v>
      </c>
      <c r="I159" s="140">
        <f>CFwp_Korea!I159+CFwp_US_KRW!I160</f>
        <v>0</v>
      </c>
      <c r="J159" s="140">
        <f>CFwp_Korea!J159+CFwp_US_KRW!J160</f>
        <v>3249273607</v>
      </c>
      <c r="K159" s="114" t="s">
        <v>34</v>
      </c>
      <c r="L159" s="163">
        <f t="shared" ref="L159:L162" si="28">I159</f>
        <v>0</v>
      </c>
      <c r="M159" s="163">
        <f t="shared" ref="M159:M162" si="29">J159</f>
        <v>3249273607</v>
      </c>
      <c r="O159" s="114" t="s">
        <v>448</v>
      </c>
      <c r="P159" s="164">
        <v>251878308</v>
      </c>
      <c r="Q159" s="164">
        <v>251878308</v>
      </c>
      <c r="R159" s="164">
        <v>0</v>
      </c>
      <c r="X159" s="115"/>
    </row>
    <row r="160" spans="2:28">
      <c r="B160" s="114" t="s">
        <v>610</v>
      </c>
      <c r="D160" s="115">
        <f>I150</f>
        <v>413114203131.02502</v>
      </c>
      <c r="E160" s="288">
        <f>공시CF!D7</f>
        <v>413114203131.02502</v>
      </c>
      <c r="F160" s="238">
        <f>D160-E160</f>
        <v>0</v>
      </c>
      <c r="G160" s="163"/>
      <c r="H160" s="139" t="s">
        <v>52</v>
      </c>
      <c r="I160" s="140">
        <f>CFwp_Korea!I160+CFwp_US_KRW!I161</f>
        <v>0</v>
      </c>
      <c r="J160" s="140">
        <f>CFwp_Korea!J160+CFwp_US_KRW!J161</f>
        <v>1635565</v>
      </c>
      <c r="K160" s="114" t="s">
        <v>52</v>
      </c>
      <c r="L160" s="163">
        <f t="shared" si="28"/>
        <v>0</v>
      </c>
      <c r="M160" s="163">
        <f t="shared" si="29"/>
        <v>1635565</v>
      </c>
      <c r="X160" s="115"/>
    </row>
    <row r="161" spans="2:29">
      <c r="B161" s="114" t="s">
        <v>612</v>
      </c>
      <c r="D161" s="115">
        <f>J154-K154-J150</f>
        <v>148403986847.97498</v>
      </c>
      <c r="E161" s="288">
        <f>공시CF!D8</f>
        <v>148403986848</v>
      </c>
      <c r="F161" s="238">
        <f>D161-E161</f>
        <v>-2.50244140625E-2</v>
      </c>
      <c r="G161" s="163"/>
      <c r="H161" s="139" t="s">
        <v>189</v>
      </c>
      <c r="I161" s="140">
        <f>CFwp_Korea!I161+CFwp_US_KRW!I162</f>
        <v>18069188</v>
      </c>
      <c r="J161" s="140">
        <f>CFwp_Korea!J161+CFwp_US_KRW!J162</f>
        <v>0</v>
      </c>
      <c r="K161" s="114" t="s">
        <v>189</v>
      </c>
      <c r="L161" s="163">
        <f t="shared" si="28"/>
        <v>18069188</v>
      </c>
      <c r="M161" s="163">
        <f t="shared" si="29"/>
        <v>0</v>
      </c>
      <c r="X161" s="115"/>
    </row>
    <row r="162" spans="2:29">
      <c r="B162" s="114" t="s">
        <v>613</v>
      </c>
      <c r="D162" s="115">
        <f>N154-SUM(D163:D166)</f>
        <v>-320470708167</v>
      </c>
      <c r="E162" s="288"/>
      <c r="F162" s="238"/>
      <c r="G162" s="163"/>
      <c r="H162" s="139" t="s">
        <v>872</v>
      </c>
      <c r="I162" s="140">
        <f>CFwp_Korea!I162+CFwp_US_KRW!I163</f>
        <v>105998</v>
      </c>
      <c r="J162" s="140">
        <f>CFwp_Korea!J162+CFwp_US_KRW!J163</f>
        <v>0</v>
      </c>
      <c r="K162" s="114" t="s">
        <v>195</v>
      </c>
      <c r="L162" s="163">
        <f t="shared" si="28"/>
        <v>105998</v>
      </c>
      <c r="M162" s="163">
        <f t="shared" si="29"/>
        <v>0</v>
      </c>
    </row>
    <row r="163" spans="2:29">
      <c r="B163" s="114" t="s">
        <v>614</v>
      </c>
      <c r="D163" s="115">
        <f>M24</f>
        <v>37557679</v>
      </c>
      <c r="E163" s="288"/>
      <c r="F163" s="238"/>
      <c r="G163" s="163"/>
      <c r="H163" s="165" t="s">
        <v>716</v>
      </c>
      <c r="I163" s="166">
        <f>SUM(I158:I162)</f>
        <v>18175186</v>
      </c>
      <c r="J163" s="166">
        <f>SUM(J158:J162)</f>
        <v>3635900701</v>
      </c>
      <c r="L163" s="166">
        <f>SUM(L158:L162)</f>
        <v>18175186</v>
      </c>
      <c r="M163" s="166">
        <f>SUM(M158:M162)</f>
        <v>3635900701</v>
      </c>
    </row>
    <row r="164" spans="2:29">
      <c r="B164" s="114" t="s">
        <v>616</v>
      </c>
      <c r="D164" s="115">
        <f>M115</f>
        <v>-165715444</v>
      </c>
      <c r="E164" s="288"/>
      <c r="F164" s="238"/>
      <c r="G164" s="163"/>
      <c r="H164" s="114" t="s">
        <v>717</v>
      </c>
      <c r="I164" s="115">
        <f>'C.연결조정 정산표_20'!F209</f>
        <v>18175186</v>
      </c>
      <c r="J164" s="115">
        <f>'C.연결조정 정산표_20'!F218</f>
        <v>3635900701</v>
      </c>
      <c r="L164" s="164">
        <v>0</v>
      </c>
      <c r="M164" s="164">
        <v>0</v>
      </c>
    </row>
    <row r="165" spans="2:29">
      <c r="B165" s="114" t="s">
        <v>618</v>
      </c>
      <c r="D165" s="115"/>
      <c r="E165" s="288"/>
      <c r="F165" s="238"/>
      <c r="G165" s="163"/>
      <c r="H165" s="114" t="s">
        <v>718</v>
      </c>
      <c r="I165" s="167">
        <f>I163-I164</f>
        <v>0</v>
      </c>
      <c r="J165" s="167">
        <f>J163-J164</f>
        <v>0</v>
      </c>
    </row>
    <row r="166" spans="2:29">
      <c r="B166" s="114" t="s">
        <v>620</v>
      </c>
      <c r="D166" s="115">
        <f>M114+M130</f>
        <v>-993025840</v>
      </c>
      <c r="E166" s="288"/>
      <c r="F166" s="238"/>
      <c r="G166" s="163"/>
    </row>
    <row r="167" spans="2:29">
      <c r="D167" s="115"/>
      <c r="E167" s="288"/>
      <c r="F167" s="238"/>
      <c r="G167" s="163"/>
    </row>
    <row r="168" spans="2:29">
      <c r="B168" s="114" t="s">
        <v>621</v>
      </c>
      <c r="D168" s="115">
        <f>D169-D170</f>
        <v>-111939191138</v>
      </c>
      <c r="E168" s="288"/>
      <c r="F168" s="238"/>
      <c r="G168" s="163"/>
      <c r="H168" s="160" t="s">
        <v>356</v>
      </c>
      <c r="I168" s="160" t="s">
        <v>719</v>
      </c>
      <c r="J168" s="160" t="s">
        <v>720</v>
      </c>
      <c r="K168" s="160" t="s">
        <v>721</v>
      </c>
      <c r="L168" s="160" t="s">
        <v>716</v>
      </c>
    </row>
    <row r="169" spans="2:29">
      <c r="B169" s="114" t="s">
        <v>627</v>
      </c>
      <c r="D169" s="115">
        <f>O154+W10</f>
        <v>8185502867</v>
      </c>
      <c r="E169" s="288"/>
      <c r="F169" s="238"/>
      <c r="G169" s="163"/>
      <c r="H169" s="146" t="s">
        <v>131</v>
      </c>
      <c r="I169" s="140">
        <f>CFwp_Korea!I169+CFwp_US_KRW!I170</f>
        <v>0</v>
      </c>
      <c r="J169" s="169">
        <f>CFwp_Korea!J169+CFwp_US_KRW!J170</f>
        <v>294964997</v>
      </c>
      <c r="K169" s="169">
        <f>CFwp_Korea!K169+CFwp_US_KRW!K170</f>
        <v>0</v>
      </c>
      <c r="L169" s="140">
        <f>CFwp_Korea!L169+CFwp_US_KRW!L170</f>
        <v>294964997</v>
      </c>
    </row>
    <row r="170" spans="2:29">
      <c r="B170" s="114" t="s">
        <v>628</v>
      </c>
      <c r="D170" s="115">
        <f>P154</f>
        <v>120124694005</v>
      </c>
      <c r="E170" s="288"/>
      <c r="F170" s="238"/>
      <c r="G170" s="163"/>
      <c r="H170" s="146" t="s">
        <v>873</v>
      </c>
      <c r="I170" s="140">
        <f>CFwp_Korea!I170+CFwp_US_KRW!I171</f>
        <v>0</v>
      </c>
      <c r="J170" s="169">
        <f>CFwp_Korea!J170+CFwp_US_KRW!J171</f>
        <v>1182084</v>
      </c>
      <c r="K170" s="169">
        <f>CFwp_Korea!K170+CFwp_US_KRW!K171</f>
        <v>0</v>
      </c>
      <c r="L170" s="140">
        <f>CFwp_Korea!L170+CFwp_US_KRW!L171</f>
        <v>1182084</v>
      </c>
    </row>
    <row r="171" spans="2:29">
      <c r="D171" s="115"/>
      <c r="E171" s="288"/>
      <c r="F171" s="238"/>
      <c r="G171" s="163"/>
      <c r="H171" s="146" t="s">
        <v>139</v>
      </c>
      <c r="I171" s="140">
        <f>CFwp_Korea!I171+CFwp_US_KRW!I172</f>
        <v>0</v>
      </c>
      <c r="J171" s="169">
        <f>CFwp_Korea!J171+CFwp_US_KRW!J172</f>
        <v>987680138</v>
      </c>
      <c r="K171" s="169">
        <f>CFwp_Korea!K171+CFwp_US_KRW!K172</f>
        <v>0</v>
      </c>
      <c r="L171" s="140">
        <f>CFwp_Korea!L171+CFwp_US_KRW!L172</f>
        <v>987680138</v>
      </c>
    </row>
    <row r="172" spans="2:29">
      <c r="B172" s="114" t="s">
        <v>631</v>
      </c>
      <c r="D172" s="115">
        <f>D173-D174</f>
        <v>-11118727840</v>
      </c>
      <c r="E172" s="288"/>
      <c r="F172" s="238"/>
      <c r="G172" s="163"/>
      <c r="H172" s="146" t="s">
        <v>145</v>
      </c>
      <c r="I172" s="140">
        <f>CFwp_Korea!I172+CFwp_US_KRW!I173</f>
        <v>0</v>
      </c>
      <c r="J172" s="169">
        <f>CFwp_Korea!J172+CFwp_US_KRW!J173</f>
        <v>7659053</v>
      </c>
      <c r="K172" s="169">
        <f>CFwp_Korea!K172+CFwp_US_KRW!K173</f>
        <v>0</v>
      </c>
      <c r="L172" s="140">
        <f>CFwp_Korea!L172+CFwp_US_KRW!L173</f>
        <v>7659053</v>
      </c>
      <c r="AA172" s="115"/>
      <c r="AB172" s="115"/>
      <c r="AC172" s="115"/>
    </row>
    <row r="173" spans="2:29" s="115" customFormat="1">
      <c r="B173" s="114" t="s">
        <v>633</v>
      </c>
      <c r="C173" s="114"/>
      <c r="D173" s="115">
        <f>Q154</f>
        <v>966100000</v>
      </c>
      <c r="E173" s="288"/>
      <c r="F173" s="238"/>
      <c r="G173" s="163"/>
      <c r="H173" s="146" t="s">
        <v>149</v>
      </c>
      <c r="I173" s="140">
        <f>CFwp_Korea!I173+CFwp_US_KRW!I174</f>
        <v>0</v>
      </c>
      <c r="J173" s="169">
        <f>CFwp_Korea!J173+CFwp_US_KRW!J174</f>
        <v>20033762</v>
      </c>
      <c r="K173" s="169">
        <f>CFwp_Korea!K173+CFwp_US_KRW!K174</f>
        <v>0</v>
      </c>
      <c r="L173" s="140">
        <f>CFwp_Korea!L173+CFwp_US_KRW!L174</f>
        <v>20033762</v>
      </c>
      <c r="M173" s="114"/>
      <c r="X173" s="114"/>
      <c r="Y173" s="114"/>
      <c r="Z173" s="114"/>
    </row>
    <row r="174" spans="2:29" s="115" customFormat="1">
      <c r="B174" s="114" t="s">
        <v>635</v>
      </c>
      <c r="C174" s="114"/>
      <c r="D174" s="115">
        <f>R154</f>
        <v>12084827840</v>
      </c>
      <c r="E174" s="288"/>
      <c r="F174" s="238"/>
      <c r="G174" s="163"/>
      <c r="H174" s="146" t="s">
        <v>155</v>
      </c>
      <c r="I174" s="140">
        <f>CFwp_Korea!I174+CFwp_US_KRW!I175</f>
        <v>148038</v>
      </c>
      <c r="J174" s="169">
        <f>CFwp_Korea!J174+CFwp_US_KRW!J175</f>
        <v>185893939</v>
      </c>
      <c r="K174" s="169">
        <f>CFwp_Korea!K174+CFwp_US_KRW!K175</f>
        <v>0</v>
      </c>
      <c r="L174" s="140">
        <f>CFwp_Korea!L174+CFwp_US_KRW!L175</f>
        <v>186041977</v>
      </c>
      <c r="M174" s="114"/>
      <c r="X174" s="114"/>
      <c r="Y174" s="114"/>
      <c r="Z174" s="114"/>
    </row>
    <row r="175" spans="2:29" s="115" customFormat="1">
      <c r="B175" s="114"/>
      <c r="C175" s="114"/>
      <c r="E175" s="288"/>
      <c r="F175" s="238"/>
      <c r="G175" s="163"/>
      <c r="H175" s="146" t="s">
        <v>161</v>
      </c>
      <c r="I175" s="140">
        <f>CFwp_Korea!I175+CFwp_US_KRW!I176</f>
        <v>0</v>
      </c>
      <c r="J175" s="169">
        <f>CFwp_Korea!J175+CFwp_US_KRW!J176</f>
        <v>0</v>
      </c>
      <c r="K175" s="169">
        <f>CFwp_Korea!K175+CFwp_US_KRW!K176</f>
        <v>0</v>
      </c>
      <c r="L175" s="140">
        <f>CFwp_Korea!L175+CFwp_US_KRW!L176</f>
        <v>230546471</v>
      </c>
      <c r="M175" s="114"/>
      <c r="X175" s="114"/>
      <c r="Y175" s="114"/>
      <c r="Z175" s="114"/>
    </row>
    <row r="176" spans="2:29" s="115" customFormat="1">
      <c r="B176" s="114" t="s">
        <v>638</v>
      </c>
      <c r="C176" s="114"/>
      <c r="D176" s="115">
        <f>D158+D168+D172</f>
        <v>116868379229</v>
      </c>
      <c r="E176" s="288"/>
      <c r="F176" s="238"/>
      <c r="G176" s="163"/>
      <c r="H176" s="146" t="s">
        <v>165</v>
      </c>
      <c r="I176" s="140">
        <f>CFwp_Korea!I176+CFwp_US_KRW!I177</f>
        <v>76168625</v>
      </c>
      <c r="J176" s="169">
        <f>CFwp_Korea!J176+CFwp_US_KRW!J177</f>
        <v>0</v>
      </c>
      <c r="K176" s="169">
        <f>CFwp_Korea!K176+CFwp_US_KRW!K177</f>
        <v>0</v>
      </c>
      <c r="L176" s="140">
        <f>CFwp_Korea!L176+CFwp_US_KRW!L177</f>
        <v>76168625</v>
      </c>
      <c r="M176" s="114"/>
      <c r="X176" s="114"/>
      <c r="Y176" s="114"/>
      <c r="Z176" s="114"/>
    </row>
    <row r="177" spans="2:29" s="115" customFormat="1">
      <c r="B177" s="114" t="s">
        <v>639</v>
      </c>
      <c r="C177" s="114"/>
      <c r="D177" s="161">
        <f>SUM(D10:D12)</f>
        <v>6576142841</v>
      </c>
      <c r="E177" s="288"/>
      <c r="F177" s="238"/>
      <c r="G177" s="163"/>
      <c r="H177" s="165" t="s">
        <v>716</v>
      </c>
      <c r="I177" s="166">
        <f>SUM(I169:I176)</f>
        <v>76316663</v>
      </c>
      <c r="J177" s="166">
        <f>SUM(J169:J176)</f>
        <v>1497413973</v>
      </c>
      <c r="K177" s="166">
        <f>SUM(K169:K176)</f>
        <v>0</v>
      </c>
      <c r="L177" s="166">
        <f>SUM(L169:L176)</f>
        <v>1804277107</v>
      </c>
      <c r="M177" s="115" t="b">
        <v>1</v>
      </c>
      <c r="X177" s="114"/>
      <c r="Y177" s="114"/>
      <c r="Z177" s="114"/>
    </row>
    <row r="178" spans="2:29" s="115" customFormat="1">
      <c r="B178" s="114" t="s">
        <v>640</v>
      </c>
      <c r="C178" s="114"/>
      <c r="D178" s="190">
        <f>L158-M158-Z4</f>
        <v>-364691526</v>
      </c>
      <c r="E178" s="288"/>
      <c r="F178" s="238"/>
      <c r="G178" s="163"/>
      <c r="H178" s="114" t="s">
        <v>717</v>
      </c>
      <c r="I178" s="115">
        <f>'C.연결조정 정산표_20'!F180</f>
        <v>214947955</v>
      </c>
      <c r="M178" s="114"/>
      <c r="X178" s="114"/>
      <c r="Y178" s="114"/>
      <c r="Z178" s="114"/>
    </row>
    <row r="179" spans="2:29" s="115" customFormat="1">
      <c r="B179" s="114" t="s">
        <v>641</v>
      </c>
      <c r="C179" s="114"/>
      <c r="D179" s="115">
        <f>D176+D177+D178</f>
        <v>123079830544</v>
      </c>
      <c r="E179" s="288"/>
      <c r="F179" s="238"/>
      <c r="G179" s="163"/>
      <c r="H179" s="114" t="s">
        <v>718</v>
      </c>
      <c r="I179" s="167">
        <f>I177-I178</f>
        <v>-138631292</v>
      </c>
      <c r="J179" s="114"/>
      <c r="K179" s="114"/>
      <c r="L179" s="114"/>
      <c r="M179" s="114"/>
      <c r="X179" s="114"/>
      <c r="Y179" s="114"/>
      <c r="Z179" s="114"/>
    </row>
    <row r="180" spans="2:29" s="115" customFormat="1">
      <c r="B180" s="114"/>
      <c r="C180" s="114"/>
      <c r="E180" s="288"/>
      <c r="F180" s="238"/>
      <c r="G180" s="163"/>
      <c r="H180" s="170"/>
      <c r="I180" s="114"/>
      <c r="J180" s="114"/>
      <c r="K180" s="114"/>
      <c r="L180" s="114"/>
      <c r="M180" s="114"/>
      <c r="X180" s="114"/>
      <c r="Y180" s="114"/>
      <c r="Z180" s="114"/>
    </row>
    <row r="181" spans="2:29" s="115" customFormat="1">
      <c r="B181" s="114" t="s">
        <v>643</v>
      </c>
      <c r="C181" s="114"/>
      <c r="D181" s="161">
        <f>SUM(E10:E12)</f>
        <v>123623830544</v>
      </c>
      <c r="E181" s="288"/>
      <c r="F181" s="238"/>
      <c r="G181" s="163"/>
      <c r="H181" s="160" t="s">
        <v>711</v>
      </c>
      <c r="I181" s="160" t="s">
        <v>719</v>
      </c>
      <c r="J181" s="160" t="s">
        <v>720</v>
      </c>
      <c r="K181" s="160" t="s">
        <v>721</v>
      </c>
      <c r="L181" s="160" t="s">
        <v>716</v>
      </c>
      <c r="M181" s="114"/>
      <c r="X181" s="114"/>
      <c r="Y181" s="114"/>
      <c r="Z181" s="114"/>
    </row>
    <row r="182" spans="2:29" s="115" customFormat="1">
      <c r="B182" s="114"/>
      <c r="C182" s="114"/>
      <c r="E182" s="162"/>
      <c r="F182" s="114"/>
      <c r="G182" s="114"/>
      <c r="H182" s="146" t="s">
        <v>176</v>
      </c>
      <c r="I182" s="140">
        <f>CFwp_Korea!I182+CFwp_US_KRW!I183</f>
        <v>70989920</v>
      </c>
      <c r="J182" s="169">
        <f>CFwp_Korea!J182+CFwp_US_KRW!J183</f>
        <v>0</v>
      </c>
      <c r="K182" s="169">
        <f>CFwp_Korea!K182+CFwp_US_KRW!K183</f>
        <v>0</v>
      </c>
      <c r="L182" s="140">
        <f>SUM(I182:K182)</f>
        <v>70989920</v>
      </c>
      <c r="M182" s="114"/>
      <c r="X182" s="114"/>
      <c r="Y182" s="114"/>
      <c r="Z182" s="114"/>
    </row>
    <row r="183" spans="2:29" s="115" customFormat="1">
      <c r="B183" s="171" t="s">
        <v>600</v>
      </c>
      <c r="C183" s="114"/>
      <c r="D183" s="172">
        <f>D179-D181</f>
        <v>-544000000</v>
      </c>
      <c r="E183" s="173"/>
      <c r="F183" s="114"/>
      <c r="G183" s="114"/>
      <c r="H183" s="146" t="s">
        <v>174</v>
      </c>
      <c r="I183" s="140">
        <f>CFwp_Korea!I183+CFwp_US_KRW!I184</f>
        <v>7401233</v>
      </c>
      <c r="J183" s="169">
        <f>CFwp_Korea!J183+CFwp_US_KRW!J184</f>
        <v>0</v>
      </c>
      <c r="K183" s="169">
        <f>CFwp_Korea!K183+CFwp_US_KRW!K184</f>
        <v>0</v>
      </c>
      <c r="L183" s="140">
        <f t="shared" ref="L183:L184" si="30">SUM(I183:K183)</f>
        <v>7401233</v>
      </c>
      <c r="M183" s="114"/>
      <c r="X183" s="114"/>
      <c r="Y183" s="114"/>
      <c r="Z183" s="114"/>
    </row>
    <row r="184" spans="2:29" s="115" customFormat="1">
      <c r="B184" s="114"/>
      <c r="C184" s="114"/>
      <c r="F184" s="114"/>
      <c r="G184" s="114"/>
      <c r="H184" s="146" t="s">
        <v>722</v>
      </c>
      <c r="I184" s="140">
        <f>CFwp_Korea!I184+CFwp_US_KRW!I185</f>
        <v>0</v>
      </c>
      <c r="J184" s="169">
        <f>CFwp_Korea!J184+CFwp_US_KRW!J185</f>
        <v>0</v>
      </c>
      <c r="K184" s="169">
        <f>CFwp_Korea!K184+CFwp_US_KRW!K185</f>
        <v>0</v>
      </c>
      <c r="L184" s="140">
        <f t="shared" si="30"/>
        <v>0</v>
      </c>
      <c r="M184" s="114"/>
      <c r="X184" s="114"/>
      <c r="Y184" s="114"/>
      <c r="Z184" s="114"/>
    </row>
    <row r="185" spans="2:29" s="115" customFormat="1">
      <c r="B185" s="114"/>
      <c r="C185" s="114"/>
      <c r="D185" s="114"/>
      <c r="E185" s="114"/>
      <c r="F185" s="114"/>
      <c r="G185" s="114"/>
      <c r="H185" s="165" t="s">
        <v>716</v>
      </c>
      <c r="I185" s="166">
        <f>SUM(I182:I184)</f>
        <v>78391153</v>
      </c>
      <c r="J185" s="169">
        <f>SUM(J182:J184)</f>
        <v>0</v>
      </c>
      <c r="K185" s="169">
        <f>SUM(K182:K184)</f>
        <v>0</v>
      </c>
      <c r="L185" s="166">
        <f>SUM(L182:L184)</f>
        <v>78391153</v>
      </c>
      <c r="M185" s="114"/>
      <c r="X185" s="114"/>
      <c r="Y185" s="114"/>
      <c r="Z185" s="114"/>
    </row>
    <row r="186" spans="2:29" s="115" customFormat="1">
      <c r="B186" s="114"/>
      <c r="C186" s="114"/>
      <c r="D186" s="114"/>
      <c r="E186" s="114"/>
      <c r="F186" s="114"/>
      <c r="G186" s="114"/>
      <c r="H186" s="114" t="s">
        <v>717</v>
      </c>
      <c r="I186" s="115">
        <f>'C.연결조정 정산표_20'!F200</f>
        <v>78391153</v>
      </c>
      <c r="J186" s="114"/>
      <c r="K186" s="114"/>
      <c r="L186" s="114"/>
      <c r="M186" s="114"/>
      <c r="X186" s="114"/>
      <c r="Y186" s="114"/>
      <c r="Z186" s="114"/>
    </row>
    <row r="187" spans="2:29" s="115" customFormat="1">
      <c r="B187" s="114"/>
      <c r="C187" s="114"/>
      <c r="D187" s="114"/>
      <c r="E187" s="114"/>
      <c r="F187" s="114"/>
      <c r="G187" s="13"/>
      <c r="H187" s="114" t="s">
        <v>718</v>
      </c>
      <c r="I187" s="167">
        <f>I185-I186</f>
        <v>0</v>
      </c>
      <c r="J187" s="114"/>
      <c r="K187" s="114"/>
      <c r="L187" s="114"/>
      <c r="M187" s="114"/>
      <c r="X187" s="114"/>
      <c r="Y187" s="114"/>
      <c r="Z187" s="114"/>
    </row>
    <row r="188" spans="2:29" s="115" customFormat="1">
      <c r="B188" s="114"/>
      <c r="C188" s="114"/>
      <c r="D188" s="114"/>
      <c r="E188" s="114"/>
      <c r="F188" s="114"/>
      <c r="G188" s="13"/>
      <c r="H188" s="114"/>
      <c r="I188" s="114"/>
      <c r="J188" s="114"/>
      <c r="K188" s="114"/>
      <c r="L188" s="114"/>
      <c r="M188" s="114"/>
      <c r="X188" s="114"/>
      <c r="Y188" s="114"/>
      <c r="Z188" s="114"/>
      <c r="AA188" s="114"/>
      <c r="AB188" s="114"/>
      <c r="AC188" s="114"/>
    </row>
    <row r="189" spans="2:29">
      <c r="G189" s="13"/>
    </row>
    <row r="190" spans="2:29">
      <c r="G190" s="13"/>
      <c r="H190" s="175" t="s">
        <v>723</v>
      </c>
      <c r="I190" s="175" t="s">
        <v>724</v>
      </c>
      <c r="J190" s="175" t="s">
        <v>725</v>
      </c>
      <c r="K190" s="175" t="s">
        <v>726</v>
      </c>
      <c r="L190" s="175"/>
    </row>
    <row r="191" spans="2:29">
      <c r="G191" s="13"/>
      <c r="H191" s="176" t="s">
        <v>649</v>
      </c>
      <c r="I191" s="140">
        <f>CFwp_Korea!I191+CFwp_US_KRW!I192</f>
        <v>0</v>
      </c>
      <c r="J191" s="140">
        <f>CFwp_Korea!J191+CFwp_US_KRW!J192</f>
        <v>0</v>
      </c>
      <c r="K191" s="140">
        <f>CFwp_Korea!K191+CFwp_US_KRW!K192</f>
        <v>0</v>
      </c>
      <c r="L191" s="177"/>
    </row>
    <row r="192" spans="2:29">
      <c r="H192" s="176" t="s">
        <v>650</v>
      </c>
      <c r="I192" s="140">
        <f>CFwp_Korea!I192+CFwp_US_KRW!I193</f>
        <v>0</v>
      </c>
      <c r="J192" s="140">
        <f>CFwp_Korea!J192+CFwp_US_KRW!J193</f>
        <v>0</v>
      </c>
      <c r="K192" s="140">
        <f>CFwp_Korea!K192+CFwp_US_KRW!K193</f>
        <v>0</v>
      </c>
      <c r="L192" s="177"/>
    </row>
    <row r="193" spans="8:12">
      <c r="H193" s="176"/>
      <c r="I193" s="178">
        <v>0</v>
      </c>
      <c r="J193" s="178">
        <v>0</v>
      </c>
      <c r="K193" s="178">
        <v>0</v>
      </c>
      <c r="L193" s="178">
        <v>0</v>
      </c>
    </row>
    <row r="194" spans="8:12">
      <c r="H194" s="13"/>
      <c r="I194" s="13"/>
      <c r="J194" s="179">
        <v>0</v>
      </c>
      <c r="K194" s="179">
        <v>0</v>
      </c>
      <c r="L194" s="179">
        <v>0</v>
      </c>
    </row>
    <row r="196" spans="8:12">
      <c r="H196" s="180" t="s">
        <v>342</v>
      </c>
      <c r="I196" s="181" t="s">
        <v>719</v>
      </c>
      <c r="J196" s="181" t="s">
        <v>720</v>
      </c>
      <c r="K196" s="181" t="s">
        <v>366</v>
      </c>
      <c r="L196" s="181" t="s">
        <v>727</v>
      </c>
    </row>
    <row r="197" spans="8:12">
      <c r="H197" s="182" t="s">
        <v>511</v>
      </c>
      <c r="I197" s="140">
        <f>CFwp_Korea!I197+CFwp_US_KRW!I198</f>
        <v>0</v>
      </c>
      <c r="J197" s="140">
        <f>CFwp_Korea!J197+CFwp_US_KRW!J198</f>
        <v>0</v>
      </c>
      <c r="K197" s="140">
        <f>CFwp_Korea!K197+CFwp_US_KRW!K198</f>
        <v>0</v>
      </c>
      <c r="L197" s="182">
        <v>0</v>
      </c>
    </row>
    <row r="198" spans="8:12">
      <c r="H198" s="183" t="s">
        <v>727</v>
      </c>
      <c r="I198" s="183">
        <v>0</v>
      </c>
      <c r="J198" s="183">
        <v>0</v>
      </c>
      <c r="K198" s="183">
        <v>0</v>
      </c>
      <c r="L198" s="183">
        <v>0</v>
      </c>
    </row>
    <row r="199" spans="8:12">
      <c r="H199" s="182" t="s">
        <v>600</v>
      </c>
      <c r="I199" s="182"/>
      <c r="J199" s="182"/>
      <c r="K199" s="182"/>
      <c r="L199" s="182"/>
    </row>
    <row r="200" spans="8:12">
      <c r="H200" s="184"/>
      <c r="I200" s="182"/>
      <c r="J200" s="182"/>
      <c r="K200" s="182"/>
      <c r="L200" s="182"/>
    </row>
    <row r="201" spans="8:12">
      <c r="H201" s="180" t="s">
        <v>728</v>
      </c>
      <c r="I201" s="181" t="s">
        <v>390</v>
      </c>
      <c r="J201" s="181" t="s">
        <v>729</v>
      </c>
      <c r="K201" s="181" t="s">
        <v>730</v>
      </c>
      <c r="L201" s="181" t="s">
        <v>731</v>
      </c>
    </row>
    <row r="202" spans="8:12">
      <c r="H202" s="182" t="s">
        <v>34</v>
      </c>
      <c r="I202" s="140">
        <f>CFwp_Korea!I202+CFwp_US_KRW!I203</f>
        <v>0</v>
      </c>
      <c r="J202" s="140">
        <f>CFwp_Korea!J202+CFwp_US_KRW!J203</f>
        <v>0</v>
      </c>
      <c r="K202" s="140">
        <f>CFwp_Korea!K202+CFwp_US_KRW!K203</f>
        <v>0</v>
      </c>
      <c r="L202" s="140">
        <f>CFwp_Korea!L202+CFwp_US_KRW!L203</f>
        <v>0</v>
      </c>
    </row>
    <row r="203" spans="8:12">
      <c r="H203" s="182" t="s">
        <v>660</v>
      </c>
      <c r="I203" s="140">
        <f>CFwp_Korea!I203+CFwp_US_KRW!I204</f>
        <v>0</v>
      </c>
      <c r="J203" s="140">
        <f>CFwp_Korea!J203+CFwp_US_KRW!J204</f>
        <v>0</v>
      </c>
      <c r="K203" s="140">
        <f>CFwp_Korea!K203+CFwp_US_KRW!K204</f>
        <v>0</v>
      </c>
      <c r="L203" s="140">
        <f>CFwp_Korea!L203+CFwp_US_KRW!L204</f>
        <v>0</v>
      </c>
    </row>
    <row r="204" spans="8:12">
      <c r="H204" s="182" t="s">
        <v>52</v>
      </c>
      <c r="I204" s="140">
        <f>CFwp_Korea!I204+CFwp_US_KRW!I205</f>
        <v>0</v>
      </c>
      <c r="J204" s="140">
        <f>CFwp_Korea!J204+CFwp_US_KRW!J205</f>
        <v>0</v>
      </c>
      <c r="K204" s="140">
        <f>CFwp_Korea!K204+CFwp_US_KRW!K205</f>
        <v>0</v>
      </c>
      <c r="L204" s="140">
        <f>CFwp_Korea!L204+CFwp_US_KRW!L205</f>
        <v>0</v>
      </c>
    </row>
    <row r="205" spans="8:12">
      <c r="H205" s="182" t="s">
        <v>54</v>
      </c>
      <c r="I205" s="140">
        <f>CFwp_Korea!I205+CFwp_US_KRW!I206</f>
        <v>0</v>
      </c>
      <c r="J205" s="140">
        <f>CFwp_Korea!J205+CFwp_US_KRW!J206</f>
        <v>0</v>
      </c>
      <c r="K205" s="140">
        <f>CFwp_Korea!K205+CFwp_US_KRW!K206</f>
        <v>0</v>
      </c>
      <c r="L205" s="140">
        <f>CFwp_Korea!L205+CFwp_US_KRW!L206</f>
        <v>0</v>
      </c>
    </row>
    <row r="206" spans="8:12">
      <c r="H206" s="182" t="s">
        <v>663</v>
      </c>
      <c r="I206" s="140">
        <f>CFwp_Korea!I206+CFwp_US_KRW!I207</f>
        <v>0</v>
      </c>
      <c r="J206" s="140">
        <f>CFwp_Korea!J206+CFwp_US_KRW!J207</f>
        <v>0</v>
      </c>
      <c r="K206" s="140">
        <f>CFwp_Korea!K206+CFwp_US_KRW!K207</f>
        <v>0</v>
      </c>
      <c r="L206" s="140">
        <f>CFwp_Korea!L206+CFwp_US_KRW!L207</f>
        <v>0</v>
      </c>
    </row>
    <row r="207" spans="8:12">
      <c r="H207" s="182" t="s">
        <v>93</v>
      </c>
      <c r="I207" s="140">
        <f>CFwp_Korea!I207+CFwp_US_KRW!I208</f>
        <v>0</v>
      </c>
      <c r="J207" s="140">
        <f>CFwp_Korea!J207+CFwp_US_KRW!J208</f>
        <v>0</v>
      </c>
      <c r="K207" s="140">
        <f>CFwp_Korea!K207+CFwp_US_KRW!K208</f>
        <v>0</v>
      </c>
      <c r="L207" s="140">
        <f>CFwp_Korea!L207+CFwp_US_KRW!L208</f>
        <v>0</v>
      </c>
    </row>
    <row r="208" spans="8:12">
      <c r="H208" s="183" t="s">
        <v>727</v>
      </c>
      <c r="I208" s="183">
        <v>0</v>
      </c>
      <c r="J208" s="183">
        <v>0</v>
      </c>
      <c r="K208" s="183">
        <v>0</v>
      </c>
      <c r="L208" s="183">
        <v>0</v>
      </c>
    </row>
    <row r="209" spans="8:12">
      <c r="H209" s="185" t="s">
        <v>600</v>
      </c>
      <c r="I209" s="182"/>
      <c r="J209" s="182"/>
      <c r="K209" s="182"/>
      <c r="L209" s="182"/>
    </row>
    <row r="210" spans="8:12">
      <c r="H210" s="184"/>
      <c r="I210" s="182"/>
      <c r="J210" s="182"/>
      <c r="K210" s="182"/>
      <c r="L210" s="182"/>
    </row>
    <row r="211" spans="8:12">
      <c r="H211" s="180" t="s">
        <v>732</v>
      </c>
      <c r="I211" s="181" t="s">
        <v>524</v>
      </c>
      <c r="J211" s="181" t="s">
        <v>436</v>
      </c>
      <c r="K211" s="182"/>
      <c r="L211" s="182"/>
    </row>
    <row r="212" spans="8:12">
      <c r="H212" s="182" t="s">
        <v>127</v>
      </c>
      <c r="I212" s="140">
        <f>CFwp_Korea!I212+CFwp_US_KRW!I213</f>
        <v>0</v>
      </c>
      <c r="J212" s="140">
        <f>CFwp_Korea!J212+CFwp_US_KRW!J213</f>
        <v>0</v>
      </c>
      <c r="K212" s="182"/>
      <c r="L212" s="182"/>
    </row>
    <row r="213" spans="8:12">
      <c r="H213" s="182" t="s">
        <v>135</v>
      </c>
      <c r="I213" s="140">
        <f>CFwp_Korea!I213+CFwp_US_KRW!I214</f>
        <v>0</v>
      </c>
      <c r="J213" s="140">
        <f>CFwp_Korea!J213+CFwp_US_KRW!J214</f>
        <v>0</v>
      </c>
      <c r="K213" s="182"/>
      <c r="L213" s="182"/>
    </row>
    <row r="214" spans="8:12">
      <c r="H214" s="182" t="s">
        <v>131</v>
      </c>
      <c r="I214" s="140">
        <f>CFwp_Korea!I214+CFwp_US_KRW!I215</f>
        <v>0</v>
      </c>
      <c r="J214" s="140">
        <f>CFwp_Korea!J214+CFwp_US_KRW!J215</f>
        <v>0</v>
      </c>
      <c r="K214" s="182"/>
      <c r="L214" s="182"/>
    </row>
    <row r="215" spans="8:12">
      <c r="H215" s="182" t="s">
        <v>139</v>
      </c>
      <c r="I215" s="140">
        <f>CFwp_Korea!I215+CFwp_US_KRW!I216</f>
        <v>-139173</v>
      </c>
      <c r="J215" s="140">
        <f>CFwp_Korea!J215+CFwp_US_KRW!J216</f>
        <v>7360639</v>
      </c>
      <c r="K215" s="182"/>
      <c r="L215" s="182"/>
    </row>
    <row r="216" spans="8:12">
      <c r="H216" s="182" t="s">
        <v>145</v>
      </c>
      <c r="I216" s="140">
        <f>CFwp_Korea!I216+CFwp_US_KRW!I217</f>
        <v>-727273</v>
      </c>
      <c r="J216" s="140">
        <f>CFwp_Korea!J216+CFwp_US_KRW!J217</f>
        <v>0</v>
      </c>
      <c r="K216" s="182"/>
      <c r="L216" s="182"/>
    </row>
    <row r="217" spans="8:12">
      <c r="H217" s="182" t="s">
        <v>149</v>
      </c>
      <c r="I217" s="140">
        <f>CFwp_Korea!I217+CFwp_US_KRW!I218</f>
        <v>0</v>
      </c>
      <c r="J217" s="140">
        <f>CFwp_Korea!J217+CFwp_US_KRW!J218</f>
        <v>0</v>
      </c>
      <c r="K217" s="182"/>
      <c r="L217" s="182"/>
    </row>
    <row r="218" spans="8:12">
      <c r="H218" s="182" t="s">
        <v>155</v>
      </c>
      <c r="I218" s="140">
        <f>CFwp_Korea!I218+CFwp_US_KRW!I219</f>
        <v>0</v>
      </c>
      <c r="J218" s="140">
        <f>CFwp_Korea!J218+CFwp_US_KRW!J219</f>
        <v>4950000</v>
      </c>
      <c r="K218" s="182"/>
      <c r="L218" s="182"/>
    </row>
    <row r="219" spans="8:12">
      <c r="H219" s="182" t="s">
        <v>161</v>
      </c>
      <c r="I219" s="140">
        <f>CFwp_Korea!I219+CFwp_US_KRW!I220</f>
        <v>0</v>
      </c>
      <c r="J219" s="140">
        <f>CFwp_Korea!J219+CFwp_US_KRW!J220</f>
        <v>0</v>
      </c>
      <c r="K219" s="182"/>
      <c r="L219" s="182"/>
    </row>
    <row r="220" spans="8:12">
      <c r="H220" s="182" t="s">
        <v>733</v>
      </c>
      <c r="I220" s="140">
        <f>CFwp_Korea!I220+CFwp_US_KRW!I221</f>
        <v>0</v>
      </c>
      <c r="J220" s="140">
        <f>CFwp_Korea!J220+CFwp_US_KRW!J221</f>
        <v>0</v>
      </c>
      <c r="K220" s="182"/>
      <c r="L220" s="182"/>
    </row>
    <row r="221" spans="8:12">
      <c r="H221" s="182" t="s">
        <v>159</v>
      </c>
      <c r="I221" s="140">
        <f>CFwp_Korea!I221+CFwp_US_KRW!I222</f>
        <v>0</v>
      </c>
      <c r="J221" s="140">
        <f>CFwp_Korea!J221+CFwp_US_KRW!J222</f>
        <v>0</v>
      </c>
      <c r="K221" s="182"/>
      <c r="L221" s="182"/>
    </row>
    <row r="222" spans="8:12">
      <c r="H222" s="183" t="s">
        <v>727</v>
      </c>
      <c r="I222" s="183">
        <f>SUM(I212:I221)</f>
        <v>-866446</v>
      </c>
      <c r="J222" s="183">
        <f>SUM(J212:J221)</f>
        <v>12310639</v>
      </c>
      <c r="K222" s="182"/>
      <c r="L222" s="182"/>
    </row>
    <row r="223" spans="8:12">
      <c r="H223" s="185" t="s">
        <v>600</v>
      </c>
      <c r="I223" s="182">
        <f>'C.연결조정 정산표_20'!F210-I222</f>
        <v>1732892</v>
      </c>
      <c r="J223" s="182">
        <f>'C.연결조정 정산표_20'!F222-J222</f>
        <v>0</v>
      </c>
      <c r="K223" s="182"/>
      <c r="L223" s="182"/>
    </row>
    <row r="224" spans="8:12">
      <c r="H224" s="184"/>
      <c r="I224" s="182"/>
      <c r="J224" s="182"/>
      <c r="K224" s="182"/>
      <c r="L224" s="182"/>
    </row>
    <row r="225" spans="8:12">
      <c r="H225" s="180" t="s">
        <v>448</v>
      </c>
      <c r="I225" s="181" t="s">
        <v>727</v>
      </c>
      <c r="J225" s="182"/>
      <c r="K225" s="182"/>
      <c r="L225" s="182"/>
    </row>
    <row r="226" spans="8:12">
      <c r="H226" s="182" t="s">
        <v>210</v>
      </c>
      <c r="I226" s="140">
        <f>CFwp_Korea!I226+CFwp_US_KRW!I227</f>
        <v>0</v>
      </c>
      <c r="J226" s="182"/>
      <c r="K226" s="182"/>
      <c r="L226" s="182"/>
    </row>
    <row r="227" spans="8:12">
      <c r="H227" s="182" t="s">
        <v>734</v>
      </c>
      <c r="I227" s="140">
        <f>CFwp_Korea!I227+CFwp_US_KRW!I228</f>
        <v>0</v>
      </c>
      <c r="J227" s="182"/>
      <c r="K227" s="182"/>
      <c r="L227" s="182"/>
    </row>
    <row r="228" spans="8:12">
      <c r="H228" s="182" t="s">
        <v>735</v>
      </c>
      <c r="I228" s="140">
        <f>CFwp_Korea!I228+CFwp_US_KRW!I229</f>
        <v>0</v>
      </c>
      <c r="J228" s="182"/>
      <c r="K228" s="182"/>
      <c r="L228" s="182"/>
    </row>
    <row r="229" spans="8:12">
      <c r="H229" s="182" t="s">
        <v>676</v>
      </c>
      <c r="I229" s="140">
        <f>CFwp_Korea!I229+CFwp_US_KRW!I230</f>
        <v>0</v>
      </c>
      <c r="J229" s="182"/>
      <c r="K229" s="182"/>
      <c r="L229" s="182"/>
    </row>
    <row r="230" spans="8:12">
      <c r="H230" s="182" t="s">
        <v>736</v>
      </c>
      <c r="I230" s="140">
        <f>CFwp_Korea!I230+CFwp_US_KRW!I231</f>
        <v>0</v>
      </c>
      <c r="J230" s="182"/>
      <c r="K230" s="182"/>
      <c r="L230" s="182"/>
    </row>
    <row r="231" spans="8:12">
      <c r="H231" s="182" t="s">
        <v>737</v>
      </c>
      <c r="I231" s="140">
        <f>CFwp_Korea!I231+CFwp_US_KRW!I232</f>
        <v>0</v>
      </c>
      <c r="J231" s="182"/>
      <c r="K231" s="182"/>
      <c r="L231" s="182"/>
    </row>
    <row r="232" spans="8:12">
      <c r="H232" s="182" t="s">
        <v>234</v>
      </c>
      <c r="I232" s="140">
        <f>CFwp_Korea!I232+CFwp_US_KRW!I233</f>
        <v>0</v>
      </c>
      <c r="J232" s="182"/>
      <c r="K232" s="182"/>
      <c r="L232" s="182"/>
    </row>
    <row r="233" spans="8:12">
      <c r="H233" s="183" t="s">
        <v>727</v>
      </c>
      <c r="I233" s="183">
        <v>0</v>
      </c>
      <c r="J233" s="182"/>
      <c r="K233" s="182"/>
      <c r="L233" s="182"/>
    </row>
    <row r="234" spans="8:12">
      <c r="H234" s="185" t="s">
        <v>600</v>
      </c>
      <c r="I234" s="182"/>
      <c r="J234" s="182"/>
      <c r="K234" s="182"/>
      <c r="L234" s="182"/>
    </row>
    <row r="235" spans="8:12">
      <c r="H235" s="182"/>
      <c r="I235" s="182"/>
      <c r="J235" s="182"/>
      <c r="K235" s="182"/>
      <c r="L235" s="182"/>
    </row>
    <row r="236" spans="8:12">
      <c r="H236" s="184"/>
      <c r="I236" s="182"/>
      <c r="J236" s="182"/>
      <c r="K236" s="182"/>
      <c r="L236" s="182"/>
    </row>
    <row r="237" spans="8:12">
      <c r="H237" s="180" t="s">
        <v>738</v>
      </c>
      <c r="I237" s="181" t="s">
        <v>413</v>
      </c>
      <c r="J237" s="181" t="s">
        <v>434</v>
      </c>
      <c r="K237" s="182"/>
      <c r="L237" s="182"/>
    </row>
    <row r="238" spans="8:12">
      <c r="H238" s="182" t="s">
        <v>683</v>
      </c>
      <c r="I238" s="140">
        <f>CFwp_Korea!I238+CFwp_US_KRW!I239</f>
        <v>0</v>
      </c>
      <c r="J238" s="140">
        <f>CFwp_Korea!J238+CFwp_US_KRW!J239</f>
        <v>0</v>
      </c>
      <c r="K238" s="182"/>
      <c r="L238" s="182"/>
    </row>
    <row r="239" spans="8:12">
      <c r="H239" s="182" t="s">
        <v>684</v>
      </c>
      <c r="I239" s="140">
        <f>CFwp_Korea!I239+CFwp_US_KRW!I240</f>
        <v>0</v>
      </c>
      <c r="J239" s="140">
        <f>CFwp_Korea!J239+CFwp_US_KRW!J240</f>
        <v>0</v>
      </c>
      <c r="K239" s="182"/>
      <c r="L239" s="182"/>
    </row>
    <row r="240" spans="8:12">
      <c r="H240" s="182" t="s">
        <v>739</v>
      </c>
      <c r="I240" s="140">
        <f>CFwp_Korea!I240+CFwp_US_KRW!I241</f>
        <v>0</v>
      </c>
      <c r="J240" s="140">
        <f>CFwp_Korea!J240+CFwp_US_KRW!J241</f>
        <v>0</v>
      </c>
      <c r="K240" s="182"/>
      <c r="L240" s="182"/>
    </row>
    <row r="241" spans="8:12">
      <c r="H241" s="183" t="s">
        <v>727</v>
      </c>
      <c r="I241" s="183">
        <v>0</v>
      </c>
      <c r="J241" s="183">
        <v>0</v>
      </c>
      <c r="K241" s="182"/>
      <c r="L241" s="182"/>
    </row>
    <row r="242" spans="8:12">
      <c r="H242" s="185" t="s">
        <v>600</v>
      </c>
      <c r="I242" s="182"/>
      <c r="J242" s="182"/>
      <c r="K242" s="182"/>
      <c r="L242" s="182"/>
    </row>
    <row r="243" spans="8:12">
      <c r="H243" s="182"/>
      <c r="I243" s="182"/>
      <c r="J243" s="182"/>
      <c r="K243" s="182"/>
      <c r="L243" s="182"/>
    </row>
    <row r="244" spans="8:12">
      <c r="H244" s="184" t="s">
        <v>740</v>
      </c>
      <c r="I244" s="182"/>
      <c r="J244" s="182"/>
      <c r="K244" s="182"/>
      <c r="L244" s="182"/>
    </row>
    <row r="245" spans="8:12">
      <c r="H245" s="180" t="s">
        <v>741</v>
      </c>
      <c r="I245" s="181" t="s">
        <v>742</v>
      </c>
      <c r="J245" s="181" t="s">
        <v>743</v>
      </c>
      <c r="K245" s="182"/>
      <c r="L245" s="182"/>
    </row>
    <row r="246" spans="8:12">
      <c r="H246" s="182" t="s">
        <v>176</v>
      </c>
      <c r="I246" s="140">
        <f>CFwp_Korea!I246+CFwp_US_KRW!I247</f>
        <v>0</v>
      </c>
      <c r="J246" s="140">
        <f>CFwp_Korea!J246+CFwp_US_KRW!J247</f>
        <v>0</v>
      </c>
      <c r="K246" s="182"/>
      <c r="L246" s="182"/>
    </row>
    <row r="247" spans="8:12">
      <c r="H247" s="182" t="s">
        <v>174</v>
      </c>
      <c r="I247" s="140">
        <f>CFwp_Korea!I247+CFwp_US_KRW!I248</f>
        <v>0</v>
      </c>
      <c r="J247" s="140">
        <f>CFwp_Korea!J247+CFwp_US_KRW!J248</f>
        <v>0</v>
      </c>
      <c r="K247" s="182"/>
      <c r="L247" s="182"/>
    </row>
    <row r="248" spans="8:12">
      <c r="H248" s="183" t="s">
        <v>727</v>
      </c>
      <c r="I248" s="183">
        <v>0</v>
      </c>
      <c r="J248" s="183">
        <v>0</v>
      </c>
      <c r="K248" s="182"/>
      <c r="L248" s="182"/>
    </row>
    <row r="249" spans="8:12">
      <c r="H249" s="185" t="s">
        <v>600</v>
      </c>
      <c r="I249" s="182"/>
      <c r="J249" s="182"/>
      <c r="K249" s="182"/>
      <c r="L249" s="182"/>
    </row>
    <row r="250" spans="8:12">
      <c r="H250" s="182"/>
      <c r="I250" s="182"/>
      <c r="J250" s="182"/>
      <c r="K250" s="182"/>
      <c r="L250" s="182"/>
    </row>
    <row r="251" spans="8:12">
      <c r="H251" s="184" t="s">
        <v>744</v>
      </c>
      <c r="I251" s="182"/>
      <c r="J251" s="182"/>
      <c r="K251" s="182"/>
      <c r="L251" s="182"/>
    </row>
    <row r="252" spans="8:12">
      <c r="H252" s="180" t="s">
        <v>422</v>
      </c>
      <c r="I252" s="181" t="s">
        <v>599</v>
      </c>
      <c r="J252" s="182"/>
      <c r="K252" s="182"/>
      <c r="L252" s="182"/>
    </row>
    <row r="253" spans="8:12">
      <c r="H253" s="182" t="s">
        <v>745</v>
      </c>
      <c r="I253" s="140">
        <f>CFwp_Korea!I253+CFwp_US_KRW!I254</f>
        <v>0</v>
      </c>
      <c r="J253" s="182"/>
      <c r="K253" s="182"/>
      <c r="L253" s="182"/>
    </row>
    <row r="254" spans="8:12">
      <c r="H254" s="182" t="s">
        <v>746</v>
      </c>
      <c r="I254" s="140">
        <f>CFwp_Korea!I254+CFwp_US_KRW!I255</f>
        <v>424506288</v>
      </c>
      <c r="J254" s="182"/>
      <c r="K254" s="182"/>
      <c r="L254" s="182"/>
    </row>
    <row r="255" spans="8:12">
      <c r="H255" s="182" t="s">
        <v>747</v>
      </c>
      <c r="I255" s="140">
        <f>CFwp_Korea!I255+CFwp_US_KRW!I256</f>
        <v>-6912536</v>
      </c>
      <c r="J255" s="182"/>
      <c r="K255" s="182"/>
      <c r="L255" s="182"/>
    </row>
    <row r="256" spans="8:12">
      <c r="H256" s="182" t="s">
        <v>748</v>
      </c>
      <c r="I256" s="140">
        <f>CFwp_Korea!I256+CFwp_US_KRW!I257</f>
        <v>-165715444</v>
      </c>
      <c r="J256" s="182"/>
      <c r="K256" s="182"/>
      <c r="L256" s="182"/>
    </row>
    <row r="257" spans="8:12">
      <c r="H257" s="182" t="s">
        <v>749</v>
      </c>
      <c r="I257" s="140">
        <f>CFwp_Korea!I257+CFwp_US_KRW!I258</f>
        <v>0</v>
      </c>
      <c r="J257" s="182"/>
      <c r="K257" s="182"/>
      <c r="L257" s="182"/>
    </row>
    <row r="258" spans="8:12">
      <c r="H258" s="182" t="s">
        <v>600</v>
      </c>
      <c r="I258" s="182">
        <v>0</v>
      </c>
      <c r="J258" s="182"/>
      <c r="K258" s="182"/>
      <c r="L258" s="182"/>
    </row>
    <row r="259" spans="8:12">
      <c r="H259" s="185"/>
      <c r="I259" s="182"/>
      <c r="J259" s="182"/>
      <c r="K259" s="182"/>
      <c r="L259" s="182"/>
    </row>
    <row r="260" spans="8:12">
      <c r="H260" s="182"/>
      <c r="I260" s="182"/>
      <c r="J260" s="182"/>
      <c r="K260" s="182"/>
      <c r="L260" s="182"/>
    </row>
  </sheetData>
  <mergeCells count="10">
    <mergeCell ref="B5:B6"/>
    <mergeCell ref="C5:C6"/>
    <mergeCell ref="F5:F6"/>
    <mergeCell ref="G5:G6"/>
    <mergeCell ref="O5:P5"/>
    <mergeCell ref="Q5:R5"/>
    <mergeCell ref="S5:V5"/>
    <mergeCell ref="W5:X5"/>
    <mergeCell ref="Y5:Z5"/>
    <mergeCell ref="D2:E3"/>
  </mergeCells>
  <phoneticPr fontId="2" type="noConversion"/>
  <conditionalFormatting sqref="F12 F16:F18 F20:F21">
    <cfRule type="expression" dxfId="1248" priority="686">
      <formula>"&gt;=0"</formula>
    </cfRule>
    <cfRule type="expression" dxfId="1247" priority="688">
      <formula>"&lt;&gt;0"</formula>
    </cfRule>
  </conditionalFormatting>
  <conditionalFormatting sqref="F12:F13">
    <cfRule type="expression" dxfId="1246" priority="519">
      <formula>"&gt;&lt;0"</formula>
    </cfRule>
  </conditionalFormatting>
  <conditionalFormatting sqref="F13">
    <cfRule type="expression" dxfId="1245" priority="520">
      <formula>"&lt;&gt;0"</formula>
    </cfRule>
    <cfRule type="expression" dxfId="1244" priority="518">
      <formula>"&gt;=0"</formula>
    </cfRule>
  </conditionalFormatting>
  <conditionalFormatting sqref="F13:F15">
    <cfRule type="expression" dxfId="1243" priority="329">
      <formula>"&gt;&lt;0"</formula>
    </cfRule>
    <cfRule type="expression" priority="326">
      <formula>"""&gt;&lt;0"""</formula>
    </cfRule>
  </conditionalFormatting>
  <conditionalFormatting sqref="F16:F21">
    <cfRule type="expression" dxfId="1242" priority="454">
      <formula>"&gt;&lt;0"</formula>
    </cfRule>
  </conditionalFormatting>
  <conditionalFormatting sqref="F19">
    <cfRule type="expression" priority="451">
      <formula>"""&gt;&lt;0"""</formula>
    </cfRule>
  </conditionalFormatting>
  <conditionalFormatting sqref="F22">
    <cfRule type="expression" dxfId="1241" priority="443">
      <formula>"&gt;=0"</formula>
    </cfRule>
    <cfRule type="expression" dxfId="1240" priority="445">
      <formula>"&lt;&gt;0"</formula>
    </cfRule>
  </conditionalFormatting>
  <conditionalFormatting sqref="F22:F23">
    <cfRule type="expression" priority="431">
      <formula>"""&gt;&lt;0"""</formula>
    </cfRule>
    <cfRule type="expression" dxfId="1239" priority="434">
      <formula>"&gt;&lt;0"</formula>
    </cfRule>
  </conditionalFormatting>
  <conditionalFormatting sqref="F33">
    <cfRule type="expression" dxfId="1238" priority="500">
      <formula>"&lt;&gt;0"</formula>
    </cfRule>
    <cfRule type="expression" dxfId="1237" priority="498">
      <formula>"&gt;=0"</formula>
    </cfRule>
    <cfRule type="expression" dxfId="1236" priority="497">
      <formula>"&gt;&lt;0"</formula>
    </cfRule>
    <cfRule type="expression" priority="496">
      <formula>"""&gt;&lt;0"""</formula>
    </cfRule>
  </conditionalFormatting>
  <conditionalFormatting sqref="F35:F47">
    <cfRule type="expression" dxfId="1235" priority="83">
      <formula>"&gt;=0"</formula>
    </cfRule>
    <cfRule type="expression" dxfId="1234" priority="82">
      <formula>"&gt;&lt;0"</formula>
    </cfRule>
    <cfRule type="expression" dxfId="1233" priority="85">
      <formula>"&lt;&gt;0"</formula>
    </cfRule>
  </conditionalFormatting>
  <conditionalFormatting sqref="F50">
    <cfRule type="expression" dxfId="1232" priority="682">
      <formula>"&gt;&lt;0"</formula>
    </cfRule>
    <cfRule type="expression" dxfId="1231" priority="683">
      <formula>"&lt;&gt;0"</formula>
    </cfRule>
    <cfRule type="expression" dxfId="1230" priority="681">
      <formula>"&gt;=0"</formula>
    </cfRule>
  </conditionalFormatting>
  <conditionalFormatting sqref="F50:F52">
    <cfRule type="expression" dxfId="1229" priority="429">
      <formula>"&gt;&lt;0"</formula>
    </cfRule>
  </conditionalFormatting>
  <conditionalFormatting sqref="F51">
    <cfRule type="expression" dxfId="1228" priority="427">
      <formula>"&gt;&lt;0"</formula>
    </cfRule>
    <cfRule type="expression" dxfId="1227" priority="428">
      <formula>"&gt;=0"</formula>
    </cfRule>
    <cfRule type="expression" dxfId="1226" priority="430">
      <formula>"&lt;&gt;0"</formula>
    </cfRule>
  </conditionalFormatting>
  <conditionalFormatting sqref="F52">
    <cfRule type="expression" dxfId="1225" priority="515">
      <formula>"&lt;&gt;0"</formula>
    </cfRule>
    <cfRule type="expression" dxfId="1224" priority="514">
      <formula>"&gt;&lt;0"</formula>
    </cfRule>
    <cfRule type="expression" dxfId="1223" priority="513">
      <formula>"&gt;=0"</formula>
    </cfRule>
  </conditionalFormatting>
  <conditionalFormatting sqref="F53:F54">
    <cfRule type="expression" dxfId="1222" priority="325">
      <formula>"&lt;&gt;0"</formula>
    </cfRule>
    <cfRule type="expression" dxfId="1221" priority="324">
      <formula>"&gt;&lt;0"</formula>
    </cfRule>
    <cfRule type="expression" dxfId="1220" priority="323">
      <formula>"&gt;=0"</formula>
    </cfRule>
    <cfRule type="expression" dxfId="1219" priority="322">
      <formula>"&gt;&lt;0"</formula>
    </cfRule>
  </conditionalFormatting>
  <conditionalFormatting sqref="F55:F58">
    <cfRule type="expression" dxfId="1218" priority="419">
      <formula>"&gt;&lt;0"</formula>
    </cfRule>
  </conditionalFormatting>
  <conditionalFormatting sqref="F57:F58">
    <cfRule type="expression" dxfId="1217" priority="420">
      <formula>"&lt;&gt;0"</formula>
    </cfRule>
    <cfRule type="expression" dxfId="1216" priority="418">
      <formula>"&gt;=0"</formula>
    </cfRule>
    <cfRule type="expression" dxfId="1215" priority="417">
      <formula>"&gt;&lt;0"</formula>
    </cfRule>
  </conditionalFormatting>
  <conditionalFormatting sqref="F60:F62">
    <cfRule type="expression" dxfId="1214" priority="289">
      <formula>"&gt;&lt;0"</formula>
    </cfRule>
  </conditionalFormatting>
  <conditionalFormatting sqref="F62">
    <cfRule type="expression" dxfId="1213" priority="288">
      <formula>"&gt;=0"</formula>
    </cfRule>
    <cfRule type="expression" dxfId="1212" priority="290">
      <formula>"&lt;&gt;0"</formula>
    </cfRule>
  </conditionalFormatting>
  <conditionalFormatting sqref="F62:F63">
    <cfRule type="expression" dxfId="1211" priority="279">
      <formula>"&gt;&lt;0"</formula>
    </cfRule>
  </conditionalFormatting>
  <conditionalFormatting sqref="F63">
    <cfRule type="expression" dxfId="1210" priority="280">
      <formula>"&lt;&gt;0"</formula>
    </cfRule>
    <cfRule type="expression" dxfId="1209" priority="278">
      <formula>"&gt;=0"</formula>
    </cfRule>
  </conditionalFormatting>
  <conditionalFormatting sqref="F63:F64">
    <cfRule type="expression" dxfId="1208" priority="269">
      <formula>"&gt;&lt;0"</formula>
    </cfRule>
  </conditionalFormatting>
  <conditionalFormatting sqref="F64">
    <cfRule type="expression" dxfId="1207" priority="270">
      <formula>"&lt;&gt;0"</formula>
    </cfRule>
    <cfRule type="expression" dxfId="1206" priority="268">
      <formula>"&gt;=0"</formula>
    </cfRule>
  </conditionalFormatting>
  <conditionalFormatting sqref="F64:F66">
    <cfRule type="expression" dxfId="1205" priority="259">
      <formula>"&gt;&lt;0"</formula>
    </cfRule>
  </conditionalFormatting>
  <conditionalFormatting sqref="F65:F66">
    <cfRule type="expression" dxfId="1204" priority="258">
      <formula>"&gt;=0"</formula>
    </cfRule>
    <cfRule type="expression" dxfId="1203" priority="260">
      <formula>"&lt;&gt;0"</formula>
    </cfRule>
  </conditionalFormatting>
  <conditionalFormatting sqref="F65:F67">
    <cfRule type="expression" dxfId="1202" priority="249">
      <formula>"&gt;&lt;0"</formula>
    </cfRule>
  </conditionalFormatting>
  <conditionalFormatting sqref="F67">
    <cfRule type="expression" dxfId="1201" priority="248">
      <formula>"&gt;=0"</formula>
    </cfRule>
    <cfRule type="expression" dxfId="1200" priority="250">
      <formula>"&lt;&gt;0"</formula>
    </cfRule>
  </conditionalFormatting>
  <conditionalFormatting sqref="F67:F68">
    <cfRule type="expression" dxfId="1199" priority="239">
      <formula>"&gt;&lt;0"</formula>
    </cfRule>
  </conditionalFormatting>
  <conditionalFormatting sqref="F68">
    <cfRule type="expression" dxfId="1198" priority="238">
      <formula>"&gt;=0"</formula>
    </cfRule>
    <cfRule type="expression" dxfId="1197" priority="240">
      <formula>"&lt;&gt;0"</formula>
    </cfRule>
  </conditionalFormatting>
  <conditionalFormatting sqref="F68:F69">
    <cfRule type="expression" dxfId="1196" priority="229">
      <formula>"&gt;&lt;0"</formula>
    </cfRule>
  </conditionalFormatting>
  <conditionalFormatting sqref="F69">
    <cfRule type="expression" dxfId="1195" priority="228">
      <formula>"&gt;=0"</formula>
    </cfRule>
    <cfRule type="expression" dxfId="1194" priority="230">
      <formula>"&lt;&gt;0"</formula>
    </cfRule>
  </conditionalFormatting>
  <conditionalFormatting sqref="F69:F70">
    <cfRule type="expression" dxfId="1193" priority="219">
      <formula>"&gt;&lt;0"</formula>
    </cfRule>
  </conditionalFormatting>
  <conditionalFormatting sqref="F70">
    <cfRule type="expression" dxfId="1192" priority="218">
      <formula>"&gt;=0"</formula>
    </cfRule>
    <cfRule type="expression" dxfId="1191" priority="220">
      <formula>"&lt;&gt;0"</formula>
    </cfRule>
  </conditionalFormatting>
  <conditionalFormatting sqref="F70:F71">
    <cfRule type="expression" dxfId="1190" priority="209">
      <formula>"&gt;&lt;0"</formula>
    </cfRule>
  </conditionalFormatting>
  <conditionalFormatting sqref="F71">
    <cfRule type="expression" dxfId="1189" priority="210">
      <formula>"&lt;&gt;0"</formula>
    </cfRule>
    <cfRule type="expression" dxfId="1188" priority="208">
      <formula>"&gt;=0"</formula>
    </cfRule>
  </conditionalFormatting>
  <conditionalFormatting sqref="F71:F72">
    <cfRule type="expression" dxfId="1187" priority="199">
      <formula>"&gt;&lt;0"</formula>
    </cfRule>
  </conditionalFormatting>
  <conditionalFormatting sqref="F72">
    <cfRule type="expression" dxfId="1186" priority="198">
      <formula>"&gt;=0"</formula>
    </cfRule>
    <cfRule type="expression" dxfId="1185" priority="200">
      <formula>"&lt;&gt;0"</formula>
    </cfRule>
  </conditionalFormatting>
  <conditionalFormatting sqref="F72:F73">
    <cfRule type="expression" dxfId="1184" priority="189">
      <formula>"&gt;&lt;0"</formula>
    </cfRule>
  </conditionalFormatting>
  <conditionalFormatting sqref="F73">
    <cfRule type="expression" dxfId="1183" priority="188">
      <formula>"&gt;=0"</formula>
    </cfRule>
    <cfRule type="expression" dxfId="1182" priority="190">
      <formula>"&lt;&gt;0"</formula>
    </cfRule>
  </conditionalFormatting>
  <conditionalFormatting sqref="F73:F74">
    <cfRule type="expression" dxfId="1181" priority="179">
      <formula>"&gt;&lt;0"</formula>
    </cfRule>
  </conditionalFormatting>
  <conditionalFormatting sqref="F74">
    <cfRule type="expression" dxfId="1180" priority="178">
      <formula>"&gt;=0"</formula>
    </cfRule>
    <cfRule type="expression" dxfId="1179" priority="180">
      <formula>"&lt;&gt;0"</formula>
    </cfRule>
  </conditionalFormatting>
  <conditionalFormatting sqref="F74:F75">
    <cfRule type="expression" dxfId="1178" priority="169">
      <formula>"&gt;&lt;0"</formula>
    </cfRule>
  </conditionalFormatting>
  <conditionalFormatting sqref="F75">
    <cfRule type="expression" dxfId="1177" priority="168">
      <formula>"&gt;=0"</formula>
    </cfRule>
    <cfRule type="expression" dxfId="1176" priority="170">
      <formula>"&lt;&gt;0"</formula>
    </cfRule>
  </conditionalFormatting>
  <conditionalFormatting sqref="F75:F76">
    <cfRule type="expression" dxfId="1175" priority="159">
      <formula>"&gt;&lt;0"</formula>
    </cfRule>
  </conditionalFormatting>
  <conditionalFormatting sqref="F76">
    <cfRule type="expression" dxfId="1174" priority="160">
      <formula>"&lt;&gt;0"</formula>
    </cfRule>
    <cfRule type="expression" dxfId="1173" priority="158">
      <formula>"&gt;=0"</formula>
    </cfRule>
  </conditionalFormatting>
  <conditionalFormatting sqref="F76:F77">
    <cfRule type="expression" dxfId="1172" priority="149">
      <formula>"&gt;&lt;0"</formula>
    </cfRule>
  </conditionalFormatting>
  <conditionalFormatting sqref="F77">
    <cfRule type="expression" dxfId="1171" priority="148">
      <formula>"&gt;=0"</formula>
    </cfRule>
    <cfRule type="expression" dxfId="1170" priority="150">
      <formula>"&lt;&gt;0"</formula>
    </cfRule>
  </conditionalFormatting>
  <conditionalFormatting sqref="F77:F78">
    <cfRule type="expression" dxfId="1169" priority="139">
      <formula>"&gt;&lt;0"</formula>
    </cfRule>
  </conditionalFormatting>
  <conditionalFormatting sqref="F78">
    <cfRule type="expression" dxfId="1168" priority="138">
      <formula>"&gt;=0"</formula>
    </cfRule>
    <cfRule type="expression" dxfId="1167" priority="140">
      <formula>"&lt;&gt;0"</formula>
    </cfRule>
  </conditionalFormatting>
  <conditionalFormatting sqref="F78:F79">
    <cfRule type="expression" dxfId="1166" priority="129">
      <formula>"&gt;&lt;0"</formula>
    </cfRule>
  </conditionalFormatting>
  <conditionalFormatting sqref="F79">
    <cfRule type="expression" dxfId="1165" priority="128">
      <formula>"&gt;=0"</formula>
    </cfRule>
    <cfRule type="expression" dxfId="1164" priority="130">
      <formula>"&lt;&gt;0"</formula>
    </cfRule>
  </conditionalFormatting>
  <conditionalFormatting sqref="F79:F81">
    <cfRule type="expression" dxfId="1163" priority="119">
      <formula>"&gt;&lt;0"</formula>
    </cfRule>
  </conditionalFormatting>
  <conditionalFormatting sqref="F80">
    <cfRule type="expression" dxfId="1162" priority="118">
      <formula>"&gt;=0"</formula>
    </cfRule>
    <cfRule type="expression" dxfId="1161" priority="120">
      <formula>"&lt;&gt;0"</formula>
    </cfRule>
    <cfRule type="expression" dxfId="1160" priority="117">
      <formula>"&gt;&lt;0"</formula>
    </cfRule>
  </conditionalFormatting>
  <conditionalFormatting sqref="F83:F89">
    <cfRule type="expression" dxfId="1159" priority="677">
      <formula>"&gt;&lt;0"</formula>
    </cfRule>
    <cfRule type="expression" dxfId="1158" priority="678">
      <formula>"&lt;&gt;0"</formula>
    </cfRule>
    <cfRule type="expression" dxfId="1157" priority="676">
      <formula>"&gt;=0"</formula>
    </cfRule>
  </conditionalFormatting>
  <conditionalFormatting sqref="F91:F94">
    <cfRule type="expression" dxfId="1156" priority="414">
      <formula>"&gt;&lt;0"</formula>
    </cfRule>
  </conditionalFormatting>
  <conditionalFormatting sqref="F94">
    <cfRule type="expression" dxfId="1155" priority="413">
      <formula>"&gt;=0"</formula>
    </cfRule>
    <cfRule type="expression" dxfId="1154" priority="415">
      <formula>"&lt;&gt;0"</formula>
    </cfRule>
  </conditionalFormatting>
  <conditionalFormatting sqref="F94:F95">
    <cfRule type="expression" dxfId="1153" priority="304">
      <formula>"&gt;&lt;0"</formula>
    </cfRule>
  </conditionalFormatting>
  <conditionalFormatting sqref="F95">
    <cfRule type="expression" dxfId="1152" priority="302">
      <formula>"&gt;&lt;0"</formula>
    </cfRule>
    <cfRule type="expression" dxfId="1151" priority="303">
      <formula>"&gt;=0"</formula>
    </cfRule>
    <cfRule type="expression" dxfId="1150" priority="305">
      <formula>"&lt;&gt;0"</formula>
    </cfRule>
  </conditionalFormatting>
  <conditionalFormatting sqref="F96">
    <cfRule type="expression" dxfId="1149" priority="493">
      <formula>"&gt;=0"</formula>
    </cfRule>
    <cfRule type="expression" dxfId="1148" priority="494">
      <formula>"&gt;&lt;0"</formula>
    </cfRule>
    <cfRule type="expression" dxfId="1147" priority="495">
      <formula>"&lt;&gt;0"</formula>
    </cfRule>
  </conditionalFormatting>
  <conditionalFormatting sqref="F96:F99">
    <cfRule type="expression" dxfId="1146" priority="404">
      <formula>"&gt;&lt;0"</formula>
    </cfRule>
  </conditionalFormatting>
  <conditionalFormatting sqref="F97:F98">
    <cfRule type="expression" dxfId="1145" priority="403">
      <formula>"&gt;=0"</formula>
    </cfRule>
    <cfRule type="expression" dxfId="1144" priority="405">
      <formula>"&lt;&gt;0"</formula>
    </cfRule>
    <cfRule type="expression" dxfId="1143" priority="402">
      <formula>"&gt;&lt;0"</formula>
    </cfRule>
  </conditionalFormatting>
  <conditionalFormatting sqref="F99">
    <cfRule type="expression" dxfId="1142" priority="485">
      <formula>"&lt;&gt;0"</formula>
    </cfRule>
    <cfRule type="expression" dxfId="1141" priority="483">
      <formula>"&gt;=0"</formula>
    </cfRule>
    <cfRule type="expression" dxfId="1140" priority="484">
      <formula>"&gt;&lt;0"</formula>
    </cfRule>
  </conditionalFormatting>
  <conditionalFormatting sqref="F102:F111 F113:F118">
    <cfRule type="expression" dxfId="1139" priority="662">
      <formula>"&gt;&lt;0"</formula>
    </cfRule>
    <cfRule type="expression" dxfId="1138" priority="666">
      <formula>"&gt;=0"</formula>
    </cfRule>
    <cfRule type="expression" dxfId="1137" priority="667">
      <formula>"&gt;&lt;0"</formula>
    </cfRule>
    <cfRule type="expression" dxfId="1136" priority="668">
      <formula>"&lt;&gt;0"</formula>
    </cfRule>
  </conditionalFormatting>
  <conditionalFormatting sqref="F103">
    <cfRule type="expression" dxfId="1135" priority="615">
      <formula>"&gt;&lt;0"</formula>
    </cfRule>
    <cfRule type="expression" dxfId="1134" priority="616">
      <formula>"&gt;=0"</formula>
    </cfRule>
    <cfRule type="expression" dxfId="1133" priority="618">
      <formula>"&lt;&gt;0"</formula>
    </cfRule>
  </conditionalFormatting>
  <conditionalFormatting sqref="F106:F109">
    <cfRule type="expression" dxfId="1132" priority="608">
      <formula>"&lt;&gt;0"</formula>
    </cfRule>
    <cfRule type="expression" dxfId="1131" priority="606">
      <formula>"&gt;=0"</formula>
    </cfRule>
    <cfRule type="expression" dxfId="1130" priority="605">
      <formula>"&gt;&lt;0"</formula>
    </cfRule>
  </conditionalFormatting>
  <conditionalFormatting sqref="F112">
    <cfRule type="expression" dxfId="1129" priority="390">
      <formula>"&lt;&gt;0"</formula>
    </cfRule>
    <cfRule type="expression" dxfId="1128" priority="383">
      <formula>"&gt;=0"</formula>
    </cfRule>
    <cfRule type="expression" dxfId="1127" priority="384">
      <formula>"&gt;&lt;0"</formula>
    </cfRule>
    <cfRule type="expression" dxfId="1126" priority="385">
      <formula>"&lt;&gt;0"</formula>
    </cfRule>
    <cfRule type="expression" dxfId="1125" priority="388">
      <formula>"&gt;=0"</formula>
    </cfRule>
  </conditionalFormatting>
  <conditionalFormatting sqref="F119">
    <cfRule type="expression" dxfId="1124" priority="370">
      <formula>"&lt;&gt;0"</formula>
    </cfRule>
    <cfRule type="expression" dxfId="1123" priority="363">
      <formula>"&gt;=0"</formula>
    </cfRule>
    <cfRule type="expression" dxfId="1122" priority="364">
      <formula>"&gt;&lt;0"</formula>
    </cfRule>
    <cfRule type="expression" dxfId="1121" priority="365">
      <formula>"&lt;&gt;0"</formula>
    </cfRule>
    <cfRule type="expression" dxfId="1120" priority="368">
      <formula>"&gt;=0"</formula>
    </cfRule>
  </conditionalFormatting>
  <conditionalFormatting sqref="F120">
    <cfRule type="expression" dxfId="1119" priority="105">
      <formula>"&lt;&gt;0"</formula>
    </cfRule>
    <cfRule type="expression" dxfId="1118" priority="98">
      <formula>"&gt;=0"</formula>
    </cfRule>
    <cfRule type="expression" dxfId="1117" priority="103">
      <formula>"&gt;=0"</formula>
    </cfRule>
    <cfRule type="expression" dxfId="1116" priority="99">
      <formula>"&gt;&lt;0"</formula>
    </cfRule>
    <cfRule type="expression" dxfId="1115" priority="100">
      <formula>"&lt;&gt;0"</formula>
    </cfRule>
  </conditionalFormatting>
  <conditionalFormatting sqref="F122:F125">
    <cfRule type="expression" dxfId="1114" priority="474">
      <formula>"&gt;&lt;0"</formula>
    </cfRule>
  </conditionalFormatting>
  <conditionalFormatting sqref="F124:F125">
    <cfRule type="expression" dxfId="1113" priority="473">
      <formula>"&gt;=0"</formula>
    </cfRule>
    <cfRule type="expression" dxfId="1112" priority="475">
      <formula>"&lt;&gt;0"</formula>
    </cfRule>
  </conditionalFormatting>
  <conditionalFormatting sqref="F124:F126">
    <cfRule type="expression" dxfId="1111" priority="339">
      <formula>"&gt;&lt;0"</formula>
    </cfRule>
  </conditionalFormatting>
  <conditionalFormatting sqref="F126">
    <cfRule type="expression" dxfId="1110" priority="338">
      <formula>"&gt;=0"</formula>
    </cfRule>
    <cfRule type="expression" dxfId="1109" priority="340">
      <formula>"&lt;&gt;0"</formula>
    </cfRule>
    <cfRule type="expression" dxfId="1108" priority="337">
      <formula>"&gt;&lt;0"</formula>
    </cfRule>
  </conditionalFormatting>
  <conditionalFormatting sqref="F127">
    <cfRule type="expression" dxfId="1107" priority="468">
      <formula>"&gt;=0"</formula>
    </cfRule>
    <cfRule type="expression" dxfId="1106" priority="469">
      <formula>"&gt;&lt;0"</formula>
    </cfRule>
    <cfRule type="expression" dxfId="1105" priority="470">
      <formula>"&lt;&gt;0"</formula>
    </cfRule>
  </conditionalFormatting>
  <conditionalFormatting sqref="F127:F128">
    <cfRule type="expression" dxfId="1104" priority="464">
      <formula>"&gt;&lt;0"</formula>
    </cfRule>
  </conditionalFormatting>
  <conditionalFormatting sqref="F128">
    <cfRule type="expression" dxfId="1103" priority="463">
      <formula>"&gt;=0"</formula>
    </cfRule>
    <cfRule type="expression" dxfId="1102" priority="465">
      <formula>"&lt;&gt;0"</formula>
    </cfRule>
  </conditionalFormatting>
  <conditionalFormatting sqref="F128:F130">
    <cfRule type="expression" dxfId="1101" priority="354">
      <formula>"&gt;&lt;0"</formula>
    </cfRule>
  </conditionalFormatting>
  <conditionalFormatting sqref="F129:F130">
    <cfRule type="expression" dxfId="1100" priority="355">
      <formula>"&lt;&gt;0"</formula>
    </cfRule>
    <cfRule type="expression" dxfId="1099" priority="353">
      <formula>"&gt;=0"</formula>
    </cfRule>
    <cfRule type="expression" dxfId="1098" priority="352">
      <formula>"&gt;&lt;0"</formula>
    </cfRule>
  </conditionalFormatting>
  <conditionalFormatting sqref="F134:F135">
    <cfRule type="expression" dxfId="1097" priority="658">
      <formula>"&lt;&gt;0"</formula>
    </cfRule>
    <cfRule type="expression" dxfId="1096" priority="656">
      <formula>"&gt;=0"</formula>
    </cfRule>
    <cfRule type="expression" dxfId="1095" priority="657">
      <formula>"&gt;&lt;0"</formula>
    </cfRule>
  </conditionalFormatting>
  <conditionalFormatting sqref="F137">
    <cfRule type="expression" dxfId="1094" priority="652">
      <formula>"&gt;&lt;0"</formula>
    </cfRule>
    <cfRule type="expression" dxfId="1093" priority="653">
      <formula>"&lt;&gt;0"</formula>
    </cfRule>
    <cfRule type="expression" dxfId="1092" priority="651">
      <formula>"&gt;=0"</formula>
    </cfRule>
  </conditionalFormatting>
  <conditionalFormatting sqref="F137:F138">
    <cfRule type="expression" dxfId="1091" priority="554">
      <formula>"&gt;&lt;0"</formula>
    </cfRule>
  </conditionalFormatting>
  <conditionalFormatting sqref="F138">
    <cfRule type="expression" dxfId="1090" priority="555">
      <formula>"&lt;&gt;0"</formula>
    </cfRule>
    <cfRule type="expression" dxfId="1089" priority="553">
      <formula>"&gt;=0"</formula>
    </cfRule>
  </conditionalFormatting>
  <conditionalFormatting sqref="F138:F139">
    <cfRule type="expression" dxfId="1088" priority="544">
      <formula>"&gt;&lt;0"</formula>
    </cfRule>
  </conditionalFormatting>
  <conditionalFormatting sqref="F139">
    <cfRule type="expression" dxfId="1087" priority="542">
      <formula>"&gt;&lt;0"</formula>
    </cfRule>
    <cfRule type="expression" dxfId="1086" priority="543">
      <formula>"&gt;=0"</formula>
    </cfRule>
    <cfRule type="expression" dxfId="1085" priority="545">
      <formula>"&lt;&gt;0"</formula>
    </cfRule>
  </conditionalFormatting>
  <conditionalFormatting sqref="F141">
    <cfRule type="expression" dxfId="1084" priority="349">
      <formula>"&gt;&lt;0"</formula>
    </cfRule>
    <cfRule type="expression" dxfId="1083" priority="350">
      <formula>"&lt;&gt;0"</formula>
    </cfRule>
    <cfRule type="expression" dxfId="1082" priority="348">
      <formula>"&gt;=0"</formula>
    </cfRule>
  </conditionalFormatting>
  <conditionalFormatting sqref="F143:F145">
    <cfRule type="expression" dxfId="1081" priority="648">
      <formula>"&lt;&gt;0"</formula>
    </cfRule>
    <cfRule type="expression" dxfId="1080" priority="647">
      <formula>"&gt;&lt;0"</formula>
    </cfRule>
    <cfRule type="expression" dxfId="1079" priority="646">
      <formula>"&gt;=0"</formula>
    </cfRule>
  </conditionalFormatting>
  <conditionalFormatting sqref="F147:F149">
    <cfRule type="expression" dxfId="1078" priority="314">
      <formula>"&gt;&lt;0"</formula>
    </cfRule>
  </conditionalFormatting>
  <conditionalFormatting sqref="F148">
    <cfRule type="expression" dxfId="1077" priority="312">
      <formula>"&gt;&lt;0"</formula>
    </cfRule>
    <cfRule type="expression" dxfId="1076" priority="313">
      <formula>"&gt;=0"</formula>
    </cfRule>
    <cfRule type="expression" dxfId="1075" priority="315">
      <formula>"&lt;&gt;0"</formula>
    </cfRule>
  </conditionalFormatting>
  <conditionalFormatting sqref="F149">
    <cfRule type="expression" dxfId="1074" priority="535">
      <formula>"&lt;&gt;0"</formula>
    </cfRule>
    <cfRule type="expression" dxfId="1073" priority="533">
      <formula>"&gt;=0"</formula>
    </cfRule>
  </conditionalFormatting>
  <conditionalFormatting sqref="F149:F151">
    <cfRule type="expression" dxfId="1072" priority="534">
      <formula>"&gt;&lt;0"</formula>
    </cfRule>
  </conditionalFormatting>
  <conditionalFormatting sqref="F12:G12 F16:G18 F20:G21">
    <cfRule type="expression" priority="684">
      <formula>"""&gt;&lt;0"""</formula>
    </cfRule>
    <cfRule type="expression" dxfId="1071" priority="687">
      <formula>"&gt;&lt;0"</formula>
    </cfRule>
  </conditionalFormatting>
  <conditionalFormatting sqref="F14:G15">
    <cfRule type="expression" dxfId="1070" priority="330">
      <formula>"&lt;&gt;0"</formula>
    </cfRule>
    <cfRule type="expression" dxfId="1069" priority="328">
      <formula>"&gt;=0"</formula>
    </cfRule>
    <cfRule type="expression" dxfId="1068" priority="327">
      <formula>"&gt;&lt;0"</formula>
    </cfRule>
  </conditionalFormatting>
  <conditionalFormatting sqref="F19:G19">
    <cfRule type="expression" dxfId="1067" priority="455">
      <formula>"&lt;&gt;0"</formula>
    </cfRule>
    <cfRule type="expression" dxfId="1066" priority="453">
      <formula>"&gt;=0"</formula>
    </cfRule>
    <cfRule type="expression" dxfId="1065" priority="452">
      <formula>"&gt;&lt;0"</formula>
    </cfRule>
  </conditionalFormatting>
  <conditionalFormatting sqref="F22:G22">
    <cfRule type="expression" dxfId="1064" priority="444">
      <formula>"&gt;&lt;0"</formula>
    </cfRule>
  </conditionalFormatting>
  <conditionalFormatting sqref="F23:G23">
    <cfRule type="expression" dxfId="1063" priority="435">
      <formula>"&lt;&gt;0"</formula>
    </cfRule>
    <cfRule type="expression" dxfId="1062" priority="433">
      <formula>"&gt;=0"</formula>
    </cfRule>
    <cfRule type="expression" dxfId="1061" priority="432">
      <formula>"&gt;&lt;0"</formula>
    </cfRule>
  </conditionalFormatting>
  <conditionalFormatting sqref="F24:G27 F29:G32 F55:F56 F60:F61 F81 F91:F93 F122:F123 F147 F150:F151">
    <cfRule type="expression" dxfId="1060" priority="642">
      <formula>"&gt;&lt;0"</formula>
    </cfRule>
    <cfRule type="expression" dxfId="1059" priority="643">
      <formula>"&lt;&gt;0"</formula>
    </cfRule>
  </conditionalFormatting>
  <conditionalFormatting sqref="F24:G27 F29:G32 F150:F151 F122:F123 F55:F56 F91:F93 F147 F60:F61 F81">
    <cfRule type="expression" dxfId="1058" priority="641">
      <formula>"&gt;=0"</formula>
    </cfRule>
  </conditionalFormatting>
  <conditionalFormatting sqref="F24:G27 F29:G32">
    <cfRule type="expression" dxfId="1057" priority="640">
      <formula>"&gt;&lt;0"</formula>
    </cfRule>
  </conditionalFormatting>
  <conditionalFormatting sqref="F24:G32">
    <cfRule type="expression" priority="6">
      <formula>"""&gt;&lt;0"""</formula>
    </cfRule>
  </conditionalFormatting>
  <conditionalFormatting sqref="F28:G28">
    <cfRule type="expression" dxfId="1056" priority="10">
      <formula>"&lt;&gt;0"</formula>
    </cfRule>
    <cfRule type="expression" dxfId="1055" priority="9">
      <formula>"&gt;&lt;0"</formula>
    </cfRule>
    <cfRule type="expression" dxfId="1054" priority="8">
      <formula>"&gt;=0"</formula>
    </cfRule>
    <cfRule type="expression" dxfId="1053" priority="4">
      <formula>"&gt;&lt;0"</formula>
    </cfRule>
  </conditionalFormatting>
  <conditionalFormatting sqref="F33:G33">
    <cfRule type="expression" dxfId="1052" priority="499">
      <formula>"&gt;&lt;0"</formula>
    </cfRule>
  </conditionalFormatting>
  <conditionalFormatting sqref="F35:G47">
    <cfRule type="expression" priority="81">
      <formula>"""&gt;&lt;0"""</formula>
    </cfRule>
    <cfRule type="expression" dxfId="1051" priority="84">
      <formula>"&gt;&lt;0"</formula>
    </cfRule>
  </conditionalFormatting>
  <conditionalFormatting sqref="F50:G58">
    <cfRule type="expression" priority="76">
      <formula>"""&gt;&lt;0"""</formula>
    </cfRule>
  </conditionalFormatting>
  <conditionalFormatting sqref="F60:G81">
    <cfRule type="expression" priority="61">
      <formula>"""&gt;&lt;0"""</formula>
    </cfRule>
  </conditionalFormatting>
  <conditionalFormatting sqref="F83:G89">
    <cfRule type="expression" priority="56">
      <formula>"""&gt;&lt;0"""</formula>
    </cfRule>
    <cfRule type="expression" dxfId="1050" priority="59">
      <formula>"&gt;&lt;0"</formula>
    </cfRule>
  </conditionalFormatting>
  <conditionalFormatting sqref="F91:G99">
    <cfRule type="expression" priority="51">
      <formula>"""&gt;&lt;0"""</formula>
    </cfRule>
  </conditionalFormatting>
  <conditionalFormatting sqref="F102:G120">
    <cfRule type="expression" priority="91">
      <formula>"""&gt;&lt;0"""</formula>
    </cfRule>
  </conditionalFormatting>
  <conditionalFormatting sqref="F103:G103">
    <cfRule type="expression" dxfId="1049" priority="617">
      <formula>"&gt;&lt;0"</formula>
    </cfRule>
  </conditionalFormatting>
  <conditionalFormatting sqref="F106:G111">
    <cfRule type="expression" dxfId="1048" priority="607">
      <formula>"&gt;&lt;0"</formula>
    </cfRule>
  </conditionalFormatting>
  <conditionalFormatting sqref="F110:G111 F113:G118">
    <cfRule type="expression" dxfId="1047" priority="638">
      <formula>"&lt;&gt;0"</formula>
    </cfRule>
    <cfRule type="expression" dxfId="1046" priority="636">
      <formula>"&gt;=0"</formula>
    </cfRule>
  </conditionalFormatting>
  <conditionalFormatting sqref="F112:G112">
    <cfRule type="expression" dxfId="1045" priority="379">
      <formula>"&gt;&lt;0"</formula>
    </cfRule>
  </conditionalFormatting>
  <conditionalFormatting sqref="F112:G118">
    <cfRule type="expression" dxfId="1044" priority="389">
      <formula>"&gt;&lt;0"</formula>
    </cfRule>
  </conditionalFormatting>
  <conditionalFormatting sqref="F119:G119">
    <cfRule type="expression" dxfId="1043" priority="369">
      <formula>"&gt;&lt;0"</formula>
    </cfRule>
    <cfRule type="expression" dxfId="1042" priority="359">
      <formula>"&gt;&lt;0"</formula>
    </cfRule>
  </conditionalFormatting>
  <conditionalFormatting sqref="F120:G120">
    <cfRule type="expression" dxfId="1041" priority="94">
      <formula>"&gt;&lt;0"</formula>
    </cfRule>
    <cfRule type="expression" dxfId="1040" priority="104">
      <formula>"&gt;&lt;0"</formula>
    </cfRule>
  </conditionalFormatting>
  <conditionalFormatting sqref="F122:G130">
    <cfRule type="expression" priority="46">
      <formula>"""&gt;&lt;0"""</formula>
    </cfRule>
  </conditionalFormatting>
  <conditionalFormatting sqref="F134:G135">
    <cfRule type="expression" dxfId="1039" priority="44">
      <formula>"&gt;&lt;0"</formula>
    </cfRule>
    <cfRule type="expression" priority="41">
      <formula>"""&gt;&lt;0"""</formula>
    </cfRule>
  </conditionalFormatting>
  <conditionalFormatting sqref="F137:G139">
    <cfRule type="expression" priority="36">
      <formula>"""&gt;&lt;0"""</formula>
    </cfRule>
  </conditionalFormatting>
  <conditionalFormatting sqref="F141:G141">
    <cfRule type="expression" dxfId="1038" priority="34">
      <formula>"&gt;&lt;0"</formula>
    </cfRule>
    <cfRule type="expression" priority="31">
      <formula>"""&gt;&lt;0"""</formula>
    </cfRule>
  </conditionalFormatting>
  <conditionalFormatting sqref="F143:G145">
    <cfRule type="expression" dxfId="1037" priority="29">
      <formula>"&gt;&lt;0"</formula>
    </cfRule>
    <cfRule type="expression" priority="26">
      <formula>"""&gt;&lt;0"""</formula>
    </cfRule>
  </conditionalFormatting>
  <conditionalFormatting sqref="F147:G151">
    <cfRule type="expression" priority="21">
      <formula>"""&gt;&lt;0"""</formula>
    </cfRule>
  </conditionalFormatting>
  <conditionalFormatting sqref="G12 G16:G18 G20:G21">
    <cfRule type="expression" dxfId="1036" priority="691">
      <formula>"&gt;=0"</formula>
    </cfRule>
    <cfRule type="expression" dxfId="1035" priority="693">
      <formula>"&lt;&gt;0"</formula>
    </cfRule>
    <cfRule type="expression" dxfId="1034" priority="692">
      <formula>"&gt;&lt;0"</formula>
    </cfRule>
  </conditionalFormatting>
  <conditionalFormatting sqref="G13:G27 G29:G33">
    <cfRule type="expression" dxfId="1033" priority="524">
      <formula>"&gt;&lt;0"</formula>
    </cfRule>
    <cfRule type="expression" dxfId="1032" priority="525">
      <formula>"&lt;&gt;0"</formula>
    </cfRule>
  </conditionalFormatting>
  <conditionalFormatting sqref="G13:G27">
    <cfRule type="expression" dxfId="1031" priority="459">
      <formula>"&gt;&lt;0"</formula>
    </cfRule>
  </conditionalFormatting>
  <conditionalFormatting sqref="G13:G33">
    <cfRule type="expression" priority="1">
      <formula>"""&gt;&lt;0"""</formula>
    </cfRule>
  </conditionalFormatting>
  <conditionalFormatting sqref="G14:G15">
    <cfRule type="expression" dxfId="1030" priority="334">
      <formula>"&gt;&lt;0"</formula>
    </cfRule>
  </conditionalFormatting>
  <conditionalFormatting sqref="G22">
    <cfRule type="expression" dxfId="1029" priority="449">
      <formula>"&gt;&lt;0"</formula>
    </cfRule>
    <cfRule type="expression" dxfId="1028" priority="448">
      <formula>"&gt;=0"</formula>
    </cfRule>
    <cfRule type="expression" dxfId="1027" priority="450">
      <formula>"&lt;&gt;0"</formula>
    </cfRule>
  </conditionalFormatting>
  <conditionalFormatting sqref="G23">
    <cfRule type="expression" dxfId="1026" priority="439">
      <formula>"&gt;&lt;0"</formula>
    </cfRule>
  </conditionalFormatting>
  <conditionalFormatting sqref="G28">
    <cfRule type="expression" dxfId="1025" priority="5">
      <formula>"&lt;&gt;0"</formula>
    </cfRule>
    <cfRule type="expression" dxfId="1024" priority="2">
      <formula>"&gt;&lt;0"</formula>
    </cfRule>
    <cfRule type="expression" dxfId="1023" priority="3">
      <formula>"&gt;=0"</formula>
    </cfRule>
  </conditionalFormatting>
  <conditionalFormatting sqref="G29:G33 G13:G27">
    <cfRule type="expression" dxfId="1022" priority="523">
      <formula>"&gt;=0"</formula>
    </cfRule>
  </conditionalFormatting>
  <conditionalFormatting sqref="G29:G33">
    <cfRule type="expression" dxfId="1021" priority="504">
      <formula>"&gt;&lt;0"</formula>
    </cfRule>
  </conditionalFormatting>
  <conditionalFormatting sqref="G33">
    <cfRule type="expression" dxfId="1020" priority="503">
      <formula>"&gt;=0"</formula>
    </cfRule>
    <cfRule type="expression" dxfId="1019" priority="505">
      <formula>"&lt;&gt;0"</formula>
    </cfRule>
  </conditionalFormatting>
  <conditionalFormatting sqref="G35:G47">
    <cfRule type="expression" dxfId="1018" priority="88">
      <formula>"&gt;=0"</formula>
    </cfRule>
    <cfRule type="expression" dxfId="1017" priority="89">
      <formula>"&gt;&lt;0"</formula>
    </cfRule>
    <cfRule type="expression" dxfId="1016" priority="90">
      <formula>"&lt;&gt;0"</formula>
    </cfRule>
  </conditionalFormatting>
  <conditionalFormatting sqref="G50:G58">
    <cfRule type="expression" dxfId="1015" priority="77">
      <formula>"&gt;&lt;0"</formula>
    </cfRule>
    <cfRule type="expression" dxfId="1014" priority="78">
      <formula>"&gt;=0"</formula>
    </cfRule>
    <cfRule type="expression" dxfId="1013" priority="80">
      <formula>"&lt;&gt;0"</formula>
    </cfRule>
    <cfRule type="expression" dxfId="1012" priority="79">
      <formula>"&gt;&lt;0"</formula>
    </cfRule>
  </conditionalFormatting>
  <conditionalFormatting sqref="G60:G64">
    <cfRule type="expression" dxfId="1011" priority="73">
      <formula>"&gt;=0"</formula>
    </cfRule>
    <cfRule type="expression" dxfId="1010" priority="74">
      <formula>"&gt;&lt;0"</formula>
    </cfRule>
    <cfRule type="expression" dxfId="1009" priority="75">
      <formula>"&lt;&gt;0"</formula>
    </cfRule>
  </conditionalFormatting>
  <conditionalFormatting sqref="G60:G80">
    <cfRule type="expression" dxfId="1008" priority="69">
      <formula>"&gt;&lt;0"</formula>
    </cfRule>
  </conditionalFormatting>
  <conditionalFormatting sqref="G65:G80">
    <cfRule type="expression" dxfId="1007" priority="68">
      <formula>"&gt;=0"</formula>
    </cfRule>
    <cfRule type="expression" dxfId="1006" priority="70">
      <formula>"&lt;&gt;0"</formula>
    </cfRule>
  </conditionalFormatting>
  <conditionalFormatting sqref="G65:G81">
    <cfRule type="expression" dxfId="1005" priority="64">
      <formula>"&gt;&lt;0"</formula>
    </cfRule>
  </conditionalFormatting>
  <conditionalFormatting sqref="G81">
    <cfRule type="expression" dxfId="1004" priority="65">
      <formula>"&lt;&gt;0"</formula>
    </cfRule>
    <cfRule type="expression" dxfId="1003" priority="63">
      <formula>"&gt;=0"</formula>
    </cfRule>
    <cfRule type="expression" dxfId="1002" priority="62">
      <formula>"&gt;&lt;0"</formula>
    </cfRule>
  </conditionalFormatting>
  <conditionalFormatting sqref="G83:G89">
    <cfRule type="expression" dxfId="1001" priority="60">
      <formula>"&lt;&gt;0"</formula>
    </cfRule>
    <cfRule type="expression" dxfId="1000" priority="58">
      <formula>"&gt;=0"</formula>
    </cfRule>
    <cfRule type="expression" dxfId="999" priority="57">
      <formula>"&gt;&lt;0"</formula>
    </cfRule>
  </conditionalFormatting>
  <conditionalFormatting sqref="G91:G99">
    <cfRule type="expression" dxfId="998" priority="52">
      <formula>"&gt;&lt;0"</formula>
    </cfRule>
    <cfRule type="expression" dxfId="997" priority="55">
      <formula>"&lt;&gt;0"</formula>
    </cfRule>
    <cfRule type="expression" dxfId="996" priority="54">
      <formula>"&gt;&lt;0"</formula>
    </cfRule>
    <cfRule type="expression" dxfId="995" priority="53">
      <formula>"&gt;=0"</formula>
    </cfRule>
  </conditionalFormatting>
  <conditionalFormatting sqref="G102:G120">
    <cfRule type="expression" dxfId="994" priority="637">
      <formula>"&gt;&lt;0"</formula>
    </cfRule>
    <cfRule type="expression" dxfId="993" priority="671">
      <formula>"&gt;=0"</formula>
    </cfRule>
    <cfRule type="expression" dxfId="992" priority="673">
      <formula>"&lt;&gt;0"</formula>
    </cfRule>
    <cfRule type="expression" dxfId="991" priority="672">
      <formula>"&gt;&lt;0"</formula>
    </cfRule>
  </conditionalFormatting>
  <conditionalFormatting sqref="G103">
    <cfRule type="expression" dxfId="990" priority="621">
      <formula>"&gt;=0"</formula>
    </cfRule>
    <cfRule type="expression" dxfId="989" priority="622">
      <formula>"&gt;&lt;0"</formula>
    </cfRule>
    <cfRule type="expression" dxfId="988" priority="623">
      <formula>"&lt;&gt;0"</formula>
    </cfRule>
  </conditionalFormatting>
  <conditionalFormatting sqref="G106:G109">
    <cfRule type="expression" dxfId="987" priority="612">
      <formula>"&gt;&lt;0"</formula>
    </cfRule>
    <cfRule type="expression" dxfId="986" priority="613">
      <formula>"&lt;&gt;0"</formula>
    </cfRule>
    <cfRule type="expression" dxfId="985" priority="611">
      <formula>"&gt;=0"</formula>
    </cfRule>
  </conditionalFormatting>
  <conditionalFormatting sqref="G112">
    <cfRule type="expression" dxfId="984" priority="380">
      <formula>"&lt;&gt;0"</formula>
    </cfRule>
    <cfRule type="expression" dxfId="983" priority="394">
      <formula>"&gt;&lt;0"</formula>
    </cfRule>
    <cfRule type="expression" dxfId="982" priority="393">
      <formula>"&gt;=0"</formula>
    </cfRule>
    <cfRule type="expression" dxfId="981" priority="395">
      <formula>"&lt;&gt;0"</formula>
    </cfRule>
    <cfRule type="expression" dxfId="980" priority="377">
      <formula>"&gt;&lt;0"</formula>
    </cfRule>
    <cfRule type="expression" dxfId="979" priority="378">
      <formula>"&gt;=0"</formula>
    </cfRule>
  </conditionalFormatting>
  <conditionalFormatting sqref="G119">
    <cfRule type="expression" dxfId="978" priority="375">
      <formula>"&lt;&gt;0"</formula>
    </cfRule>
    <cfRule type="expression" dxfId="977" priority="373">
      <formula>"&gt;=0"</formula>
    </cfRule>
    <cfRule type="expression" dxfId="976" priority="374">
      <formula>"&gt;&lt;0"</formula>
    </cfRule>
    <cfRule type="expression" dxfId="975" priority="358">
      <formula>"&gt;=0"</formula>
    </cfRule>
    <cfRule type="expression" dxfId="974" priority="360">
      <formula>"&lt;&gt;0"</formula>
    </cfRule>
  </conditionalFormatting>
  <conditionalFormatting sqref="G119:G120">
    <cfRule type="expression" dxfId="973" priority="109">
      <formula>"&gt;&lt;0"</formula>
    </cfRule>
  </conditionalFormatting>
  <conditionalFormatting sqref="G120">
    <cfRule type="expression" dxfId="972" priority="93">
      <formula>"&gt;=0"</formula>
    </cfRule>
    <cfRule type="expression" dxfId="971" priority="92">
      <formula>"&gt;&lt;0"</formula>
    </cfRule>
    <cfRule type="expression" dxfId="970" priority="95">
      <formula>"&lt;&gt;0"</formula>
    </cfRule>
    <cfRule type="expression" dxfId="969" priority="108">
      <formula>"&gt;=0"</formula>
    </cfRule>
    <cfRule type="expression" dxfId="968" priority="110">
      <formula>"&lt;&gt;0"</formula>
    </cfRule>
  </conditionalFormatting>
  <conditionalFormatting sqref="G122:G130">
    <cfRule type="expression" dxfId="967" priority="47">
      <formula>"&gt;&lt;0"</formula>
    </cfRule>
    <cfRule type="expression" dxfId="966" priority="48">
      <formula>"&gt;=0"</formula>
    </cfRule>
    <cfRule type="expression" dxfId="965" priority="49">
      <formula>"&gt;&lt;0"</formula>
    </cfRule>
    <cfRule type="expression" dxfId="964" priority="50">
      <formula>"&lt;&gt;0"</formula>
    </cfRule>
  </conditionalFormatting>
  <conditionalFormatting sqref="G134:G135">
    <cfRule type="expression" dxfId="963" priority="42">
      <formula>"&gt;&lt;0"</formula>
    </cfRule>
    <cfRule type="expression" dxfId="962" priority="43">
      <formula>"&gt;=0"</formula>
    </cfRule>
    <cfRule type="expression" dxfId="961" priority="45">
      <formula>"&lt;&gt;0"</formula>
    </cfRule>
  </conditionalFormatting>
  <conditionalFormatting sqref="G137:G139">
    <cfRule type="expression" dxfId="960" priority="38">
      <formula>"&gt;=0"</formula>
    </cfRule>
    <cfRule type="expression" dxfId="959" priority="39">
      <formula>"&gt;&lt;0"</formula>
    </cfRule>
    <cfRule type="expression" dxfId="958" priority="40">
      <formula>"&lt;&gt;0"</formula>
    </cfRule>
    <cfRule type="expression" dxfId="957" priority="37">
      <formula>"&gt;&lt;0"</formula>
    </cfRule>
  </conditionalFormatting>
  <conditionalFormatting sqref="G141">
    <cfRule type="expression" dxfId="956" priority="32">
      <formula>"&gt;&lt;0"</formula>
    </cfRule>
    <cfRule type="expression" dxfId="955" priority="33">
      <formula>"&gt;=0"</formula>
    </cfRule>
    <cfRule type="expression" dxfId="954" priority="35">
      <formula>"&lt;&gt;0"</formula>
    </cfRule>
  </conditionalFormatting>
  <conditionalFormatting sqref="G143:G145">
    <cfRule type="expression" dxfId="953" priority="27">
      <formula>"&gt;&lt;0"</formula>
    </cfRule>
    <cfRule type="expression" dxfId="952" priority="28">
      <formula>"&gt;=0"</formula>
    </cfRule>
    <cfRule type="expression" dxfId="951" priority="30">
      <formula>"&lt;&gt;0"</formula>
    </cfRule>
  </conditionalFormatting>
  <conditionalFormatting sqref="G147:G151">
    <cfRule type="expression" dxfId="950" priority="22">
      <formula>"&gt;&lt;0"</formula>
    </cfRule>
    <cfRule type="expression" dxfId="949" priority="23">
      <formula>"&gt;=0"</formula>
    </cfRule>
    <cfRule type="expression" dxfId="948" priority="24">
      <formula>"&gt;&lt;0"</formula>
    </cfRule>
    <cfRule type="expression" dxfId="947" priority="25">
      <formula>"&lt;&gt;0"</formula>
    </cfRule>
  </conditionalFormatting>
  <conditionalFormatting sqref="I199:J199">
    <cfRule type="cellIs" dxfId="946" priority="556" stopIfTrue="1" operator="notEqual">
      <formula>0</formula>
    </cfRule>
  </conditionalFormatting>
  <conditionalFormatting sqref="I234:J234">
    <cfRule type="cellIs" dxfId="945" priority="557" operator="notEqual">
      <formula>0</formula>
    </cfRule>
    <cfRule type="cellIs" dxfId="944" priority="559" stopIfTrue="1" operator="notEqual">
      <formula>0</formula>
    </cfRule>
  </conditionalFormatting>
  <conditionalFormatting sqref="I259:J259">
    <cfRule type="cellIs" dxfId="943" priority="560" stopIfTrue="1" operator="notEqual">
      <formula>0</formula>
    </cfRule>
  </conditionalFormatting>
  <conditionalFormatting sqref="L199 I209:L209 I223:J223 I242:J242 I249:J249">
    <cfRule type="cellIs" dxfId="942" priority="563" stopIfTrue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FB42-4B7E-4746-A632-9A80E0189A22}">
  <sheetPr>
    <tabColor theme="9" tint="0.79998168889431442"/>
  </sheetPr>
  <dimension ref="B1:AD260"/>
  <sheetViews>
    <sheetView zoomScaleNormal="100" workbookViewId="0">
      <pane xSplit="5" ySplit="7" topLeftCell="F14" activePane="bottomRight" state="frozen"/>
      <selection activeCell="Z107" sqref="Z107"/>
      <selection pane="topRight" activeCell="Z107" sqref="Z107"/>
      <selection pane="bottomLeft" activeCell="Z107" sqref="Z107"/>
      <selection pane="bottomRight" activeCell="I14" sqref="I14"/>
    </sheetView>
  </sheetViews>
  <sheetFormatPr defaultRowHeight="12"/>
  <cols>
    <col min="1" max="1" width="3" style="114" customWidth="1"/>
    <col min="2" max="2" width="7.375" style="114" customWidth="1"/>
    <col min="3" max="3" width="17.375" style="114" customWidth="1"/>
    <col min="4" max="5" width="14.5" style="114" customWidth="1"/>
    <col min="6" max="6" width="12.75" style="114" customWidth="1"/>
    <col min="7" max="7" width="14.625" style="114" customWidth="1"/>
    <col min="8" max="8" width="12.75" style="114" customWidth="1"/>
    <col min="9" max="9" width="13.75" style="114" customWidth="1"/>
    <col min="10" max="11" width="12.75" style="114" customWidth="1"/>
    <col min="12" max="12" width="14.5" style="114" customWidth="1"/>
    <col min="13" max="13" width="12.75" style="114" customWidth="1"/>
    <col min="14" max="14" width="14" style="115" customWidth="1"/>
    <col min="15" max="22" width="12.75" style="115" customWidth="1"/>
    <col min="23" max="23" width="14.625" style="115" customWidth="1"/>
    <col min="24" max="24" width="14.625" style="114" customWidth="1"/>
    <col min="25" max="251" width="8.75" style="114"/>
    <col min="252" max="252" width="3" style="114" customWidth="1"/>
    <col min="253" max="253" width="17.375" style="114" customWidth="1"/>
    <col min="254" max="272" width="12.75" style="114" customWidth="1"/>
    <col min="273" max="274" width="16.75" style="114" customWidth="1"/>
    <col min="275" max="507" width="8.75" style="114"/>
    <col min="508" max="508" width="3" style="114" customWidth="1"/>
    <col min="509" max="509" width="17.375" style="114" customWidth="1"/>
    <col min="510" max="528" width="12.75" style="114" customWidth="1"/>
    <col min="529" max="530" width="16.75" style="114" customWidth="1"/>
    <col min="531" max="763" width="8.75" style="114"/>
    <col min="764" max="764" width="3" style="114" customWidth="1"/>
    <col min="765" max="765" width="17.375" style="114" customWidth="1"/>
    <col min="766" max="784" width="12.75" style="114" customWidth="1"/>
    <col min="785" max="786" width="16.75" style="114" customWidth="1"/>
    <col min="787" max="1019" width="8.75" style="114"/>
    <col min="1020" max="1020" width="3" style="114" customWidth="1"/>
    <col min="1021" max="1021" width="17.375" style="114" customWidth="1"/>
    <col min="1022" max="1040" width="12.75" style="114" customWidth="1"/>
    <col min="1041" max="1042" width="16.75" style="114" customWidth="1"/>
    <col min="1043" max="1275" width="8.75" style="114"/>
    <col min="1276" max="1276" width="3" style="114" customWidth="1"/>
    <col min="1277" max="1277" width="17.375" style="114" customWidth="1"/>
    <col min="1278" max="1296" width="12.75" style="114" customWidth="1"/>
    <col min="1297" max="1298" width="16.75" style="114" customWidth="1"/>
    <col min="1299" max="1531" width="8.75" style="114"/>
    <col min="1532" max="1532" width="3" style="114" customWidth="1"/>
    <col min="1533" max="1533" width="17.375" style="114" customWidth="1"/>
    <col min="1534" max="1552" width="12.75" style="114" customWidth="1"/>
    <col min="1553" max="1554" width="16.75" style="114" customWidth="1"/>
    <col min="1555" max="1787" width="8.75" style="114"/>
    <col min="1788" max="1788" width="3" style="114" customWidth="1"/>
    <col min="1789" max="1789" width="17.375" style="114" customWidth="1"/>
    <col min="1790" max="1808" width="12.75" style="114" customWidth="1"/>
    <col min="1809" max="1810" width="16.75" style="114" customWidth="1"/>
    <col min="1811" max="2043" width="8.75" style="114"/>
    <col min="2044" max="2044" width="3" style="114" customWidth="1"/>
    <col min="2045" max="2045" width="17.375" style="114" customWidth="1"/>
    <col min="2046" max="2064" width="12.75" style="114" customWidth="1"/>
    <col min="2065" max="2066" width="16.75" style="114" customWidth="1"/>
    <col min="2067" max="2299" width="8.75" style="114"/>
    <col min="2300" max="2300" width="3" style="114" customWidth="1"/>
    <col min="2301" max="2301" width="17.375" style="114" customWidth="1"/>
    <col min="2302" max="2320" width="12.75" style="114" customWidth="1"/>
    <col min="2321" max="2322" width="16.75" style="114" customWidth="1"/>
    <col min="2323" max="2555" width="8.75" style="114"/>
    <col min="2556" max="2556" width="3" style="114" customWidth="1"/>
    <col min="2557" max="2557" width="17.375" style="114" customWidth="1"/>
    <col min="2558" max="2576" width="12.75" style="114" customWidth="1"/>
    <col min="2577" max="2578" width="16.75" style="114" customWidth="1"/>
    <col min="2579" max="2811" width="8.75" style="114"/>
    <col min="2812" max="2812" width="3" style="114" customWidth="1"/>
    <col min="2813" max="2813" width="17.375" style="114" customWidth="1"/>
    <col min="2814" max="2832" width="12.75" style="114" customWidth="1"/>
    <col min="2833" max="2834" width="16.75" style="114" customWidth="1"/>
    <col min="2835" max="3067" width="8.75" style="114"/>
    <col min="3068" max="3068" width="3" style="114" customWidth="1"/>
    <col min="3069" max="3069" width="17.375" style="114" customWidth="1"/>
    <col min="3070" max="3088" width="12.75" style="114" customWidth="1"/>
    <col min="3089" max="3090" width="16.75" style="114" customWidth="1"/>
    <col min="3091" max="3323" width="8.75" style="114"/>
    <col min="3324" max="3324" width="3" style="114" customWidth="1"/>
    <col min="3325" max="3325" width="17.375" style="114" customWidth="1"/>
    <col min="3326" max="3344" width="12.75" style="114" customWidth="1"/>
    <col min="3345" max="3346" width="16.75" style="114" customWidth="1"/>
    <col min="3347" max="3579" width="8.75" style="114"/>
    <col min="3580" max="3580" width="3" style="114" customWidth="1"/>
    <col min="3581" max="3581" width="17.375" style="114" customWidth="1"/>
    <col min="3582" max="3600" width="12.75" style="114" customWidth="1"/>
    <col min="3601" max="3602" width="16.75" style="114" customWidth="1"/>
    <col min="3603" max="3835" width="8.75" style="114"/>
    <col min="3836" max="3836" width="3" style="114" customWidth="1"/>
    <col min="3837" max="3837" width="17.375" style="114" customWidth="1"/>
    <col min="3838" max="3856" width="12.75" style="114" customWidth="1"/>
    <col min="3857" max="3858" width="16.75" style="114" customWidth="1"/>
    <col min="3859" max="4091" width="8.75" style="114"/>
    <col min="4092" max="4092" width="3" style="114" customWidth="1"/>
    <col min="4093" max="4093" width="17.375" style="114" customWidth="1"/>
    <col min="4094" max="4112" width="12.75" style="114" customWidth="1"/>
    <col min="4113" max="4114" width="16.75" style="114" customWidth="1"/>
    <col min="4115" max="4347" width="8.75" style="114"/>
    <col min="4348" max="4348" width="3" style="114" customWidth="1"/>
    <col min="4349" max="4349" width="17.375" style="114" customWidth="1"/>
    <col min="4350" max="4368" width="12.75" style="114" customWidth="1"/>
    <col min="4369" max="4370" width="16.75" style="114" customWidth="1"/>
    <col min="4371" max="4603" width="8.75" style="114"/>
    <col min="4604" max="4604" width="3" style="114" customWidth="1"/>
    <col min="4605" max="4605" width="17.375" style="114" customWidth="1"/>
    <col min="4606" max="4624" width="12.75" style="114" customWidth="1"/>
    <col min="4625" max="4626" width="16.75" style="114" customWidth="1"/>
    <col min="4627" max="4859" width="8.75" style="114"/>
    <col min="4860" max="4860" width="3" style="114" customWidth="1"/>
    <col min="4861" max="4861" width="17.375" style="114" customWidth="1"/>
    <col min="4862" max="4880" width="12.75" style="114" customWidth="1"/>
    <col min="4881" max="4882" width="16.75" style="114" customWidth="1"/>
    <col min="4883" max="5115" width="8.75" style="114"/>
    <col min="5116" max="5116" width="3" style="114" customWidth="1"/>
    <col min="5117" max="5117" width="17.375" style="114" customWidth="1"/>
    <col min="5118" max="5136" width="12.75" style="114" customWidth="1"/>
    <col min="5137" max="5138" width="16.75" style="114" customWidth="1"/>
    <col min="5139" max="5371" width="8.75" style="114"/>
    <col min="5372" max="5372" width="3" style="114" customWidth="1"/>
    <col min="5373" max="5373" width="17.375" style="114" customWidth="1"/>
    <col min="5374" max="5392" width="12.75" style="114" customWidth="1"/>
    <col min="5393" max="5394" width="16.75" style="114" customWidth="1"/>
    <col min="5395" max="5627" width="8.75" style="114"/>
    <col min="5628" max="5628" width="3" style="114" customWidth="1"/>
    <col min="5629" max="5629" width="17.375" style="114" customWidth="1"/>
    <col min="5630" max="5648" width="12.75" style="114" customWidth="1"/>
    <col min="5649" max="5650" width="16.75" style="114" customWidth="1"/>
    <col min="5651" max="5883" width="8.75" style="114"/>
    <col min="5884" max="5884" width="3" style="114" customWidth="1"/>
    <col min="5885" max="5885" width="17.375" style="114" customWidth="1"/>
    <col min="5886" max="5904" width="12.75" style="114" customWidth="1"/>
    <col min="5905" max="5906" width="16.75" style="114" customWidth="1"/>
    <col min="5907" max="6139" width="8.75" style="114"/>
    <col min="6140" max="6140" width="3" style="114" customWidth="1"/>
    <col min="6141" max="6141" width="17.375" style="114" customWidth="1"/>
    <col min="6142" max="6160" width="12.75" style="114" customWidth="1"/>
    <col min="6161" max="6162" width="16.75" style="114" customWidth="1"/>
    <col min="6163" max="6395" width="8.75" style="114"/>
    <col min="6396" max="6396" width="3" style="114" customWidth="1"/>
    <col min="6397" max="6397" width="17.375" style="114" customWidth="1"/>
    <col min="6398" max="6416" width="12.75" style="114" customWidth="1"/>
    <col min="6417" max="6418" width="16.75" style="114" customWidth="1"/>
    <col min="6419" max="6651" width="8.75" style="114"/>
    <col min="6652" max="6652" width="3" style="114" customWidth="1"/>
    <col min="6653" max="6653" width="17.375" style="114" customWidth="1"/>
    <col min="6654" max="6672" width="12.75" style="114" customWidth="1"/>
    <col min="6673" max="6674" width="16.75" style="114" customWidth="1"/>
    <col min="6675" max="6907" width="8.75" style="114"/>
    <col min="6908" max="6908" width="3" style="114" customWidth="1"/>
    <col min="6909" max="6909" width="17.375" style="114" customWidth="1"/>
    <col min="6910" max="6928" width="12.75" style="114" customWidth="1"/>
    <col min="6929" max="6930" width="16.75" style="114" customWidth="1"/>
    <col min="6931" max="7163" width="8.75" style="114"/>
    <col min="7164" max="7164" width="3" style="114" customWidth="1"/>
    <col min="7165" max="7165" width="17.375" style="114" customWidth="1"/>
    <col min="7166" max="7184" width="12.75" style="114" customWidth="1"/>
    <col min="7185" max="7186" width="16.75" style="114" customWidth="1"/>
    <col min="7187" max="7419" width="8.75" style="114"/>
    <col min="7420" max="7420" width="3" style="114" customWidth="1"/>
    <col min="7421" max="7421" width="17.375" style="114" customWidth="1"/>
    <col min="7422" max="7440" width="12.75" style="114" customWidth="1"/>
    <col min="7441" max="7442" width="16.75" style="114" customWidth="1"/>
    <col min="7443" max="7675" width="8.75" style="114"/>
    <col min="7676" max="7676" width="3" style="114" customWidth="1"/>
    <col min="7677" max="7677" width="17.375" style="114" customWidth="1"/>
    <col min="7678" max="7696" width="12.75" style="114" customWidth="1"/>
    <col min="7697" max="7698" width="16.75" style="114" customWidth="1"/>
    <col min="7699" max="7931" width="8.75" style="114"/>
    <col min="7932" max="7932" width="3" style="114" customWidth="1"/>
    <col min="7933" max="7933" width="17.375" style="114" customWidth="1"/>
    <col min="7934" max="7952" width="12.75" style="114" customWidth="1"/>
    <col min="7953" max="7954" width="16.75" style="114" customWidth="1"/>
    <col min="7955" max="8187" width="8.75" style="114"/>
    <col min="8188" max="8188" width="3" style="114" customWidth="1"/>
    <col min="8189" max="8189" width="17.375" style="114" customWidth="1"/>
    <col min="8190" max="8208" width="12.75" style="114" customWidth="1"/>
    <col min="8209" max="8210" width="16.75" style="114" customWidth="1"/>
    <col min="8211" max="8443" width="8.75" style="114"/>
    <col min="8444" max="8444" width="3" style="114" customWidth="1"/>
    <col min="8445" max="8445" width="17.375" style="114" customWidth="1"/>
    <col min="8446" max="8464" width="12.75" style="114" customWidth="1"/>
    <col min="8465" max="8466" width="16.75" style="114" customWidth="1"/>
    <col min="8467" max="8699" width="8.75" style="114"/>
    <col min="8700" max="8700" width="3" style="114" customWidth="1"/>
    <col min="8701" max="8701" width="17.375" style="114" customWidth="1"/>
    <col min="8702" max="8720" width="12.75" style="114" customWidth="1"/>
    <col min="8721" max="8722" width="16.75" style="114" customWidth="1"/>
    <col min="8723" max="8955" width="8.75" style="114"/>
    <col min="8956" max="8956" width="3" style="114" customWidth="1"/>
    <col min="8957" max="8957" width="17.375" style="114" customWidth="1"/>
    <col min="8958" max="8976" width="12.75" style="114" customWidth="1"/>
    <col min="8977" max="8978" width="16.75" style="114" customWidth="1"/>
    <col min="8979" max="9211" width="8.75" style="114"/>
    <col min="9212" max="9212" width="3" style="114" customWidth="1"/>
    <col min="9213" max="9213" width="17.375" style="114" customWidth="1"/>
    <col min="9214" max="9232" width="12.75" style="114" customWidth="1"/>
    <col min="9233" max="9234" width="16.75" style="114" customWidth="1"/>
    <col min="9235" max="9467" width="8.75" style="114"/>
    <col min="9468" max="9468" width="3" style="114" customWidth="1"/>
    <col min="9469" max="9469" width="17.375" style="114" customWidth="1"/>
    <col min="9470" max="9488" width="12.75" style="114" customWidth="1"/>
    <col min="9489" max="9490" width="16.75" style="114" customWidth="1"/>
    <col min="9491" max="9723" width="8.75" style="114"/>
    <col min="9724" max="9724" width="3" style="114" customWidth="1"/>
    <col min="9725" max="9725" width="17.375" style="114" customWidth="1"/>
    <col min="9726" max="9744" width="12.75" style="114" customWidth="1"/>
    <col min="9745" max="9746" width="16.75" style="114" customWidth="1"/>
    <col min="9747" max="9979" width="8.75" style="114"/>
    <col min="9980" max="9980" width="3" style="114" customWidth="1"/>
    <col min="9981" max="9981" width="17.375" style="114" customWidth="1"/>
    <col min="9982" max="10000" width="12.75" style="114" customWidth="1"/>
    <col min="10001" max="10002" width="16.75" style="114" customWidth="1"/>
    <col min="10003" max="10235" width="8.75" style="114"/>
    <col min="10236" max="10236" width="3" style="114" customWidth="1"/>
    <col min="10237" max="10237" width="17.375" style="114" customWidth="1"/>
    <col min="10238" max="10256" width="12.75" style="114" customWidth="1"/>
    <col min="10257" max="10258" width="16.75" style="114" customWidth="1"/>
    <col min="10259" max="10491" width="8.75" style="114"/>
    <col min="10492" max="10492" width="3" style="114" customWidth="1"/>
    <col min="10493" max="10493" width="17.375" style="114" customWidth="1"/>
    <col min="10494" max="10512" width="12.75" style="114" customWidth="1"/>
    <col min="10513" max="10514" width="16.75" style="114" customWidth="1"/>
    <col min="10515" max="10747" width="8.75" style="114"/>
    <col min="10748" max="10748" width="3" style="114" customWidth="1"/>
    <col min="10749" max="10749" width="17.375" style="114" customWidth="1"/>
    <col min="10750" max="10768" width="12.75" style="114" customWidth="1"/>
    <col min="10769" max="10770" width="16.75" style="114" customWidth="1"/>
    <col min="10771" max="11003" width="8.75" style="114"/>
    <col min="11004" max="11004" width="3" style="114" customWidth="1"/>
    <col min="11005" max="11005" width="17.375" style="114" customWidth="1"/>
    <col min="11006" max="11024" width="12.75" style="114" customWidth="1"/>
    <col min="11025" max="11026" width="16.75" style="114" customWidth="1"/>
    <col min="11027" max="11259" width="8.75" style="114"/>
    <col min="11260" max="11260" width="3" style="114" customWidth="1"/>
    <col min="11261" max="11261" width="17.375" style="114" customWidth="1"/>
    <col min="11262" max="11280" width="12.75" style="114" customWidth="1"/>
    <col min="11281" max="11282" width="16.75" style="114" customWidth="1"/>
    <col min="11283" max="11515" width="8.75" style="114"/>
    <col min="11516" max="11516" width="3" style="114" customWidth="1"/>
    <col min="11517" max="11517" width="17.375" style="114" customWidth="1"/>
    <col min="11518" max="11536" width="12.75" style="114" customWidth="1"/>
    <col min="11537" max="11538" width="16.75" style="114" customWidth="1"/>
    <col min="11539" max="11771" width="8.75" style="114"/>
    <col min="11772" max="11772" width="3" style="114" customWidth="1"/>
    <col min="11773" max="11773" width="17.375" style="114" customWidth="1"/>
    <col min="11774" max="11792" width="12.75" style="114" customWidth="1"/>
    <col min="11793" max="11794" width="16.75" style="114" customWidth="1"/>
    <col min="11795" max="12027" width="8.75" style="114"/>
    <col min="12028" max="12028" width="3" style="114" customWidth="1"/>
    <col min="12029" max="12029" width="17.375" style="114" customWidth="1"/>
    <col min="12030" max="12048" width="12.75" style="114" customWidth="1"/>
    <col min="12049" max="12050" width="16.75" style="114" customWidth="1"/>
    <col min="12051" max="12283" width="8.75" style="114"/>
    <col min="12284" max="12284" width="3" style="114" customWidth="1"/>
    <col min="12285" max="12285" width="17.375" style="114" customWidth="1"/>
    <col min="12286" max="12304" width="12.75" style="114" customWidth="1"/>
    <col min="12305" max="12306" width="16.75" style="114" customWidth="1"/>
    <col min="12307" max="12539" width="8.75" style="114"/>
    <col min="12540" max="12540" width="3" style="114" customWidth="1"/>
    <col min="12541" max="12541" width="17.375" style="114" customWidth="1"/>
    <col min="12542" max="12560" width="12.75" style="114" customWidth="1"/>
    <col min="12561" max="12562" width="16.75" style="114" customWidth="1"/>
    <col min="12563" max="12795" width="8.75" style="114"/>
    <col min="12796" max="12796" width="3" style="114" customWidth="1"/>
    <col min="12797" max="12797" width="17.375" style="114" customWidth="1"/>
    <col min="12798" max="12816" width="12.75" style="114" customWidth="1"/>
    <col min="12817" max="12818" width="16.75" style="114" customWidth="1"/>
    <col min="12819" max="13051" width="8.75" style="114"/>
    <col min="13052" max="13052" width="3" style="114" customWidth="1"/>
    <col min="13053" max="13053" width="17.375" style="114" customWidth="1"/>
    <col min="13054" max="13072" width="12.75" style="114" customWidth="1"/>
    <col min="13073" max="13074" width="16.75" style="114" customWidth="1"/>
    <col min="13075" max="13307" width="8.75" style="114"/>
    <col min="13308" max="13308" width="3" style="114" customWidth="1"/>
    <col min="13309" max="13309" width="17.375" style="114" customWidth="1"/>
    <col min="13310" max="13328" width="12.75" style="114" customWidth="1"/>
    <col min="13329" max="13330" width="16.75" style="114" customWidth="1"/>
    <col min="13331" max="13563" width="8.75" style="114"/>
    <col min="13564" max="13564" width="3" style="114" customWidth="1"/>
    <col min="13565" max="13565" width="17.375" style="114" customWidth="1"/>
    <col min="13566" max="13584" width="12.75" style="114" customWidth="1"/>
    <col min="13585" max="13586" width="16.75" style="114" customWidth="1"/>
    <col min="13587" max="13819" width="8.75" style="114"/>
    <col min="13820" max="13820" width="3" style="114" customWidth="1"/>
    <col min="13821" max="13821" width="17.375" style="114" customWidth="1"/>
    <col min="13822" max="13840" width="12.75" style="114" customWidth="1"/>
    <col min="13841" max="13842" width="16.75" style="114" customWidth="1"/>
    <col min="13843" max="14075" width="8.75" style="114"/>
    <col min="14076" max="14076" width="3" style="114" customWidth="1"/>
    <col min="14077" max="14077" width="17.375" style="114" customWidth="1"/>
    <col min="14078" max="14096" width="12.75" style="114" customWidth="1"/>
    <col min="14097" max="14098" width="16.75" style="114" customWidth="1"/>
    <col min="14099" max="14331" width="8.75" style="114"/>
    <col min="14332" max="14332" width="3" style="114" customWidth="1"/>
    <col min="14333" max="14333" width="17.375" style="114" customWidth="1"/>
    <col min="14334" max="14352" width="12.75" style="114" customWidth="1"/>
    <col min="14353" max="14354" width="16.75" style="114" customWidth="1"/>
    <col min="14355" max="14587" width="8.75" style="114"/>
    <col min="14588" max="14588" width="3" style="114" customWidth="1"/>
    <col min="14589" max="14589" width="17.375" style="114" customWidth="1"/>
    <col min="14590" max="14608" width="12.75" style="114" customWidth="1"/>
    <col min="14609" max="14610" width="16.75" style="114" customWidth="1"/>
    <col min="14611" max="14843" width="8.75" style="114"/>
    <col min="14844" max="14844" width="3" style="114" customWidth="1"/>
    <col min="14845" max="14845" width="17.375" style="114" customWidth="1"/>
    <col min="14846" max="14864" width="12.75" style="114" customWidth="1"/>
    <col min="14865" max="14866" width="16.75" style="114" customWidth="1"/>
    <col min="14867" max="15099" width="8.75" style="114"/>
    <col min="15100" max="15100" width="3" style="114" customWidth="1"/>
    <col min="15101" max="15101" width="17.375" style="114" customWidth="1"/>
    <col min="15102" max="15120" width="12.75" style="114" customWidth="1"/>
    <col min="15121" max="15122" width="16.75" style="114" customWidth="1"/>
    <col min="15123" max="15355" width="8.75" style="114"/>
    <col min="15356" max="15356" width="3" style="114" customWidth="1"/>
    <col min="15357" max="15357" width="17.375" style="114" customWidth="1"/>
    <col min="15358" max="15376" width="12.75" style="114" customWidth="1"/>
    <col min="15377" max="15378" width="16.75" style="114" customWidth="1"/>
    <col min="15379" max="15611" width="8.75" style="114"/>
    <col min="15612" max="15612" width="3" style="114" customWidth="1"/>
    <col min="15613" max="15613" width="17.375" style="114" customWidth="1"/>
    <col min="15614" max="15632" width="12.75" style="114" customWidth="1"/>
    <col min="15633" max="15634" width="16.75" style="114" customWidth="1"/>
    <col min="15635" max="15867" width="8.75" style="114"/>
    <col min="15868" max="15868" width="3" style="114" customWidth="1"/>
    <col min="15869" max="15869" width="17.375" style="114" customWidth="1"/>
    <col min="15870" max="15888" width="12.75" style="114" customWidth="1"/>
    <col min="15889" max="15890" width="16.75" style="114" customWidth="1"/>
    <col min="15891" max="16123" width="8.75" style="114"/>
    <col min="16124" max="16124" width="3" style="114" customWidth="1"/>
    <col min="16125" max="16125" width="17.375" style="114" customWidth="1"/>
    <col min="16126" max="16144" width="12.75" style="114" customWidth="1"/>
    <col min="16145" max="16146" width="16.75" style="114" customWidth="1"/>
    <col min="16147" max="16384" width="8.75" style="114"/>
  </cols>
  <sheetData>
    <row r="1" spans="2:29">
      <c r="B1" s="237" t="s">
        <v>836</v>
      </c>
      <c r="C1" s="237" t="s">
        <v>993</v>
      </c>
    </row>
    <row r="2" spans="2:29" ht="17.45" customHeight="1">
      <c r="B2" s="112"/>
      <c r="C2" s="113"/>
      <c r="D2" s="365" t="s">
        <v>542</v>
      </c>
      <c r="E2" s="365"/>
    </row>
    <row r="3" spans="2:29" ht="17.45" customHeight="1">
      <c r="B3" s="112"/>
      <c r="C3" s="113"/>
      <c r="D3" s="365"/>
      <c r="E3" s="365"/>
      <c r="W3" s="116"/>
    </row>
    <row r="4" spans="2:29" s="117" customFormat="1">
      <c r="C4" s="118" t="str">
        <f>[197]정산표!C5</f>
        <v>Balance Verification</v>
      </c>
      <c r="D4" s="119">
        <f>D100-D153</f>
        <v>0</v>
      </c>
      <c r="E4" s="119">
        <f>E100-E153</f>
        <v>0</v>
      </c>
      <c r="F4" s="117" t="s">
        <v>543</v>
      </c>
      <c r="G4" s="120">
        <f>SUM(G8:G153)</f>
        <v>0</v>
      </c>
      <c r="I4" s="121"/>
      <c r="N4" s="122"/>
      <c r="O4" s="122"/>
      <c r="P4" s="122"/>
      <c r="Q4" s="122"/>
      <c r="R4" s="122"/>
      <c r="S4" s="122"/>
      <c r="T4" s="123" t="s">
        <v>544</v>
      </c>
      <c r="U4" s="124"/>
      <c r="V4" s="125">
        <f>T154-V154</f>
        <v>0</v>
      </c>
      <c r="W4" s="122"/>
      <c r="X4" s="126">
        <f>SUM(W10:W153)-SUM(X10:X153)</f>
        <v>0</v>
      </c>
      <c r="Y4" s="122"/>
    </row>
    <row r="5" spans="2:29" s="117" customFormat="1" ht="13.15" customHeight="1">
      <c r="B5" s="366" t="s">
        <v>545</v>
      </c>
      <c r="C5" s="367" t="s">
        <v>546</v>
      </c>
      <c r="D5" s="127">
        <v>43830</v>
      </c>
      <c r="E5" s="127">
        <v>44196</v>
      </c>
      <c r="F5" s="368" t="s">
        <v>547</v>
      </c>
      <c r="G5" s="368" t="s">
        <v>548</v>
      </c>
      <c r="H5" s="128"/>
      <c r="I5" s="128"/>
      <c r="J5" s="128" t="s">
        <v>549</v>
      </c>
      <c r="K5" s="128"/>
      <c r="L5" s="128"/>
      <c r="M5" s="128"/>
      <c r="N5" s="129"/>
      <c r="O5" s="362" t="s">
        <v>550</v>
      </c>
      <c r="P5" s="362"/>
      <c r="Q5" s="361" t="s">
        <v>551</v>
      </c>
      <c r="R5" s="361"/>
      <c r="S5" s="362" t="s">
        <v>552</v>
      </c>
      <c r="T5" s="362"/>
      <c r="U5" s="362"/>
      <c r="V5" s="362"/>
      <c r="W5" s="363" t="s">
        <v>699</v>
      </c>
      <c r="X5" s="363"/>
    </row>
    <row r="6" spans="2:29" s="117" customFormat="1" ht="24">
      <c r="B6" s="367"/>
      <c r="C6" s="367"/>
      <c r="D6" s="130" t="s">
        <v>553</v>
      </c>
      <c r="E6" s="130" t="s">
        <v>553</v>
      </c>
      <c r="F6" s="369"/>
      <c r="G6" s="369"/>
      <c r="H6" s="128" t="s">
        <v>554</v>
      </c>
      <c r="I6" s="128" t="s">
        <v>555</v>
      </c>
      <c r="J6" s="128" t="s">
        <v>556</v>
      </c>
      <c r="K6" s="128" t="s">
        <v>557</v>
      </c>
      <c r="L6" s="128" t="s">
        <v>558</v>
      </c>
      <c r="M6" s="128" t="s">
        <v>559</v>
      </c>
      <c r="N6" s="131" t="s">
        <v>560</v>
      </c>
      <c r="O6" s="132" t="s">
        <v>561</v>
      </c>
      <c r="P6" s="132" t="s">
        <v>562</v>
      </c>
      <c r="Q6" s="129" t="s">
        <v>561</v>
      </c>
      <c r="R6" s="129" t="s">
        <v>562</v>
      </c>
      <c r="S6" s="132" t="s">
        <v>563</v>
      </c>
      <c r="T6" s="132" t="s">
        <v>564</v>
      </c>
      <c r="U6" s="132" t="s">
        <v>563</v>
      </c>
      <c r="V6" s="132" t="s">
        <v>565</v>
      </c>
      <c r="W6" s="133" t="s">
        <v>564</v>
      </c>
      <c r="X6" s="133" t="s">
        <v>565</v>
      </c>
    </row>
    <row r="7" spans="2:29">
      <c r="B7" s="134"/>
      <c r="C7" s="134" t="s">
        <v>14</v>
      </c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AA7" s="134"/>
      <c r="AB7" s="134" t="s">
        <v>14</v>
      </c>
    </row>
    <row r="8" spans="2:29">
      <c r="B8" s="134"/>
      <c r="C8" s="134" t="s">
        <v>566</v>
      </c>
      <c r="D8" s="136">
        <f>D9+D34</f>
        <v>23588598166</v>
      </c>
      <c r="E8" s="136">
        <f>E9+E34</f>
        <v>572917913876</v>
      </c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AA8" s="134"/>
      <c r="AB8" s="134" t="s">
        <v>566</v>
      </c>
    </row>
    <row r="9" spans="2:29">
      <c r="B9" s="137"/>
      <c r="C9" s="137" t="s">
        <v>567</v>
      </c>
      <c r="D9" s="138">
        <f>SUM(D10:D33)</f>
        <v>15831735316</v>
      </c>
      <c r="E9" s="138">
        <f>SUM(E10:E33)</f>
        <v>519871359963</v>
      </c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AA9" s="137"/>
      <c r="AB9" s="137" t="s">
        <v>567</v>
      </c>
    </row>
    <row r="10" spans="2:29">
      <c r="B10" s="139" t="s">
        <v>17</v>
      </c>
      <c r="C10" s="139" t="s">
        <v>18</v>
      </c>
      <c r="D10" s="140">
        <f>SUMIF('A-1. 별도FS_19'!$B:$B,CFwp_Korea!B10,'A-1. 별도FS_19'!$D:$D)</f>
        <v>8772043</v>
      </c>
      <c r="E10" s="140">
        <f>SUMIF('A-1. 별도FS_20'!$B:$B,CFwp_Korea!B10,'A-1. 별도FS_20'!$D:$D)</f>
        <v>9195143</v>
      </c>
      <c r="F10" s="141"/>
      <c r="G10" s="142"/>
      <c r="H10" s="143" t="s">
        <v>410</v>
      </c>
      <c r="I10" s="144">
        <v>0</v>
      </c>
      <c r="J10" s="140">
        <v>384991529</v>
      </c>
      <c r="K10" s="140">
        <v>0</v>
      </c>
      <c r="L10" s="140"/>
      <c r="M10" s="140"/>
      <c r="N10" s="145">
        <v>0</v>
      </c>
      <c r="O10" s="145">
        <v>0</v>
      </c>
      <c r="P10" s="145">
        <v>0</v>
      </c>
      <c r="Q10" s="145">
        <v>0</v>
      </c>
      <c r="R10" s="145">
        <v>0</v>
      </c>
      <c r="S10" s="140"/>
      <c r="T10" s="145">
        <v>0</v>
      </c>
      <c r="U10" s="145"/>
      <c r="V10" s="145">
        <v>0</v>
      </c>
      <c r="W10" s="145"/>
      <c r="X10" s="145"/>
      <c r="AA10" s="139" t="s">
        <v>17</v>
      </c>
      <c r="AB10" s="139" t="s">
        <v>18</v>
      </c>
      <c r="AC10" s="114" t="b">
        <f>AA10=B10</f>
        <v>1</v>
      </c>
    </row>
    <row r="11" spans="2:29">
      <c r="B11" s="139" t="s">
        <v>21</v>
      </c>
      <c r="C11" s="139" t="s">
        <v>22</v>
      </c>
      <c r="D11" s="140">
        <f>SUMIF('A-1. 별도FS_19'!$B:$B,CFwp_Korea!B11,'A-1. 별도FS_19'!$D:$D)</f>
        <v>5517522912</v>
      </c>
      <c r="E11" s="140">
        <f>SUMIF('A-1. 별도FS_20'!$B:$B,CFwp_Korea!B11,'A-1. 별도FS_20'!$D:$D)</f>
        <v>122537878506</v>
      </c>
      <c r="F11" s="141"/>
      <c r="G11" s="142"/>
      <c r="H11" s="143" t="s">
        <v>428</v>
      </c>
      <c r="I11" s="144">
        <v>384991529</v>
      </c>
      <c r="J11" s="140"/>
      <c r="K11" s="140"/>
      <c r="L11" s="140"/>
      <c r="M11" s="140"/>
      <c r="N11" s="145">
        <v>0</v>
      </c>
      <c r="O11" s="145">
        <v>0</v>
      </c>
      <c r="P11" s="145">
        <v>0</v>
      </c>
      <c r="Q11" s="145">
        <v>0</v>
      </c>
      <c r="R11" s="145">
        <v>0</v>
      </c>
      <c r="S11" s="140"/>
      <c r="T11" s="145">
        <v>0</v>
      </c>
      <c r="U11" s="145"/>
      <c r="V11" s="145">
        <v>0</v>
      </c>
      <c r="W11" s="145"/>
      <c r="X11" s="145"/>
      <c r="AA11" s="139" t="s">
        <v>21</v>
      </c>
      <c r="AB11" s="139" t="s">
        <v>22</v>
      </c>
      <c r="AC11" s="114" t="b">
        <f t="shared" ref="AC11:AC74" si="0">AA11=B11</f>
        <v>1</v>
      </c>
    </row>
    <row r="12" spans="2:29">
      <c r="B12" s="139" t="s">
        <v>23</v>
      </c>
      <c r="C12" s="139" t="s">
        <v>24</v>
      </c>
      <c r="D12" s="140">
        <f>SUMIF('A-1. 별도FS_19'!$B:$B,CFwp_Korea!B12,'A-1. 별도FS_19'!$D:$D)</f>
        <v>0</v>
      </c>
      <c r="E12" s="140">
        <f>SUMIF('A-1. 별도FS_20'!$B:$B,CFwp_Korea!B12,'A-1. 별도FS_20'!$D:$D)</f>
        <v>-13293321</v>
      </c>
      <c r="F12" s="146"/>
      <c r="G12" s="146"/>
      <c r="H12" s="147"/>
      <c r="I12" s="144"/>
      <c r="J12" s="140"/>
      <c r="K12" s="140">
        <v>0</v>
      </c>
      <c r="L12" s="140"/>
      <c r="M12" s="140"/>
      <c r="N12" s="145">
        <v>0</v>
      </c>
      <c r="O12" s="145">
        <v>0</v>
      </c>
      <c r="P12" s="145">
        <v>0</v>
      </c>
      <c r="Q12" s="145">
        <v>0</v>
      </c>
      <c r="R12" s="145">
        <v>0</v>
      </c>
      <c r="S12" s="140"/>
      <c r="T12" s="145">
        <v>0</v>
      </c>
      <c r="U12" s="145"/>
      <c r="V12" s="145">
        <v>0</v>
      </c>
      <c r="W12" s="145"/>
      <c r="X12" s="145"/>
      <c r="AA12" s="139" t="s">
        <v>23</v>
      </c>
      <c r="AB12" s="139" t="s">
        <v>24</v>
      </c>
      <c r="AC12" s="114" t="b">
        <f t="shared" si="0"/>
        <v>1</v>
      </c>
    </row>
    <row r="13" spans="2:29">
      <c r="B13" s="139" t="s">
        <v>25</v>
      </c>
      <c r="C13" s="139" t="s">
        <v>26</v>
      </c>
      <c r="D13" s="140">
        <f>SUMIF('A-1. 별도FS_19'!$B:$B,CFwp_Korea!B13,'A-1. 별도FS_19'!$D:$D)</f>
        <v>0</v>
      </c>
      <c r="E13" s="140">
        <f>SUMIF('A-1. 별도FS_20'!$B:$B,CFwp_Korea!B13,'A-1. 별도FS_20'!$D:$D)</f>
        <v>40000000000</v>
      </c>
      <c r="F13" s="146">
        <f>E13-D13</f>
        <v>40000000000</v>
      </c>
      <c r="G13" s="146">
        <f>J13-K13+N13+O13-P13+Q13-R13-T13+V13+F13-W13+X13-Y13+Z13</f>
        <v>0</v>
      </c>
      <c r="H13" s="147"/>
      <c r="I13" s="144"/>
      <c r="J13" s="140"/>
      <c r="K13" s="140"/>
      <c r="L13" s="140"/>
      <c r="M13" s="140"/>
      <c r="N13" s="145">
        <v>0</v>
      </c>
      <c r="O13" s="145">
        <v>0</v>
      </c>
      <c r="P13" s="145">
        <v>40000000000</v>
      </c>
      <c r="Q13" s="145">
        <v>0</v>
      </c>
      <c r="R13" s="145">
        <v>0</v>
      </c>
      <c r="S13" s="140"/>
      <c r="T13" s="145">
        <v>0</v>
      </c>
      <c r="U13" s="145"/>
      <c r="V13" s="145">
        <v>0</v>
      </c>
      <c r="W13" s="145"/>
      <c r="X13" s="145"/>
      <c r="AA13" s="139" t="s">
        <v>25</v>
      </c>
      <c r="AB13" s="139" t="s">
        <v>26</v>
      </c>
      <c r="AC13" s="114" t="b">
        <f t="shared" si="0"/>
        <v>1</v>
      </c>
    </row>
    <row r="14" spans="2:29">
      <c r="B14" s="139" t="s">
        <v>29</v>
      </c>
      <c r="C14" s="139" t="s">
        <v>30</v>
      </c>
      <c r="D14" s="140">
        <f>SUMIF('A-1. 별도FS_19'!$B:$B,CFwp_Korea!B14,'A-1. 별도FS_19'!$D:$D)</f>
        <v>1001420524</v>
      </c>
      <c r="E14" s="140">
        <f>SUMIF('A-1. 별도FS_20'!$B:$B,CFwp_Korea!B14,'A-1. 별도FS_20'!$D:$D)</f>
        <v>40530571199</v>
      </c>
      <c r="F14" s="146">
        <f>E14-D14</f>
        <v>39529150675</v>
      </c>
      <c r="G14" s="146">
        <f t="shared" ref="G14:G34" si="1">J14-K14+N14+O14-P14+Q14-R14-T14+V14+F14-W14+X14-Y14+Z14</f>
        <v>0</v>
      </c>
      <c r="H14" s="147" t="s">
        <v>526</v>
      </c>
      <c r="I14" s="144">
        <v>29150675</v>
      </c>
      <c r="J14" s="140"/>
      <c r="K14" s="140">
        <v>36575537</v>
      </c>
      <c r="L14" s="140"/>
      <c r="M14" s="140"/>
      <c r="N14" s="145">
        <v>0</v>
      </c>
      <c r="O14" s="145">
        <v>8107424862</v>
      </c>
      <c r="P14" s="145">
        <v>47600000000</v>
      </c>
      <c r="Q14" s="145">
        <v>0</v>
      </c>
      <c r="R14" s="145">
        <v>0</v>
      </c>
      <c r="S14" s="140"/>
      <c r="T14" s="145">
        <v>0</v>
      </c>
      <c r="U14" s="145"/>
      <c r="V14" s="145">
        <v>0</v>
      </c>
      <c r="W14" s="145"/>
      <c r="X14" s="145"/>
      <c r="AA14" s="139" t="s">
        <v>29</v>
      </c>
      <c r="AB14" s="139" t="s">
        <v>30</v>
      </c>
      <c r="AC14" s="114" t="b">
        <f t="shared" si="0"/>
        <v>1</v>
      </c>
    </row>
    <row r="15" spans="2:29">
      <c r="B15" s="139"/>
      <c r="C15" s="139"/>
      <c r="D15" s="140"/>
      <c r="E15" s="140"/>
      <c r="F15" s="146"/>
      <c r="G15" s="146"/>
      <c r="H15" s="147" t="s">
        <v>959</v>
      </c>
      <c r="I15" s="144">
        <v>7424862</v>
      </c>
      <c r="J15" s="140"/>
      <c r="K15" s="140"/>
      <c r="L15" s="140"/>
      <c r="M15" s="140"/>
      <c r="N15" s="145"/>
      <c r="O15" s="145"/>
      <c r="P15" s="145"/>
      <c r="Q15" s="145"/>
      <c r="R15" s="145"/>
      <c r="S15" s="140"/>
      <c r="T15" s="145"/>
      <c r="U15" s="145"/>
      <c r="V15" s="145"/>
      <c r="W15" s="145"/>
      <c r="X15" s="145"/>
      <c r="AA15" s="139"/>
      <c r="AB15" s="139"/>
      <c r="AC15" s="114" t="b">
        <f t="shared" si="0"/>
        <v>1</v>
      </c>
    </row>
    <row r="16" spans="2:29">
      <c r="B16" s="139" t="s">
        <v>31</v>
      </c>
      <c r="C16" s="139" t="s">
        <v>32</v>
      </c>
      <c r="D16" s="140">
        <f>SUMIF('A-1. 별도FS_19'!$B:$B,CFwp_Korea!B16,'A-1. 별도FS_19'!$D:$D)</f>
        <v>9358066120</v>
      </c>
      <c r="E16" s="140">
        <f>SUMIF('A-1. 별도FS_20'!$B:$B,CFwp_Korea!B16,'A-1. 별도FS_20'!$D:$D)</f>
        <v>311239364207</v>
      </c>
      <c r="F16" s="146">
        <f t="shared" ref="F16:F34" si="2">E16-D16</f>
        <v>301881298087</v>
      </c>
      <c r="G16" s="146">
        <f t="shared" si="1"/>
        <v>0</v>
      </c>
      <c r="H16" s="143" t="s">
        <v>410</v>
      </c>
      <c r="I16" s="144">
        <v>0</v>
      </c>
      <c r="J16" s="140">
        <v>3249273607</v>
      </c>
      <c r="K16" s="140">
        <v>0</v>
      </c>
      <c r="L16" s="140">
        <v>-305514981921</v>
      </c>
      <c r="M16" s="140"/>
      <c r="N16" s="145">
        <v>-305514981921</v>
      </c>
      <c r="O16" s="145">
        <v>0</v>
      </c>
      <c r="P16" s="145">
        <v>0</v>
      </c>
      <c r="Q16" s="145">
        <v>0</v>
      </c>
      <c r="R16" s="145">
        <v>0</v>
      </c>
      <c r="S16" s="140"/>
      <c r="T16" s="145">
        <v>0</v>
      </c>
      <c r="U16" s="145"/>
      <c r="V16" s="145">
        <v>384410227</v>
      </c>
      <c r="W16" s="145"/>
      <c r="X16" s="145"/>
      <c r="AA16" s="139" t="s">
        <v>31</v>
      </c>
      <c r="AB16" s="139" t="s">
        <v>32</v>
      </c>
      <c r="AC16" s="114" t="b">
        <f t="shared" si="0"/>
        <v>1</v>
      </c>
    </row>
    <row r="17" spans="2:29">
      <c r="B17" s="139"/>
      <c r="C17" s="139"/>
      <c r="D17" s="140">
        <f>SUMIF('A-1. 별도FS_19'!$B:$B,CFwp_Korea!B17,'A-1. 별도FS_19'!$D:$D)</f>
        <v>0</v>
      </c>
      <c r="E17" s="140">
        <f>SUMIF('A-1. 별도FS_20'!$B:$B,CFwp_Korea!B17,'A-1. 별도FS_20'!$D:$D)</f>
        <v>0</v>
      </c>
      <c r="F17" s="146"/>
      <c r="G17" s="146">
        <f t="shared" si="1"/>
        <v>0</v>
      </c>
      <c r="H17" s="143" t="s">
        <v>428</v>
      </c>
      <c r="I17" s="144">
        <v>3249273607</v>
      </c>
      <c r="J17" s="140"/>
      <c r="K17" s="140"/>
      <c r="L17" s="140"/>
      <c r="M17" s="140"/>
      <c r="N17" s="145"/>
      <c r="O17" s="145"/>
      <c r="P17" s="145"/>
      <c r="Q17" s="145"/>
      <c r="R17" s="145"/>
      <c r="S17" s="140"/>
      <c r="T17" s="145"/>
      <c r="U17" s="145"/>
      <c r="V17" s="145"/>
      <c r="W17" s="145"/>
      <c r="X17" s="145"/>
      <c r="AA17" s="139"/>
      <c r="AB17" s="139"/>
      <c r="AC17" s="114" t="b">
        <f t="shared" si="0"/>
        <v>1</v>
      </c>
    </row>
    <row r="18" spans="2:29">
      <c r="B18" s="139" t="s">
        <v>35</v>
      </c>
      <c r="C18" s="139" t="s">
        <v>36</v>
      </c>
      <c r="D18" s="140">
        <f>SUMIF('A-1. 별도FS_19'!$B:$B,CFwp_Korea!B18,'A-1. 별도FS_19'!$D:$D)</f>
        <v>0</v>
      </c>
      <c r="E18" s="140">
        <f>SUMIF('A-1. 별도FS_20'!$B:$B,CFwp_Korea!B18,'A-1. 별도FS_20'!$D:$D)</f>
        <v>0</v>
      </c>
      <c r="F18" s="146">
        <f t="shared" si="2"/>
        <v>0</v>
      </c>
      <c r="G18" s="146">
        <f t="shared" si="1"/>
        <v>0</v>
      </c>
      <c r="H18" s="143" t="s">
        <v>390</v>
      </c>
      <c r="I18" s="144"/>
      <c r="J18" s="140">
        <v>0</v>
      </c>
      <c r="K18" s="140"/>
      <c r="L18" s="140"/>
      <c r="M18" s="140"/>
      <c r="N18" s="145">
        <v>0</v>
      </c>
      <c r="O18" s="145">
        <v>0</v>
      </c>
      <c r="P18" s="145">
        <v>0</v>
      </c>
      <c r="Q18" s="145">
        <v>0</v>
      </c>
      <c r="R18" s="145">
        <v>0</v>
      </c>
      <c r="S18" s="140"/>
      <c r="T18" s="145">
        <v>0</v>
      </c>
      <c r="U18" s="145"/>
      <c r="V18" s="145">
        <v>0</v>
      </c>
      <c r="W18" s="145"/>
      <c r="X18" s="145"/>
      <c r="AA18" s="139" t="s">
        <v>35</v>
      </c>
      <c r="AB18" s="139" t="s">
        <v>36</v>
      </c>
      <c r="AC18" s="114" t="b">
        <f t="shared" si="0"/>
        <v>1</v>
      </c>
    </row>
    <row r="19" spans="2:29">
      <c r="B19" s="139" t="s">
        <v>37</v>
      </c>
      <c r="C19" s="139" t="s">
        <v>38</v>
      </c>
      <c r="D19" s="140">
        <f>SUMIF('A-1. 별도FS_19'!$B:$B,CFwp_Korea!B19,'A-1. 별도FS_19'!$D:$D)</f>
        <v>0</v>
      </c>
      <c r="E19" s="140">
        <f>SUMIF('A-1. 별도FS_20'!$B:$B,CFwp_Korea!B19,'A-1. 별도FS_20'!$D:$D)</f>
        <v>0</v>
      </c>
      <c r="F19" s="146">
        <f t="shared" si="2"/>
        <v>0</v>
      </c>
      <c r="G19" s="146">
        <f t="shared" si="1"/>
        <v>0</v>
      </c>
      <c r="H19" s="143" t="s">
        <v>441</v>
      </c>
      <c r="I19" s="144"/>
      <c r="J19" s="140"/>
      <c r="K19" s="140">
        <v>0</v>
      </c>
      <c r="L19" s="140"/>
      <c r="M19" s="140"/>
      <c r="N19" s="145">
        <v>0</v>
      </c>
      <c r="O19" s="145">
        <v>0</v>
      </c>
      <c r="P19" s="145">
        <v>0</v>
      </c>
      <c r="Q19" s="145">
        <v>0</v>
      </c>
      <c r="R19" s="145">
        <v>0</v>
      </c>
      <c r="S19" s="140"/>
      <c r="T19" s="145">
        <v>0</v>
      </c>
      <c r="U19" s="145"/>
      <c r="V19" s="145">
        <v>0</v>
      </c>
      <c r="W19" s="145"/>
      <c r="X19" s="145"/>
      <c r="AA19" s="139" t="s">
        <v>37</v>
      </c>
      <c r="AB19" s="139" t="s">
        <v>38</v>
      </c>
      <c r="AC19" s="114" t="b">
        <f t="shared" si="0"/>
        <v>1</v>
      </c>
    </row>
    <row r="20" spans="2:29">
      <c r="B20" s="139" t="s">
        <v>39</v>
      </c>
      <c r="C20" s="139" t="s">
        <v>40</v>
      </c>
      <c r="D20" s="140">
        <f>SUMIF('A-1. 별도FS_19'!$B:$B,CFwp_Korea!B20,'A-1. 별도FS_19'!$D:$D)</f>
        <v>-533323483</v>
      </c>
      <c r="E20" s="140">
        <f>SUMIF('A-1. 별도FS_20'!$B:$B,CFwp_Korea!B20,'A-1. 별도FS_20'!$D:$D)</f>
        <v>-619075951</v>
      </c>
      <c r="F20" s="146">
        <f t="shared" si="2"/>
        <v>-85752468</v>
      </c>
      <c r="G20" s="146">
        <f t="shared" si="1"/>
        <v>0</v>
      </c>
      <c r="H20" s="143" t="s">
        <v>390</v>
      </c>
      <c r="I20" s="144">
        <v>470162695</v>
      </c>
      <c r="J20" s="140">
        <v>470162695</v>
      </c>
      <c r="K20" s="140"/>
      <c r="L20" s="140"/>
      <c r="M20" s="140"/>
      <c r="N20" s="145">
        <v>0</v>
      </c>
      <c r="O20" s="145">
        <v>0</v>
      </c>
      <c r="P20" s="145">
        <v>0</v>
      </c>
      <c r="Q20" s="145">
        <v>0</v>
      </c>
      <c r="R20" s="145">
        <v>0</v>
      </c>
      <c r="S20" s="140"/>
      <c r="T20" s="145">
        <v>384410227</v>
      </c>
      <c r="U20" s="145"/>
      <c r="V20" s="145">
        <v>0</v>
      </c>
      <c r="W20" s="145"/>
      <c r="X20" s="145"/>
      <c r="AA20" s="139" t="s">
        <v>39</v>
      </c>
      <c r="AB20" s="139" t="s">
        <v>40</v>
      </c>
      <c r="AC20" s="114" t="b">
        <f t="shared" si="0"/>
        <v>1</v>
      </c>
    </row>
    <row r="21" spans="2:29">
      <c r="B21" s="139" t="s">
        <v>41</v>
      </c>
      <c r="C21" s="139" t="s">
        <v>42</v>
      </c>
      <c r="D21" s="140">
        <f>SUMIF('A-1. 별도FS_19'!$B:$B,CFwp_Korea!B21,'A-1. 별도FS_19'!$D:$D)</f>
        <v>0</v>
      </c>
      <c r="E21" s="140">
        <f>SUMIF('A-1. 별도FS_20'!$B:$B,CFwp_Korea!B21,'A-1. 별도FS_20'!$D:$D)</f>
        <v>0</v>
      </c>
      <c r="F21" s="146">
        <f t="shared" si="2"/>
        <v>0</v>
      </c>
      <c r="G21" s="146">
        <f t="shared" si="1"/>
        <v>0</v>
      </c>
      <c r="H21" s="143"/>
      <c r="I21" s="144"/>
      <c r="J21" s="140"/>
      <c r="K21" s="140">
        <v>0</v>
      </c>
      <c r="L21" s="140"/>
      <c r="M21" s="140"/>
      <c r="N21" s="145">
        <v>0</v>
      </c>
      <c r="O21" s="145">
        <v>0</v>
      </c>
      <c r="P21" s="145">
        <v>0</v>
      </c>
      <c r="Q21" s="145">
        <v>0</v>
      </c>
      <c r="R21" s="145">
        <v>0</v>
      </c>
      <c r="S21" s="140"/>
      <c r="T21" s="145">
        <v>0</v>
      </c>
      <c r="U21" s="145"/>
      <c r="V21" s="145">
        <v>0</v>
      </c>
      <c r="W21" s="145"/>
      <c r="X21" s="145"/>
      <c r="AA21" s="139" t="s">
        <v>41</v>
      </c>
      <c r="AB21" s="139" t="s">
        <v>42</v>
      </c>
      <c r="AC21" s="114" t="b">
        <f t="shared" si="0"/>
        <v>1</v>
      </c>
    </row>
    <row r="22" spans="2:29">
      <c r="B22" s="139" t="s">
        <v>43</v>
      </c>
      <c r="C22" s="139" t="s">
        <v>44</v>
      </c>
      <c r="D22" s="140">
        <f>SUMIF('A-1. 별도FS_19'!$B:$B,CFwp_Korea!B22,'A-1. 별도FS_19'!$D:$D)</f>
        <v>0</v>
      </c>
      <c r="E22" s="140">
        <f>SUMIF('A-1. 별도FS_20'!$B:$B,CFwp_Korea!B22,'A-1. 별도FS_20'!$D:$D)</f>
        <v>0</v>
      </c>
      <c r="F22" s="146">
        <f t="shared" si="2"/>
        <v>0</v>
      </c>
      <c r="G22" s="146">
        <f t="shared" si="1"/>
        <v>0</v>
      </c>
      <c r="H22" s="143"/>
      <c r="I22" s="144"/>
      <c r="J22" s="140"/>
      <c r="K22" s="140"/>
      <c r="L22" s="140"/>
      <c r="M22" s="140"/>
      <c r="N22" s="145">
        <v>0</v>
      </c>
      <c r="O22" s="145">
        <v>0</v>
      </c>
      <c r="P22" s="145">
        <v>0</v>
      </c>
      <c r="Q22" s="145">
        <v>0</v>
      </c>
      <c r="R22" s="145">
        <v>0</v>
      </c>
      <c r="S22" s="140"/>
      <c r="T22" s="145">
        <v>0</v>
      </c>
      <c r="U22" s="145"/>
      <c r="V22" s="145">
        <v>0</v>
      </c>
      <c r="W22" s="145"/>
      <c r="X22" s="145"/>
      <c r="AA22" s="139" t="s">
        <v>43</v>
      </c>
      <c r="AB22" s="139" t="s">
        <v>44</v>
      </c>
      <c r="AC22" s="114" t="b">
        <f t="shared" si="0"/>
        <v>1</v>
      </c>
    </row>
    <row r="23" spans="2:29">
      <c r="B23" s="139" t="s">
        <v>47</v>
      </c>
      <c r="C23" s="139" t="s">
        <v>48</v>
      </c>
      <c r="D23" s="140">
        <f>SUMIF('A-1. 별도FS_19'!$B:$B,CFwp_Korea!B23,'A-1. 별도FS_19'!$D:$D)</f>
        <v>0</v>
      </c>
      <c r="E23" s="140">
        <f>SUMIF('A-1. 별도FS_20'!$B:$B,CFwp_Korea!B23,'A-1. 별도FS_20'!$D:$D)</f>
        <v>0</v>
      </c>
      <c r="F23" s="146">
        <f t="shared" si="2"/>
        <v>0</v>
      </c>
      <c r="G23" s="146">
        <f t="shared" si="1"/>
        <v>0</v>
      </c>
      <c r="H23" s="143" t="s">
        <v>441</v>
      </c>
      <c r="I23" s="144"/>
      <c r="J23" s="140"/>
      <c r="K23" s="140">
        <v>0</v>
      </c>
      <c r="L23" s="140"/>
      <c r="M23" s="140"/>
      <c r="N23" s="145">
        <v>0</v>
      </c>
      <c r="O23" s="145">
        <v>0</v>
      </c>
      <c r="P23" s="145">
        <v>0</v>
      </c>
      <c r="Q23" s="145">
        <v>0</v>
      </c>
      <c r="R23" s="145">
        <v>0</v>
      </c>
      <c r="S23" s="140"/>
      <c r="T23" s="145">
        <v>0</v>
      </c>
      <c r="U23" s="145"/>
      <c r="V23" s="145">
        <v>0</v>
      </c>
      <c r="W23" s="145"/>
      <c r="X23" s="145"/>
      <c r="AA23" s="139" t="s">
        <v>47</v>
      </c>
      <c r="AB23" s="139" t="s">
        <v>48</v>
      </c>
      <c r="AC23" s="114" t="b">
        <f t="shared" si="0"/>
        <v>1</v>
      </c>
    </row>
    <row r="24" spans="2:29">
      <c r="B24" s="139" t="s">
        <v>49</v>
      </c>
      <c r="C24" s="139" t="s">
        <v>50</v>
      </c>
      <c r="D24" s="140">
        <f>SUMIF('A-1. 별도FS_19'!$B:$B,CFwp_Korea!B24,'A-1. 별도FS_19'!$D:$D)</f>
        <v>0</v>
      </c>
      <c r="E24" s="140">
        <f>SUMIF('A-1. 별도FS_20'!$B:$B,CFwp_Korea!B24,'A-1. 별도FS_20'!$D:$D)</f>
        <v>0</v>
      </c>
      <c r="F24" s="146">
        <f t="shared" si="2"/>
        <v>0</v>
      </c>
      <c r="G24" s="146">
        <f t="shared" si="1"/>
        <v>0</v>
      </c>
      <c r="H24" s="143" t="s">
        <v>441</v>
      </c>
      <c r="I24" s="148">
        <v>37557679</v>
      </c>
      <c r="J24" s="140"/>
      <c r="K24" s="140">
        <v>37557679</v>
      </c>
      <c r="L24" s="140"/>
      <c r="M24" s="140">
        <v>37557679</v>
      </c>
      <c r="N24" s="145">
        <v>37557679</v>
      </c>
      <c r="O24" s="145">
        <v>0</v>
      </c>
      <c r="P24" s="145">
        <v>0</v>
      </c>
      <c r="Q24" s="145">
        <v>0</v>
      </c>
      <c r="R24" s="145">
        <v>0</v>
      </c>
      <c r="S24" s="140"/>
      <c r="T24" s="145">
        <v>0</v>
      </c>
      <c r="U24" s="145"/>
      <c r="V24" s="145">
        <v>0</v>
      </c>
      <c r="W24" s="145"/>
      <c r="X24" s="145"/>
      <c r="AA24" s="139" t="s">
        <v>49</v>
      </c>
      <c r="AB24" s="139" t="s">
        <v>50</v>
      </c>
      <c r="AC24" s="114" t="b">
        <f t="shared" si="0"/>
        <v>1</v>
      </c>
    </row>
    <row r="25" spans="2:29">
      <c r="B25" s="139" t="s">
        <v>51</v>
      </c>
      <c r="C25" s="139" t="s">
        <v>52</v>
      </c>
      <c r="D25" s="140">
        <f>SUMIF('A-1. 별도FS_19'!$B:$B,CFwp_Korea!B25,'A-1. 별도FS_19'!$D:$D)</f>
        <v>145946788</v>
      </c>
      <c r="E25" s="140">
        <f>SUMIF('A-1. 별도FS_20'!$B:$B,CFwp_Korea!B25,'A-1. 별도FS_20'!$D:$D)</f>
        <v>86832198</v>
      </c>
      <c r="F25" s="146">
        <f t="shared" si="2"/>
        <v>-59114590</v>
      </c>
      <c r="G25" s="146">
        <f t="shared" si="1"/>
        <v>0</v>
      </c>
      <c r="H25" s="143" t="s">
        <v>428</v>
      </c>
      <c r="I25" s="144">
        <v>1635565</v>
      </c>
      <c r="J25" s="140">
        <v>1635565</v>
      </c>
      <c r="K25" s="140"/>
      <c r="L25" s="140">
        <v>57479025</v>
      </c>
      <c r="M25" s="140"/>
      <c r="N25" s="145">
        <v>57479025</v>
      </c>
      <c r="O25" s="145">
        <v>0</v>
      </c>
      <c r="P25" s="145">
        <v>0</v>
      </c>
      <c r="Q25" s="145">
        <v>0</v>
      </c>
      <c r="R25" s="145">
        <v>0</v>
      </c>
      <c r="S25" s="140"/>
      <c r="T25" s="145">
        <v>0</v>
      </c>
      <c r="U25" s="145"/>
      <c r="V25" s="145">
        <v>0</v>
      </c>
      <c r="W25" s="145"/>
      <c r="X25" s="145"/>
      <c r="AA25" s="139" t="s">
        <v>51</v>
      </c>
      <c r="AB25" s="139" t="s">
        <v>52</v>
      </c>
      <c r="AC25" s="114" t="b">
        <f t="shared" si="0"/>
        <v>1</v>
      </c>
    </row>
    <row r="26" spans="2:29">
      <c r="B26" s="139" t="s">
        <v>53</v>
      </c>
      <c r="C26" s="139" t="s">
        <v>54</v>
      </c>
      <c r="D26" s="140">
        <f>SUMIF('A-1. 별도FS_19'!$B:$B,CFwp_Korea!B26,'A-1. 별도FS_19'!$D:$D)</f>
        <v>306501376</v>
      </c>
      <c r="E26" s="140">
        <f>SUMIF('A-1. 별도FS_20'!$B:$B,CFwp_Korea!B26,'A-1. 별도FS_20'!$D:$D)</f>
        <v>6079778624</v>
      </c>
      <c r="F26" s="146">
        <f t="shared" si="2"/>
        <v>5773277248</v>
      </c>
      <c r="G26" s="146">
        <f t="shared" si="1"/>
        <v>0</v>
      </c>
      <c r="H26" s="143" t="s">
        <v>461</v>
      </c>
      <c r="I26" s="144">
        <v>460536740</v>
      </c>
      <c r="J26" s="140">
        <v>460536740</v>
      </c>
      <c r="K26" s="140"/>
      <c r="L26" s="140">
        <v>-6233813988</v>
      </c>
      <c r="M26" s="140"/>
      <c r="N26" s="145">
        <v>-6233813988</v>
      </c>
      <c r="O26" s="145">
        <v>0</v>
      </c>
      <c r="P26" s="145">
        <v>0</v>
      </c>
      <c r="Q26" s="145">
        <v>0</v>
      </c>
      <c r="R26" s="145">
        <v>0</v>
      </c>
      <c r="S26" s="140"/>
      <c r="T26" s="145">
        <v>0</v>
      </c>
      <c r="U26" s="145"/>
      <c r="V26" s="145">
        <v>0</v>
      </c>
      <c r="W26" s="145"/>
      <c r="X26" s="145"/>
      <c r="AA26" s="139" t="s">
        <v>53</v>
      </c>
      <c r="AB26" s="139" t="s">
        <v>54</v>
      </c>
      <c r="AC26" s="114" t="b">
        <f t="shared" si="0"/>
        <v>1</v>
      </c>
    </row>
    <row r="27" spans="2:29">
      <c r="B27" s="139" t="s">
        <v>57</v>
      </c>
      <c r="C27" s="139" t="s">
        <v>58</v>
      </c>
      <c r="D27" s="140">
        <f>SUMIF('A-1. 별도FS_19'!$B:$B,CFwp_Korea!B27,'A-1. 별도FS_19'!$D:$D)</f>
        <v>26829036</v>
      </c>
      <c r="E27" s="140">
        <f>SUMIF('A-1. 별도FS_20'!$B:$B,CFwp_Korea!B27,'A-1. 별도FS_20'!$D:$D)</f>
        <v>20109358</v>
      </c>
      <c r="F27" s="146">
        <f t="shared" si="2"/>
        <v>-6719678</v>
      </c>
      <c r="G27" s="146">
        <f t="shared" si="1"/>
        <v>0</v>
      </c>
      <c r="H27" s="143"/>
      <c r="I27" s="144"/>
      <c r="J27" s="140"/>
      <c r="K27" s="140"/>
      <c r="L27" s="140">
        <v>6719678</v>
      </c>
      <c r="M27" s="140"/>
      <c r="N27" s="145">
        <v>6719678</v>
      </c>
      <c r="O27" s="145">
        <v>0</v>
      </c>
      <c r="P27" s="145">
        <v>0</v>
      </c>
      <c r="Q27" s="145">
        <v>0</v>
      </c>
      <c r="R27" s="145">
        <v>0</v>
      </c>
      <c r="S27" s="140"/>
      <c r="T27" s="145">
        <v>0</v>
      </c>
      <c r="U27" s="145"/>
      <c r="V27" s="145">
        <v>0</v>
      </c>
      <c r="W27" s="145"/>
      <c r="X27" s="145"/>
      <c r="AA27" s="139" t="s">
        <v>57</v>
      </c>
      <c r="AB27" s="139" t="s">
        <v>58</v>
      </c>
      <c r="AC27" s="114" t="b">
        <f t="shared" si="0"/>
        <v>1</v>
      </c>
    </row>
    <row r="28" spans="2:29">
      <c r="B28" s="139" t="s">
        <v>837</v>
      </c>
      <c r="C28" s="139" t="s">
        <v>838</v>
      </c>
      <c r="D28" s="140">
        <f>SUMIF('A-1. 별도FS_19'!$B:$B,CFwp_Korea!B28,'A-1. 별도FS_19'!$D:$D)</f>
        <v>0</v>
      </c>
      <c r="E28" s="140">
        <f>SUMIF('A-1. 별도FS_20'!$B:$B,CFwp_Korea!B28,'A-1. 별도FS_20'!$D:$D)</f>
        <v>0</v>
      </c>
      <c r="F28" s="146">
        <f t="shared" si="2"/>
        <v>0</v>
      </c>
      <c r="G28" s="146">
        <f t="shared" si="1"/>
        <v>0</v>
      </c>
      <c r="H28" s="143"/>
      <c r="I28" s="144"/>
      <c r="J28" s="140"/>
      <c r="K28" s="140"/>
      <c r="L28" s="140"/>
      <c r="M28" s="140"/>
      <c r="N28" s="145">
        <v>0</v>
      </c>
      <c r="O28" s="145">
        <v>0</v>
      </c>
      <c r="P28" s="145">
        <v>0</v>
      </c>
      <c r="Q28" s="145">
        <v>0</v>
      </c>
      <c r="R28" s="145">
        <v>0</v>
      </c>
      <c r="S28" s="140"/>
      <c r="T28" s="145">
        <v>0</v>
      </c>
      <c r="U28" s="145"/>
      <c r="V28" s="145">
        <v>0</v>
      </c>
      <c r="W28" s="145"/>
      <c r="X28" s="145"/>
      <c r="AA28" s="139" t="s">
        <v>837</v>
      </c>
      <c r="AB28" s="139" t="s">
        <v>838</v>
      </c>
      <c r="AC28" s="114" t="b">
        <f t="shared" si="0"/>
        <v>1</v>
      </c>
    </row>
    <row r="29" spans="2:29">
      <c r="B29" s="139" t="s">
        <v>59</v>
      </c>
      <c r="C29" s="139" t="s">
        <v>60</v>
      </c>
      <c r="D29" s="140">
        <f>SUMIF('A-1. 별도FS_19'!$B:$B,CFwp_Korea!B29,'A-1. 별도FS_19'!$D:$D)</f>
        <v>0</v>
      </c>
      <c r="E29" s="140">
        <f>SUMIF('A-1. 별도FS_20'!$B:$B,CFwp_Korea!B29,'A-1. 별도FS_20'!$D:$D)</f>
        <v>0</v>
      </c>
      <c r="F29" s="146">
        <f t="shared" si="2"/>
        <v>0</v>
      </c>
      <c r="G29" s="146">
        <f t="shared" si="1"/>
        <v>0</v>
      </c>
      <c r="H29" s="143"/>
      <c r="I29" s="144"/>
      <c r="J29" s="140"/>
      <c r="K29" s="140"/>
      <c r="L29" s="140"/>
      <c r="M29" s="140"/>
      <c r="N29" s="145">
        <v>0</v>
      </c>
      <c r="O29" s="145">
        <v>0</v>
      </c>
      <c r="P29" s="145">
        <v>0</v>
      </c>
      <c r="Q29" s="145">
        <v>0</v>
      </c>
      <c r="R29" s="145">
        <v>0</v>
      </c>
      <c r="S29" s="140"/>
      <c r="T29" s="145">
        <v>0</v>
      </c>
      <c r="U29" s="145"/>
      <c r="V29" s="145">
        <v>0</v>
      </c>
      <c r="W29" s="145"/>
      <c r="X29" s="145"/>
      <c r="AA29" s="139" t="s">
        <v>59</v>
      </c>
      <c r="AB29" s="139" t="s">
        <v>60</v>
      </c>
      <c r="AC29" s="114" t="b">
        <f t="shared" si="0"/>
        <v>1</v>
      </c>
    </row>
    <row r="30" spans="2:29">
      <c r="B30" s="139" t="s">
        <v>62</v>
      </c>
      <c r="C30" s="139" t="s">
        <v>63</v>
      </c>
      <c r="D30" s="140">
        <f>SUMIF('A-1. 별도FS_19'!$B:$B,CFwp_Korea!B30,'A-1. 별도FS_19'!$D:$D)</f>
        <v>0</v>
      </c>
      <c r="E30" s="140">
        <f>SUMIF('A-1. 별도FS_20'!$B:$B,CFwp_Korea!B30,'A-1. 별도FS_20'!$D:$D)</f>
        <v>0</v>
      </c>
      <c r="F30" s="146">
        <f t="shared" si="2"/>
        <v>0</v>
      </c>
      <c r="G30" s="146">
        <f t="shared" si="1"/>
        <v>0</v>
      </c>
      <c r="H30" s="143"/>
      <c r="I30" s="144"/>
      <c r="J30" s="140"/>
      <c r="K30" s="140"/>
      <c r="L30" s="140"/>
      <c r="M30" s="140"/>
      <c r="N30" s="145">
        <v>0</v>
      </c>
      <c r="O30" s="145">
        <v>0</v>
      </c>
      <c r="P30" s="145">
        <v>0</v>
      </c>
      <c r="Q30" s="145">
        <v>0</v>
      </c>
      <c r="R30" s="145">
        <v>0</v>
      </c>
      <c r="S30" s="140"/>
      <c r="T30" s="145">
        <v>0</v>
      </c>
      <c r="U30" s="145"/>
      <c r="V30" s="145">
        <v>0</v>
      </c>
      <c r="W30" s="145"/>
      <c r="X30" s="145"/>
      <c r="AA30" s="37" t="s">
        <v>62</v>
      </c>
      <c r="AB30" s="2" t="s">
        <v>63</v>
      </c>
      <c r="AC30" s="114" t="b">
        <f t="shared" si="0"/>
        <v>1</v>
      </c>
    </row>
    <row r="31" spans="2:29">
      <c r="B31" s="50" t="s">
        <v>505</v>
      </c>
      <c r="C31" s="2" t="s">
        <v>506</v>
      </c>
      <c r="D31" s="140">
        <f>SUMIF('A-1. 별도FS_19'!$B:$B,CFwp_Korea!B31,'A-1. 별도FS_19'!$D:$D)</f>
        <v>0</v>
      </c>
      <c r="E31" s="140">
        <f>SUMIF('A-1. 별도FS_20'!$B:$B,CFwp_Korea!B31,'A-1. 별도FS_20'!$D:$D)</f>
        <v>0</v>
      </c>
      <c r="F31" s="146">
        <f t="shared" si="2"/>
        <v>0</v>
      </c>
      <c r="G31" s="146">
        <f t="shared" si="1"/>
        <v>0</v>
      </c>
      <c r="H31" s="143"/>
      <c r="I31" s="144"/>
      <c r="J31" s="140"/>
      <c r="K31" s="140"/>
      <c r="L31" s="140"/>
      <c r="M31" s="140"/>
      <c r="N31" s="145">
        <v>0</v>
      </c>
      <c r="O31" s="145">
        <v>0</v>
      </c>
      <c r="P31" s="145">
        <v>0</v>
      </c>
      <c r="Q31" s="145">
        <v>0</v>
      </c>
      <c r="R31" s="145">
        <v>0</v>
      </c>
      <c r="S31" s="140"/>
      <c r="T31" s="145">
        <v>0</v>
      </c>
      <c r="U31" s="145"/>
      <c r="V31" s="145">
        <v>0</v>
      </c>
      <c r="W31" s="145"/>
      <c r="X31" s="145"/>
      <c r="AA31" s="139" t="s">
        <v>505</v>
      </c>
      <c r="AB31" s="139" t="s">
        <v>506</v>
      </c>
      <c r="AC31" s="114" t="b">
        <f t="shared" si="0"/>
        <v>1</v>
      </c>
    </row>
    <row r="32" spans="2:29">
      <c r="B32" s="139" t="s">
        <v>839</v>
      </c>
      <c r="C32" s="139" t="s">
        <v>840</v>
      </c>
      <c r="D32" s="140">
        <f>SUMIF('A-1. 별도FS_19'!$B:$B,CFwp_Korea!B32,'A-1. 별도FS_19'!$D:$D)</f>
        <v>0</v>
      </c>
      <c r="E32" s="140">
        <f>SUMIF('A-1. 별도FS_20'!$B:$B,CFwp_Korea!B32,'A-1. 별도FS_20'!$D:$D)</f>
        <v>0</v>
      </c>
      <c r="F32" s="146">
        <f t="shared" si="2"/>
        <v>0</v>
      </c>
      <c r="G32" s="146">
        <f t="shared" si="1"/>
        <v>0</v>
      </c>
      <c r="H32" s="143"/>
      <c r="I32" s="144"/>
      <c r="J32" s="140"/>
      <c r="K32" s="140"/>
      <c r="L32" s="140"/>
      <c r="M32" s="140"/>
      <c r="N32" s="145">
        <v>0</v>
      </c>
      <c r="O32" s="145">
        <v>0</v>
      </c>
      <c r="P32" s="145">
        <v>0</v>
      </c>
      <c r="Q32" s="145">
        <v>0</v>
      </c>
      <c r="R32" s="145">
        <v>0</v>
      </c>
      <c r="S32" s="140"/>
      <c r="T32" s="145">
        <v>0</v>
      </c>
      <c r="U32" s="145"/>
      <c r="V32" s="145">
        <v>0</v>
      </c>
      <c r="W32" s="145"/>
      <c r="X32" s="145"/>
      <c r="AA32" s="139" t="s">
        <v>839</v>
      </c>
      <c r="AB32" s="139" t="s">
        <v>840</v>
      </c>
      <c r="AC32" s="114" t="b">
        <f t="shared" si="0"/>
        <v>1</v>
      </c>
    </row>
    <row r="33" spans="2:29">
      <c r="B33" s="139"/>
      <c r="C33" s="139"/>
      <c r="D33" s="140">
        <f>SUMIF('A-1. 별도FS_18'!$B:$B,CFwp_Korea!B33,'A-1. 별도FS_18'!$D:$D)</f>
        <v>0</v>
      </c>
      <c r="E33" s="140">
        <f>SUMIF('A-1. 별도FS_20'!$B:$B,CFwp_Korea!B33,'A-1. 별도FS_20'!$D:$D)</f>
        <v>0</v>
      </c>
      <c r="F33" s="146">
        <f t="shared" si="2"/>
        <v>0</v>
      </c>
      <c r="G33" s="146">
        <f t="shared" si="1"/>
        <v>0</v>
      </c>
      <c r="H33" s="143"/>
      <c r="I33" s="144"/>
      <c r="J33" s="140"/>
      <c r="K33" s="140"/>
      <c r="L33" s="140"/>
      <c r="M33" s="140"/>
      <c r="N33" s="145">
        <v>0</v>
      </c>
      <c r="O33" s="145">
        <v>0</v>
      </c>
      <c r="P33" s="145">
        <v>0</v>
      </c>
      <c r="Q33" s="145">
        <v>0</v>
      </c>
      <c r="R33" s="145">
        <v>0</v>
      </c>
      <c r="S33" s="140"/>
      <c r="T33" s="145">
        <v>0</v>
      </c>
      <c r="U33" s="145"/>
      <c r="V33" s="145">
        <v>0</v>
      </c>
      <c r="W33" s="145"/>
      <c r="X33" s="145"/>
      <c r="AA33" s="137"/>
      <c r="AB33" s="137"/>
      <c r="AC33" s="114" t="b">
        <f t="shared" si="0"/>
        <v>1</v>
      </c>
    </row>
    <row r="34" spans="2:29">
      <c r="B34" s="137"/>
      <c r="C34" s="137" t="s">
        <v>70</v>
      </c>
      <c r="D34" s="138">
        <f>SUM(D35:D47)</f>
        <v>7756862850</v>
      </c>
      <c r="E34" s="138">
        <f>SUM(E35:E47)</f>
        <v>53046553913</v>
      </c>
      <c r="F34" s="138">
        <f t="shared" si="2"/>
        <v>45289691063</v>
      </c>
      <c r="G34" s="214">
        <f t="shared" si="1"/>
        <v>0</v>
      </c>
      <c r="H34" s="138" t="s">
        <v>871</v>
      </c>
      <c r="I34" s="149">
        <v>2840492158</v>
      </c>
      <c r="J34" s="138">
        <v>2840492158</v>
      </c>
      <c r="K34" s="138"/>
      <c r="L34" s="150">
        <v>-48130183221</v>
      </c>
      <c r="M34" s="151"/>
      <c r="N34" s="151">
        <v>-48130183221</v>
      </c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AA34" s="139"/>
      <c r="AB34" s="139" t="s">
        <v>70</v>
      </c>
      <c r="AC34" s="114" t="b">
        <f t="shared" si="0"/>
        <v>1</v>
      </c>
    </row>
    <row r="35" spans="2:29">
      <c r="B35" s="139" t="s">
        <v>67</v>
      </c>
      <c r="C35" s="139" t="s">
        <v>68</v>
      </c>
      <c r="D35" s="140">
        <f>SUMIF('A-1. 별도FS_19'!$B:$B,CFwp_Korea!B35,'A-1. 별도FS_19'!$D:$D)</f>
        <v>545308589</v>
      </c>
      <c r="E35" s="140">
        <f>SUMIF('A-1. 별도FS_20'!$B:$B,CFwp_Korea!B35,'A-1. 별도FS_20'!$D:$D)</f>
        <v>1024597346</v>
      </c>
      <c r="F35" s="146"/>
      <c r="G35" s="146"/>
      <c r="H35" s="143"/>
      <c r="I35" s="144"/>
      <c r="J35" s="140"/>
      <c r="K35" s="140"/>
      <c r="L35" s="140"/>
      <c r="M35" s="140"/>
      <c r="N35" s="145"/>
      <c r="O35" s="145">
        <v>0</v>
      </c>
      <c r="P35" s="145">
        <v>0</v>
      </c>
      <c r="Q35" s="145">
        <v>0</v>
      </c>
      <c r="R35" s="145">
        <v>0</v>
      </c>
      <c r="S35" s="140"/>
      <c r="T35" s="145">
        <v>0</v>
      </c>
      <c r="U35" s="145"/>
      <c r="V35" s="145">
        <v>0</v>
      </c>
      <c r="W35" s="145"/>
      <c r="X35" s="145"/>
      <c r="AA35" s="139" t="s">
        <v>67</v>
      </c>
      <c r="AB35" s="139" t="s">
        <v>68</v>
      </c>
      <c r="AC35" s="114" t="b">
        <f t="shared" si="0"/>
        <v>1</v>
      </c>
    </row>
    <row r="36" spans="2:29">
      <c r="B36" s="139" t="s">
        <v>71</v>
      </c>
      <c r="C36" s="139" t="s">
        <v>72</v>
      </c>
      <c r="D36" s="140">
        <f>SUMIF('A-1. 별도FS_19'!$B:$B,CFwp_Korea!B36,'A-1. 별도FS_19'!$D:$D)</f>
        <v>524830179</v>
      </c>
      <c r="E36" s="140">
        <f>SUMIF('A-1. 별도FS_20'!$B:$B,CFwp_Korea!B36,'A-1. 별도FS_20'!$D:$D)</f>
        <v>9749294700</v>
      </c>
      <c r="F36" s="146"/>
      <c r="G36" s="146"/>
      <c r="H36" s="143"/>
      <c r="I36" s="144"/>
      <c r="J36" s="140"/>
      <c r="K36" s="140"/>
      <c r="L36" s="140"/>
      <c r="M36" s="140"/>
      <c r="N36" s="145"/>
      <c r="O36" s="145">
        <v>0</v>
      </c>
      <c r="P36" s="145">
        <v>0</v>
      </c>
      <c r="Q36" s="145">
        <v>0</v>
      </c>
      <c r="R36" s="145">
        <v>0</v>
      </c>
      <c r="S36" s="140"/>
      <c r="T36" s="145">
        <v>0</v>
      </c>
      <c r="U36" s="145"/>
      <c r="V36" s="145">
        <v>0</v>
      </c>
      <c r="W36" s="145"/>
      <c r="X36" s="145"/>
      <c r="AA36" s="139" t="s">
        <v>71</v>
      </c>
      <c r="AB36" s="139" t="s">
        <v>72</v>
      </c>
      <c r="AC36" s="114" t="b">
        <f t="shared" si="0"/>
        <v>1</v>
      </c>
    </row>
    <row r="37" spans="2:29">
      <c r="B37" s="139" t="s">
        <v>73</v>
      </c>
      <c r="C37" s="139" t="s">
        <v>74</v>
      </c>
      <c r="D37" s="140">
        <f>SUMIF('A-1. 별도FS_19'!$B:$B,CFwp_Korea!B37,'A-1. 별도FS_19'!$D:$D)</f>
        <v>0</v>
      </c>
      <c r="E37" s="140">
        <f>SUMIF('A-1. 별도FS_20'!$B:$B,CFwp_Korea!B37,'A-1. 별도FS_20'!$D:$D)</f>
        <v>-692503942</v>
      </c>
      <c r="F37" s="146"/>
      <c r="G37" s="146"/>
      <c r="H37" s="143"/>
      <c r="I37" s="144"/>
      <c r="J37" s="140"/>
      <c r="K37" s="140"/>
      <c r="L37" s="140"/>
      <c r="M37" s="140"/>
      <c r="N37" s="145"/>
      <c r="O37" s="145">
        <v>0</v>
      </c>
      <c r="P37" s="145">
        <v>0</v>
      </c>
      <c r="Q37" s="145">
        <v>0</v>
      </c>
      <c r="R37" s="145">
        <v>0</v>
      </c>
      <c r="S37" s="140"/>
      <c r="T37" s="145">
        <v>0</v>
      </c>
      <c r="U37" s="145"/>
      <c r="V37" s="145">
        <v>0</v>
      </c>
      <c r="W37" s="145"/>
      <c r="X37" s="145"/>
      <c r="AA37" s="139" t="s">
        <v>73</v>
      </c>
      <c r="AB37" s="139" t="s">
        <v>74</v>
      </c>
      <c r="AC37" s="114" t="b">
        <f t="shared" si="0"/>
        <v>1</v>
      </c>
    </row>
    <row r="38" spans="2:29">
      <c r="B38" s="139" t="s">
        <v>75</v>
      </c>
      <c r="C38" s="139" t="s">
        <v>76</v>
      </c>
      <c r="D38" s="140">
        <f>SUMIF('A-1. 별도FS_19'!$B:$B,CFwp_Korea!B38,'A-1. 별도FS_19'!$D:$D)</f>
        <v>3077150977</v>
      </c>
      <c r="E38" s="140">
        <f>SUMIF('A-1. 별도FS_20'!$B:$B,CFwp_Korea!B38,'A-1. 별도FS_20'!$D:$D)</f>
        <v>17942503420</v>
      </c>
      <c r="F38" s="146"/>
      <c r="G38" s="146"/>
      <c r="H38" s="143"/>
      <c r="I38" s="144"/>
      <c r="J38" s="140"/>
      <c r="K38" s="140"/>
      <c r="L38" s="140"/>
      <c r="M38" s="140"/>
      <c r="N38" s="145"/>
      <c r="O38" s="145">
        <v>0</v>
      </c>
      <c r="P38" s="145">
        <v>0</v>
      </c>
      <c r="Q38" s="145">
        <v>0</v>
      </c>
      <c r="R38" s="145">
        <v>0</v>
      </c>
      <c r="S38" s="140"/>
      <c r="T38" s="145">
        <v>0</v>
      </c>
      <c r="U38" s="145"/>
      <c r="V38" s="145">
        <v>0</v>
      </c>
      <c r="W38" s="145"/>
      <c r="X38" s="145"/>
      <c r="AA38" s="139" t="s">
        <v>75</v>
      </c>
      <c r="AB38" s="139" t="s">
        <v>76</v>
      </c>
      <c r="AC38" s="114" t="b">
        <f t="shared" si="0"/>
        <v>1</v>
      </c>
    </row>
    <row r="39" spans="2:29">
      <c r="B39" s="139" t="s">
        <v>77</v>
      </c>
      <c r="C39" s="139" t="s">
        <v>78</v>
      </c>
      <c r="D39" s="140">
        <f>SUMIF('A-1. 별도FS_19'!$B:$B,CFwp_Korea!B39,'A-1. 별도FS_19'!$D:$D)</f>
        <v>0</v>
      </c>
      <c r="E39" s="140">
        <f>SUMIF('A-1. 별도FS_20'!$B:$B,CFwp_Korea!B39,'A-1. 별도FS_20'!$D:$D)</f>
        <v>-840869466</v>
      </c>
      <c r="F39" s="146"/>
      <c r="G39" s="146"/>
      <c r="H39" s="143"/>
      <c r="I39" s="144"/>
      <c r="J39" s="140"/>
      <c r="K39" s="140"/>
      <c r="L39" s="140"/>
      <c r="M39" s="140"/>
      <c r="N39" s="145"/>
      <c r="O39" s="145">
        <v>0</v>
      </c>
      <c r="P39" s="145">
        <v>0</v>
      </c>
      <c r="Q39" s="145">
        <v>0</v>
      </c>
      <c r="R39" s="145">
        <v>0</v>
      </c>
      <c r="S39" s="140"/>
      <c r="T39" s="145">
        <v>0</v>
      </c>
      <c r="U39" s="145"/>
      <c r="V39" s="145">
        <v>0</v>
      </c>
      <c r="W39" s="145"/>
      <c r="X39" s="145"/>
      <c r="AA39" s="139" t="s">
        <v>77</v>
      </c>
      <c r="AB39" s="139" t="s">
        <v>78</v>
      </c>
      <c r="AC39" s="114" t="b">
        <f t="shared" si="0"/>
        <v>1</v>
      </c>
    </row>
    <row r="40" spans="2:29">
      <c r="B40" s="139" t="s">
        <v>79</v>
      </c>
      <c r="C40" s="139" t="s">
        <v>80</v>
      </c>
      <c r="D40" s="140">
        <f>SUMIF('A-1. 별도FS_19'!$B:$B,CFwp_Korea!B40,'A-1. 별도FS_19'!$D:$D)</f>
        <v>920887954</v>
      </c>
      <c r="E40" s="140">
        <f>SUMIF('A-1. 별도FS_20'!$B:$B,CFwp_Korea!B40,'A-1. 별도FS_20'!$D:$D)</f>
        <v>8982567553</v>
      </c>
      <c r="F40" s="146"/>
      <c r="G40" s="146"/>
      <c r="H40" s="143"/>
      <c r="I40" s="144"/>
      <c r="J40" s="140"/>
      <c r="K40" s="140"/>
      <c r="L40" s="140"/>
      <c r="M40" s="140"/>
      <c r="N40" s="145"/>
      <c r="O40" s="145">
        <v>0</v>
      </c>
      <c r="P40" s="145">
        <v>0</v>
      </c>
      <c r="Q40" s="145">
        <v>0</v>
      </c>
      <c r="R40" s="145">
        <v>0</v>
      </c>
      <c r="S40" s="140"/>
      <c r="T40" s="145">
        <v>0</v>
      </c>
      <c r="U40" s="145"/>
      <c r="V40" s="145">
        <v>0</v>
      </c>
      <c r="W40" s="145"/>
      <c r="X40" s="145"/>
      <c r="AA40" s="139" t="s">
        <v>79</v>
      </c>
      <c r="AB40" s="139" t="s">
        <v>80</v>
      </c>
      <c r="AC40" s="114" t="b">
        <f t="shared" si="0"/>
        <v>1</v>
      </c>
    </row>
    <row r="41" spans="2:29">
      <c r="B41" s="139" t="s">
        <v>81</v>
      </c>
      <c r="C41" s="139" t="s">
        <v>82</v>
      </c>
      <c r="D41" s="140">
        <f>SUMIF('A-1. 별도FS_19'!$B:$B,CFwp_Korea!B41,'A-1. 별도FS_19'!$D:$D)</f>
        <v>2682244471</v>
      </c>
      <c r="E41" s="140">
        <f>SUMIF('A-1. 별도FS_20'!$B:$B,CFwp_Korea!B41,'A-1. 별도FS_20'!$D:$D)</f>
        <v>17547814739</v>
      </c>
      <c r="F41" s="146"/>
      <c r="G41" s="146"/>
      <c r="H41" s="143"/>
      <c r="I41" s="144"/>
      <c r="J41" s="140"/>
      <c r="K41" s="140"/>
      <c r="L41" s="140"/>
      <c r="M41" s="140"/>
      <c r="N41" s="145"/>
      <c r="O41" s="145">
        <v>0</v>
      </c>
      <c r="P41" s="145">
        <v>0</v>
      </c>
      <c r="Q41" s="145">
        <v>0</v>
      </c>
      <c r="R41" s="145">
        <v>0</v>
      </c>
      <c r="S41" s="140"/>
      <c r="T41" s="145">
        <v>0</v>
      </c>
      <c r="U41" s="145"/>
      <c r="V41" s="145">
        <v>0</v>
      </c>
      <c r="W41" s="145"/>
      <c r="X41" s="145"/>
      <c r="AA41" s="139" t="s">
        <v>81</v>
      </c>
      <c r="AB41" s="139" t="s">
        <v>82</v>
      </c>
      <c r="AC41" s="114" t="b">
        <f t="shared" si="0"/>
        <v>1</v>
      </c>
    </row>
    <row r="42" spans="2:29">
      <c r="B42" s="139" t="s">
        <v>83</v>
      </c>
      <c r="C42" s="139" t="s">
        <v>84</v>
      </c>
      <c r="D42" s="140">
        <f>SUMIF('A-1. 별도FS_19'!$B:$B,CFwp_Korea!B42,'A-1. 별도FS_19'!$D:$D)</f>
        <v>0</v>
      </c>
      <c r="E42" s="140">
        <f>SUMIF('A-1. 별도FS_20'!$B:$B,CFwp_Korea!B42,'A-1. 별도FS_20'!$D:$D)</f>
        <v>-1033566288</v>
      </c>
      <c r="F42" s="146"/>
      <c r="G42" s="146"/>
      <c r="H42" s="143"/>
      <c r="I42" s="144"/>
      <c r="J42" s="140"/>
      <c r="K42" s="140"/>
      <c r="L42" s="140"/>
      <c r="M42" s="140"/>
      <c r="N42" s="145"/>
      <c r="O42" s="145">
        <v>0</v>
      </c>
      <c r="P42" s="145">
        <v>0</v>
      </c>
      <c r="Q42" s="145">
        <v>0</v>
      </c>
      <c r="R42" s="145">
        <v>0</v>
      </c>
      <c r="S42" s="140"/>
      <c r="T42" s="145">
        <v>0</v>
      </c>
      <c r="U42" s="145"/>
      <c r="V42" s="145">
        <v>0</v>
      </c>
      <c r="W42" s="145"/>
      <c r="X42" s="145"/>
      <c r="AA42" s="139" t="s">
        <v>83</v>
      </c>
      <c r="AB42" s="139" t="s">
        <v>84</v>
      </c>
      <c r="AC42" s="114" t="b">
        <f t="shared" si="0"/>
        <v>1</v>
      </c>
    </row>
    <row r="43" spans="2:29">
      <c r="B43" s="139" t="s">
        <v>85</v>
      </c>
      <c r="C43" s="139" t="s">
        <v>86</v>
      </c>
      <c r="D43" s="140">
        <f>SUMIF('A-1. 별도FS_19'!$B:$B,CFwp_Korea!B43,'A-1. 별도FS_19'!$D:$D)</f>
        <v>0</v>
      </c>
      <c r="E43" s="140">
        <f>SUMIF('A-1. 별도FS_20'!$B:$B,CFwp_Korea!B43,'A-1. 별도FS_20'!$D:$D)</f>
        <v>0</v>
      </c>
      <c r="F43" s="146"/>
      <c r="G43" s="146"/>
      <c r="H43" s="143"/>
      <c r="I43" s="144"/>
      <c r="J43" s="140"/>
      <c r="K43" s="140"/>
      <c r="L43" s="140"/>
      <c r="M43" s="140"/>
      <c r="N43" s="145"/>
      <c r="O43" s="145">
        <v>0</v>
      </c>
      <c r="P43" s="145">
        <v>0</v>
      </c>
      <c r="Q43" s="145">
        <v>0</v>
      </c>
      <c r="R43" s="145">
        <v>0</v>
      </c>
      <c r="S43" s="140"/>
      <c r="T43" s="145">
        <v>0</v>
      </c>
      <c r="U43" s="145"/>
      <c r="V43" s="145">
        <v>0</v>
      </c>
      <c r="W43" s="145"/>
      <c r="X43" s="145"/>
      <c r="AA43" s="139" t="s">
        <v>85</v>
      </c>
      <c r="AB43" s="139" t="s">
        <v>86</v>
      </c>
      <c r="AC43" s="114" t="b">
        <f t="shared" si="0"/>
        <v>1</v>
      </c>
    </row>
    <row r="44" spans="2:29">
      <c r="B44" s="139" t="s">
        <v>87</v>
      </c>
      <c r="C44" s="139" t="s">
        <v>88</v>
      </c>
      <c r="D44" s="140">
        <f>SUMIF('A-1. 별도FS_19'!$B:$B,CFwp_Korea!B44,'A-1. 별도FS_19'!$D:$D)</f>
        <v>0</v>
      </c>
      <c r="E44" s="140">
        <f>SUMIF('A-1. 별도FS_20'!$B:$B,CFwp_Korea!B44,'A-1. 별도FS_20'!$D:$D)</f>
        <v>0</v>
      </c>
      <c r="F44" s="146"/>
      <c r="G44" s="146"/>
      <c r="H44" s="143"/>
      <c r="I44" s="144"/>
      <c r="J44" s="140"/>
      <c r="K44" s="140"/>
      <c r="L44" s="140"/>
      <c r="M44" s="140"/>
      <c r="N44" s="145"/>
      <c r="O44" s="145">
        <v>0</v>
      </c>
      <c r="P44" s="145">
        <v>0</v>
      </c>
      <c r="Q44" s="145">
        <v>0</v>
      </c>
      <c r="R44" s="145">
        <v>0</v>
      </c>
      <c r="S44" s="140"/>
      <c r="T44" s="145">
        <v>0</v>
      </c>
      <c r="U44" s="145"/>
      <c r="V44" s="145">
        <v>0</v>
      </c>
      <c r="W44" s="145"/>
      <c r="X44" s="145"/>
      <c r="AA44" s="139" t="s">
        <v>87</v>
      </c>
      <c r="AB44" s="139" t="s">
        <v>88</v>
      </c>
      <c r="AC44" s="114" t="b">
        <f t="shared" si="0"/>
        <v>1</v>
      </c>
    </row>
    <row r="45" spans="2:29">
      <c r="B45" s="139" t="s">
        <v>89</v>
      </c>
      <c r="C45" s="139" t="s">
        <v>90</v>
      </c>
      <c r="D45" s="140">
        <f>SUMIF('A-1. 별도FS_19'!$B:$B,CFwp_Korea!B45,'A-1. 별도FS_19'!$D:$D)</f>
        <v>6440680</v>
      </c>
      <c r="E45" s="140">
        <f>SUMIF('A-1. 별도FS_20'!$B:$B,CFwp_Korea!B45,'A-1. 별도FS_20'!$D:$D)</f>
        <v>366715851</v>
      </c>
      <c r="F45" s="146"/>
      <c r="G45" s="146"/>
      <c r="H45" s="143"/>
      <c r="I45" s="144"/>
      <c r="J45" s="140"/>
      <c r="K45" s="140"/>
      <c r="L45" s="140"/>
      <c r="M45" s="140"/>
      <c r="N45" s="145"/>
      <c r="O45" s="145">
        <v>0</v>
      </c>
      <c r="P45" s="145">
        <v>0</v>
      </c>
      <c r="Q45" s="145">
        <v>0</v>
      </c>
      <c r="R45" s="145">
        <v>0</v>
      </c>
      <c r="S45" s="140"/>
      <c r="T45" s="145">
        <v>0</v>
      </c>
      <c r="U45" s="145"/>
      <c r="V45" s="145">
        <v>0</v>
      </c>
      <c r="W45" s="145"/>
      <c r="X45" s="145"/>
      <c r="AA45" s="139" t="s">
        <v>89</v>
      </c>
      <c r="AB45" s="139" t="s">
        <v>90</v>
      </c>
      <c r="AC45" s="114" t="b">
        <f t="shared" si="0"/>
        <v>1</v>
      </c>
    </row>
    <row r="46" spans="2:29">
      <c r="B46" s="139" t="s">
        <v>66</v>
      </c>
      <c r="C46" s="139"/>
      <c r="D46" s="140"/>
      <c r="E46" s="140"/>
      <c r="F46" s="146"/>
      <c r="G46" s="146"/>
      <c r="H46" s="143"/>
      <c r="I46" s="144"/>
      <c r="J46" s="140"/>
      <c r="K46" s="140"/>
      <c r="L46" s="140"/>
      <c r="M46" s="140"/>
      <c r="N46" s="145"/>
      <c r="O46" s="145">
        <v>0</v>
      </c>
      <c r="P46" s="145">
        <v>0</v>
      </c>
      <c r="Q46" s="145">
        <v>0</v>
      </c>
      <c r="R46" s="145">
        <v>0</v>
      </c>
      <c r="S46" s="140"/>
      <c r="T46" s="145">
        <v>0</v>
      </c>
      <c r="U46" s="145"/>
      <c r="V46" s="145">
        <v>0</v>
      </c>
      <c r="W46" s="145"/>
      <c r="X46" s="145"/>
      <c r="AA46" s="139" t="s">
        <v>66</v>
      </c>
      <c r="AB46" s="139"/>
      <c r="AC46" s="114" t="b">
        <f t="shared" si="0"/>
        <v>1</v>
      </c>
    </row>
    <row r="47" spans="2:29">
      <c r="B47" s="139" t="s">
        <v>66</v>
      </c>
      <c r="C47" s="139"/>
      <c r="D47" s="140"/>
      <c r="E47" s="140"/>
      <c r="F47" s="146"/>
      <c r="G47" s="146"/>
      <c r="H47" s="143"/>
      <c r="I47" s="144"/>
      <c r="J47" s="140"/>
      <c r="K47" s="140"/>
      <c r="L47" s="140"/>
      <c r="M47" s="140"/>
      <c r="N47" s="145"/>
      <c r="O47" s="145">
        <v>0</v>
      </c>
      <c r="P47" s="145">
        <v>0</v>
      </c>
      <c r="Q47" s="145">
        <v>0</v>
      </c>
      <c r="R47" s="145">
        <v>0</v>
      </c>
      <c r="S47" s="140"/>
      <c r="T47" s="145">
        <v>0</v>
      </c>
      <c r="U47" s="145"/>
      <c r="V47" s="145">
        <v>0</v>
      </c>
      <c r="W47" s="145"/>
      <c r="X47" s="145"/>
      <c r="AA47" s="134" t="s">
        <v>66</v>
      </c>
      <c r="AB47" s="134"/>
      <c r="AC47" s="114" t="b">
        <f t="shared" si="0"/>
        <v>1</v>
      </c>
    </row>
    <row r="48" spans="2:29">
      <c r="B48" s="134"/>
      <c r="C48" s="134" t="s">
        <v>575</v>
      </c>
      <c r="D48" s="136">
        <f>D49+D59+D82+D90</f>
        <v>107600242493</v>
      </c>
      <c r="E48" s="136">
        <f>E49+E59+E82+E90</f>
        <v>139935385653.02499</v>
      </c>
      <c r="F48" s="152"/>
      <c r="G48" s="152"/>
      <c r="H48" s="136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AA48" s="137"/>
      <c r="AB48" s="137" t="s">
        <v>575</v>
      </c>
      <c r="AC48" s="114" t="b">
        <f t="shared" si="0"/>
        <v>1</v>
      </c>
    </row>
    <row r="49" spans="2:29">
      <c r="B49" s="137"/>
      <c r="C49" s="137" t="s">
        <v>576</v>
      </c>
      <c r="D49" s="138">
        <f>SUM(D50:D57)</f>
        <v>83684901586</v>
      </c>
      <c r="E49" s="138">
        <f>SUM(E50:E57)</f>
        <v>89636490402.024994</v>
      </c>
      <c r="F49" s="154"/>
      <c r="G49" s="154"/>
      <c r="H49" s="138"/>
      <c r="I49" s="149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AA49" s="139"/>
      <c r="AB49" s="139" t="s">
        <v>576</v>
      </c>
      <c r="AC49" s="114" t="b">
        <f t="shared" si="0"/>
        <v>1</v>
      </c>
    </row>
    <row r="50" spans="2:29">
      <c r="B50" s="139" t="s">
        <v>92</v>
      </c>
      <c r="C50" s="139" t="s">
        <v>93</v>
      </c>
      <c r="D50" s="140">
        <f>SUMIF('A-1. 별도FS_19'!$B:$B,CFwp_Korea!B50,'A-1. 별도FS_19'!$D:$D)</f>
        <v>0</v>
      </c>
      <c r="E50" s="140">
        <f>SUMIF('A-1. 별도FS_20'!$B:$B,CFwp_Korea!B50,'A-1. 별도FS_20'!$D:$D)</f>
        <v>0</v>
      </c>
      <c r="F50" s="146">
        <f>E50-D50</f>
        <v>0</v>
      </c>
      <c r="G50" s="146">
        <f t="shared" ref="G50:G99" si="3">J50-K50+N50+O50-P50+Q50-R50-T50+V50+F50-W50+X50-Y50+Z50</f>
        <v>0</v>
      </c>
      <c r="H50" s="143"/>
      <c r="I50" s="144"/>
      <c r="J50" s="140"/>
      <c r="K50" s="140"/>
      <c r="L50" s="140"/>
      <c r="M50" s="140"/>
      <c r="N50" s="145">
        <v>0</v>
      </c>
      <c r="O50" s="145">
        <v>0</v>
      </c>
      <c r="P50" s="145">
        <v>0</v>
      </c>
      <c r="Q50" s="145">
        <v>0</v>
      </c>
      <c r="R50" s="145">
        <v>0</v>
      </c>
      <c r="S50" s="140"/>
      <c r="T50" s="145">
        <v>0</v>
      </c>
      <c r="U50" s="145"/>
      <c r="V50" s="145">
        <v>0</v>
      </c>
      <c r="W50" s="145"/>
      <c r="X50" s="145"/>
      <c r="AA50" s="139" t="s">
        <v>92</v>
      </c>
      <c r="AB50" s="139" t="s">
        <v>93</v>
      </c>
      <c r="AC50" s="114" t="b">
        <f t="shared" si="0"/>
        <v>1</v>
      </c>
    </row>
    <row r="51" spans="2:29">
      <c r="B51" s="139" t="s">
        <v>96</v>
      </c>
      <c r="C51" s="139" t="s">
        <v>97</v>
      </c>
      <c r="D51" s="140">
        <f>SUMIF('A-1. 별도FS_19'!$B:$B,CFwp_Korea!B51,'A-1. 별도FS_19'!$D:$D)</f>
        <v>0</v>
      </c>
      <c r="E51" s="140">
        <f>SUMIF('A-1. 별도FS_20'!$B:$B,CFwp_Korea!B51,'A-1. 별도FS_20'!$D:$D)</f>
        <v>0</v>
      </c>
      <c r="F51" s="146">
        <f>E51-D51</f>
        <v>0</v>
      </c>
      <c r="G51" s="146">
        <f t="shared" si="3"/>
        <v>0</v>
      </c>
      <c r="H51" s="143" t="s">
        <v>441</v>
      </c>
      <c r="I51" s="144"/>
      <c r="J51" s="140"/>
      <c r="K51" s="140">
        <v>0</v>
      </c>
      <c r="L51" s="140"/>
      <c r="M51" s="140"/>
      <c r="N51" s="145"/>
      <c r="O51" s="145">
        <v>0</v>
      </c>
      <c r="P51" s="145">
        <v>0</v>
      </c>
      <c r="Q51" s="145"/>
      <c r="R51" s="145"/>
      <c r="S51" s="140"/>
      <c r="T51" s="145"/>
      <c r="U51" s="145"/>
      <c r="V51" s="145"/>
      <c r="W51" s="145"/>
      <c r="X51" s="145"/>
      <c r="AA51" s="139" t="s">
        <v>96</v>
      </c>
      <c r="AB51" s="139" t="s">
        <v>97</v>
      </c>
      <c r="AC51" s="114" t="b">
        <f t="shared" si="0"/>
        <v>1</v>
      </c>
    </row>
    <row r="52" spans="2:29">
      <c r="B52" s="139" t="s">
        <v>100</v>
      </c>
      <c r="C52" s="139" t="s">
        <v>101</v>
      </c>
      <c r="D52" s="140">
        <f>SUMIF('A-1. 별도FS_19'!$B:$B,CFwp_Korea!B52,'A-1. 별도FS_19'!$D:$D)</f>
        <v>0</v>
      </c>
      <c r="E52" s="140">
        <f>SUMIF('A-1. 별도FS_20'!$B:$B,CFwp_Korea!B52,'A-1. 별도FS_20'!$D:$D)</f>
        <v>0</v>
      </c>
      <c r="F52" s="146">
        <f>E52-D52</f>
        <v>0</v>
      </c>
      <c r="G52" s="146">
        <f t="shared" si="3"/>
        <v>0</v>
      </c>
      <c r="H52" s="143"/>
      <c r="I52" s="144"/>
      <c r="J52" s="140"/>
      <c r="K52" s="140"/>
      <c r="L52" s="140"/>
      <c r="M52" s="140"/>
      <c r="N52" s="145"/>
      <c r="O52" s="145">
        <v>0</v>
      </c>
      <c r="P52" s="145">
        <v>0</v>
      </c>
      <c r="Q52" s="145">
        <v>0</v>
      </c>
      <c r="R52" s="145">
        <v>0</v>
      </c>
      <c r="S52" s="140"/>
      <c r="T52" s="145">
        <v>0</v>
      </c>
      <c r="U52" s="145"/>
      <c r="V52" s="145">
        <v>0</v>
      </c>
      <c r="W52" s="145"/>
      <c r="X52" s="145"/>
      <c r="AA52" s="139" t="s">
        <v>100</v>
      </c>
      <c r="AB52" s="139" t="s">
        <v>101</v>
      </c>
      <c r="AC52" s="114" t="b">
        <f t="shared" si="0"/>
        <v>1</v>
      </c>
    </row>
    <row r="53" spans="2:29">
      <c r="B53" s="139" t="s">
        <v>98</v>
      </c>
      <c r="C53" s="139" t="s">
        <v>99</v>
      </c>
      <c r="D53" s="140">
        <f>SUMIF('A-1. 별도FS_19'!$B:$B,CFwp_Korea!B53,'A-1. 별도FS_19'!$D:$D)</f>
        <v>1059412860</v>
      </c>
      <c r="E53" s="140">
        <f>SUMIF('A-1. 별도FS_20'!$B:$B,CFwp_Korea!B53,'A-1. 별도FS_20'!$D:$D)</f>
        <v>5047622400.0250015</v>
      </c>
      <c r="F53" s="146">
        <f>E53-D53</f>
        <v>3988209540.0250015</v>
      </c>
      <c r="G53" s="146">
        <f t="shared" si="3"/>
        <v>1.430511474609375E-6</v>
      </c>
      <c r="H53" s="143" t="s">
        <v>526</v>
      </c>
      <c r="I53" s="144">
        <v>507801540.02499998</v>
      </c>
      <c r="J53" s="140"/>
      <c r="K53" s="140">
        <v>507801540.02499998</v>
      </c>
      <c r="L53" s="140"/>
      <c r="M53" s="140"/>
      <c r="N53" s="145"/>
      <c r="O53" s="145">
        <v>0</v>
      </c>
      <c r="P53" s="145">
        <v>3480408000</v>
      </c>
      <c r="Q53" s="145"/>
      <c r="R53" s="145"/>
      <c r="S53" s="140"/>
      <c r="T53" s="145">
        <v>0</v>
      </c>
      <c r="U53" s="145"/>
      <c r="V53" s="145">
        <v>0</v>
      </c>
      <c r="W53" s="145"/>
      <c r="X53" s="145"/>
      <c r="AA53" s="139" t="s">
        <v>98</v>
      </c>
      <c r="AB53" s="139" t="s">
        <v>99</v>
      </c>
      <c r="AC53" s="114" t="b">
        <f t="shared" si="0"/>
        <v>1</v>
      </c>
    </row>
    <row r="54" spans="2:29">
      <c r="B54" s="139"/>
      <c r="C54" s="139"/>
      <c r="D54" s="140">
        <f>SUMIF('A-1. 별도FS_19'!$B:$B,CFwp_Korea!B54,'A-1. 별도FS_19'!$D:$D)</f>
        <v>0</v>
      </c>
      <c r="E54" s="140">
        <f>SUMIF('A-1. 별도FS_20'!$B:$B,CFwp_Korea!B54,'A-1. 별도FS_20'!$D:$D)</f>
        <v>0</v>
      </c>
      <c r="F54" s="146"/>
      <c r="G54" s="146">
        <f t="shared" si="3"/>
        <v>0</v>
      </c>
      <c r="H54" s="143"/>
      <c r="I54" s="144"/>
      <c r="J54" s="140"/>
      <c r="K54" s="140"/>
      <c r="L54" s="140"/>
      <c r="M54" s="140"/>
      <c r="N54" s="145"/>
      <c r="O54" s="145"/>
      <c r="P54" s="145"/>
      <c r="Q54" s="145"/>
      <c r="R54" s="145"/>
      <c r="S54" s="140"/>
      <c r="T54" s="145"/>
      <c r="U54" s="145"/>
      <c r="V54" s="145"/>
      <c r="W54" s="145"/>
      <c r="X54" s="145"/>
      <c r="AA54" s="139"/>
      <c r="AB54" s="139"/>
      <c r="AC54" s="114" t="b">
        <f t="shared" si="0"/>
        <v>1</v>
      </c>
    </row>
    <row r="55" spans="2:29">
      <c r="B55" s="139" t="s">
        <v>104</v>
      </c>
      <c r="C55" s="139" t="s">
        <v>105</v>
      </c>
      <c r="D55" s="140">
        <f>SUMIF('A-1. 별도FS_19'!$B:$B,CFwp_Korea!B55,'A-1. 별도FS_19'!$D:$D)</f>
        <v>1179726013</v>
      </c>
      <c r="E55" s="140">
        <f>SUMIF('A-1. 별도FS_20'!$B:$B,CFwp_Korea!B55,'A-1. 별도FS_20'!$D:$D)</f>
        <v>1725826013</v>
      </c>
      <c r="F55" s="146">
        <f t="shared" ref="F55" si="4">E55-D55</f>
        <v>546100000</v>
      </c>
      <c r="G55" s="146">
        <f t="shared" si="3"/>
        <v>0</v>
      </c>
      <c r="H55" s="143"/>
      <c r="I55" s="144"/>
      <c r="J55" s="140"/>
      <c r="K55" s="140">
        <v>0</v>
      </c>
      <c r="L55" s="140"/>
      <c r="M55" s="140"/>
      <c r="N55" s="145">
        <v>0</v>
      </c>
      <c r="O55" s="145">
        <v>0</v>
      </c>
      <c r="P55" s="145">
        <v>546100000</v>
      </c>
      <c r="Q55" s="145">
        <v>0</v>
      </c>
      <c r="R55" s="145">
        <v>0</v>
      </c>
      <c r="S55" s="140"/>
      <c r="T55" s="145">
        <v>0</v>
      </c>
      <c r="U55" s="145"/>
      <c r="V55" s="145">
        <v>0</v>
      </c>
      <c r="W55" s="145"/>
      <c r="X55" s="145"/>
      <c r="AA55" s="139" t="s">
        <v>104</v>
      </c>
      <c r="AB55" s="139" t="s">
        <v>105</v>
      </c>
      <c r="AC55" s="114" t="b">
        <f t="shared" si="0"/>
        <v>1</v>
      </c>
    </row>
    <row r="56" spans="2:29">
      <c r="B56" s="139"/>
      <c r="C56" s="139"/>
      <c r="D56" s="140">
        <f>SUMIF('A-1. 별도FS_19'!$B:$B,CFwp_Korea!B56,'A-1. 별도FS_19'!$D:$D)</f>
        <v>0</v>
      </c>
      <c r="E56" s="140">
        <f>SUMIF('A-1. 별도FS_20'!$B:$B,CFwp_Korea!B56,'A-1. 별도FS_20'!$D:$D)</f>
        <v>0</v>
      </c>
      <c r="F56" s="146"/>
      <c r="G56" s="146">
        <f t="shared" si="3"/>
        <v>0</v>
      </c>
      <c r="H56" s="143"/>
      <c r="I56" s="144"/>
      <c r="J56" s="140"/>
      <c r="K56" s="140"/>
      <c r="L56" s="140"/>
      <c r="M56" s="140"/>
      <c r="N56" s="145"/>
      <c r="O56" s="145"/>
      <c r="P56" s="145"/>
      <c r="Q56" s="145"/>
      <c r="R56" s="145"/>
      <c r="S56" s="140"/>
      <c r="T56" s="145"/>
      <c r="U56" s="145"/>
      <c r="V56" s="145"/>
      <c r="W56" s="145"/>
      <c r="X56" s="145"/>
      <c r="AA56" s="139"/>
      <c r="AB56" s="139"/>
      <c r="AC56" s="114" t="b">
        <f t="shared" si="0"/>
        <v>1</v>
      </c>
    </row>
    <row r="57" spans="2:29">
      <c r="B57" s="139" t="s">
        <v>108</v>
      </c>
      <c r="C57" s="139" t="s">
        <v>109</v>
      </c>
      <c r="D57" s="140">
        <f>SUMIF('A-1. 별도FS_19'!$B:$B,CFwp_Korea!B57,'A-1. 별도FS_19'!$D:$D)</f>
        <v>81445762713</v>
      </c>
      <c r="E57" s="140">
        <f>SUMIF('A-1. 별도FS_20'!$B:$B,CFwp_Korea!B57,'A-1. 별도FS_20'!$D:$D)</f>
        <v>82863041989</v>
      </c>
      <c r="F57" s="146">
        <f t="shared" ref="F57" si="5">E57-D57</f>
        <v>1417279276</v>
      </c>
      <c r="G57" s="146">
        <f t="shared" si="3"/>
        <v>0</v>
      </c>
      <c r="H57" s="143"/>
      <c r="I57" s="144"/>
      <c r="J57" s="140"/>
      <c r="K57" s="140">
        <v>0</v>
      </c>
      <c r="L57" s="140"/>
      <c r="M57" s="140"/>
      <c r="N57" s="145">
        <v>0</v>
      </c>
      <c r="O57" s="145">
        <v>0</v>
      </c>
      <c r="P57" s="145">
        <v>1417279276</v>
      </c>
      <c r="Q57" s="145">
        <v>0</v>
      </c>
      <c r="R57" s="145">
        <v>0</v>
      </c>
      <c r="S57" s="140"/>
      <c r="T57" s="145">
        <v>0</v>
      </c>
      <c r="U57" s="145"/>
      <c r="V57" s="145">
        <v>0</v>
      </c>
      <c r="W57" s="145"/>
      <c r="X57" s="145"/>
      <c r="AA57" s="139" t="s">
        <v>108</v>
      </c>
      <c r="AB57" s="139" t="s">
        <v>109</v>
      </c>
      <c r="AC57" s="114" t="b">
        <f t="shared" si="0"/>
        <v>1</v>
      </c>
    </row>
    <row r="58" spans="2:29">
      <c r="B58" s="139"/>
      <c r="C58" s="139"/>
      <c r="D58" s="140"/>
      <c r="E58" s="140"/>
      <c r="F58" s="146"/>
      <c r="G58" s="146">
        <f t="shared" si="3"/>
        <v>0</v>
      </c>
      <c r="H58" s="143"/>
      <c r="I58" s="144"/>
      <c r="J58" s="140"/>
      <c r="K58" s="140"/>
      <c r="L58" s="140"/>
      <c r="M58" s="140"/>
      <c r="N58" s="145"/>
      <c r="O58" s="145"/>
      <c r="P58" s="145"/>
      <c r="Q58" s="145"/>
      <c r="R58" s="145"/>
      <c r="S58" s="140"/>
      <c r="T58" s="145"/>
      <c r="U58" s="145"/>
      <c r="V58" s="145"/>
      <c r="W58" s="145"/>
      <c r="X58" s="145"/>
      <c r="AA58" s="137"/>
      <c r="AB58" s="137"/>
      <c r="AC58" s="114" t="b">
        <f t="shared" si="0"/>
        <v>1</v>
      </c>
    </row>
    <row r="59" spans="2:29">
      <c r="B59" s="137"/>
      <c r="C59" s="137" t="s">
        <v>129</v>
      </c>
      <c r="D59" s="138">
        <f>SUM(D60:D80)</f>
        <v>23568001502</v>
      </c>
      <c r="E59" s="138">
        <f>SUM(E60:E80)</f>
        <v>49647312159</v>
      </c>
      <c r="F59" s="154"/>
      <c r="G59" s="154"/>
      <c r="H59" s="138"/>
      <c r="I59" s="149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AA59" s="139"/>
      <c r="AB59" s="139" t="s">
        <v>129</v>
      </c>
      <c r="AC59" s="114" t="b">
        <f t="shared" si="0"/>
        <v>1</v>
      </c>
    </row>
    <row r="60" spans="2:29">
      <c r="B60" s="139" t="s">
        <v>126</v>
      </c>
      <c r="C60" s="139" t="s">
        <v>127</v>
      </c>
      <c r="D60" s="140">
        <f>SUMIF('A-1. 별도FS_19'!$B:$B,CFwp_Korea!B60,'A-1. 별도FS_19'!$D:$D)</f>
        <v>10242504190</v>
      </c>
      <c r="E60" s="140">
        <f>SUMIF('A-1. 별도FS_20'!$B:$B,CFwp_Korea!B60,'A-1. 별도FS_20'!$D:$D)</f>
        <v>14540910314</v>
      </c>
      <c r="F60" s="146">
        <f>E60-D60</f>
        <v>4298406124</v>
      </c>
      <c r="G60" s="146">
        <f t="shared" si="3"/>
        <v>0</v>
      </c>
      <c r="H60" s="143"/>
      <c r="I60" s="144"/>
      <c r="J60" s="140"/>
      <c r="K60" s="140"/>
      <c r="L60" s="140"/>
      <c r="M60" s="140"/>
      <c r="N60" s="145">
        <v>0</v>
      </c>
      <c r="O60" s="145">
        <v>0</v>
      </c>
      <c r="P60" s="145">
        <v>4298406124</v>
      </c>
      <c r="Q60" s="145">
        <v>0</v>
      </c>
      <c r="R60" s="145">
        <v>0</v>
      </c>
      <c r="S60" s="140" t="s">
        <v>835</v>
      </c>
      <c r="T60" s="145">
        <v>0</v>
      </c>
      <c r="U60" s="145"/>
      <c r="V60" s="145">
        <v>0</v>
      </c>
      <c r="W60" s="145"/>
      <c r="X60" s="145"/>
      <c r="AA60" s="139" t="s">
        <v>126</v>
      </c>
      <c r="AB60" s="139" t="s">
        <v>127</v>
      </c>
      <c r="AC60" s="114" t="b">
        <f t="shared" si="0"/>
        <v>1</v>
      </c>
    </row>
    <row r="61" spans="2:29">
      <c r="B61" s="139" t="s">
        <v>130</v>
      </c>
      <c r="C61" s="139" t="s">
        <v>131</v>
      </c>
      <c r="D61" s="140">
        <f>SUMIF('A-1. 별도FS_19'!$B:$B,CFwp_Korea!B61,'A-1. 별도FS_19'!$D:$D)</f>
        <v>10031774698</v>
      </c>
      <c r="E61" s="140">
        <f>SUMIF('A-1. 별도FS_20'!$B:$B,CFwp_Korea!B61,'A-1. 별도FS_20'!$D:$D)</f>
        <v>19217775430</v>
      </c>
      <c r="F61" s="146">
        <f t="shared" ref="F61:F80" si="6">E61-D61</f>
        <v>9186000732</v>
      </c>
      <c r="G61" s="146">
        <f t="shared" si="3"/>
        <v>0</v>
      </c>
      <c r="H61" s="143"/>
      <c r="I61" s="144"/>
      <c r="J61" s="140"/>
      <c r="K61" s="140"/>
      <c r="L61" s="140"/>
      <c r="M61" s="140"/>
      <c r="N61" s="145">
        <v>0</v>
      </c>
      <c r="O61" s="145">
        <v>0</v>
      </c>
      <c r="P61" s="145">
        <v>9181000732</v>
      </c>
      <c r="Q61" s="145">
        <v>0</v>
      </c>
      <c r="R61" s="145">
        <v>0</v>
      </c>
      <c r="S61" s="140"/>
      <c r="T61" s="145">
        <v>5000000</v>
      </c>
      <c r="U61" s="145"/>
      <c r="V61" s="145">
        <v>0</v>
      </c>
      <c r="W61" s="145"/>
      <c r="X61" s="145"/>
      <c r="AA61" s="139" t="s">
        <v>130</v>
      </c>
      <c r="AB61" s="139" t="s">
        <v>131</v>
      </c>
      <c r="AC61" s="114" t="b">
        <f t="shared" si="0"/>
        <v>1</v>
      </c>
    </row>
    <row r="62" spans="2:29">
      <c r="B62" s="139" t="s">
        <v>132</v>
      </c>
      <c r="C62" s="139" t="s">
        <v>133</v>
      </c>
      <c r="D62" s="140">
        <f>SUMIF('A-1. 별도FS_19'!$B:$B,CFwp_Korea!B62,'A-1. 별도FS_19'!$D:$D)</f>
        <v>-1432627018</v>
      </c>
      <c r="E62" s="140">
        <f>SUMIF('A-1. 별도FS_20'!$B:$B,CFwp_Korea!B62,'A-1. 별도FS_20'!$D:$D)</f>
        <v>-1727592015</v>
      </c>
      <c r="F62" s="146">
        <f t="shared" si="6"/>
        <v>-294964997</v>
      </c>
      <c r="G62" s="146">
        <f t="shared" si="3"/>
        <v>0</v>
      </c>
      <c r="H62" s="143" t="s">
        <v>356</v>
      </c>
      <c r="I62" s="144">
        <v>294964997</v>
      </c>
      <c r="J62" s="140">
        <v>294964997</v>
      </c>
      <c r="K62" s="140"/>
      <c r="L62" s="140"/>
      <c r="M62" s="140"/>
      <c r="N62" s="145">
        <v>0</v>
      </c>
      <c r="O62" s="145">
        <v>0</v>
      </c>
      <c r="P62" s="145">
        <v>0</v>
      </c>
      <c r="Q62" s="145">
        <v>0</v>
      </c>
      <c r="R62" s="145">
        <v>0</v>
      </c>
      <c r="S62" s="140"/>
      <c r="T62" s="145">
        <v>0</v>
      </c>
      <c r="U62" s="145"/>
      <c r="V62" s="145">
        <v>0</v>
      </c>
      <c r="W62" s="145"/>
      <c r="X62" s="145"/>
      <c r="AA62" s="139" t="s">
        <v>132</v>
      </c>
      <c r="AB62" s="139" t="s">
        <v>133</v>
      </c>
      <c r="AC62" s="114" t="b">
        <f t="shared" si="0"/>
        <v>1</v>
      </c>
    </row>
    <row r="63" spans="2:29">
      <c r="B63" s="139" t="s">
        <v>134</v>
      </c>
      <c r="C63" s="139" t="s">
        <v>135</v>
      </c>
      <c r="D63" s="140">
        <f>SUMIF('A-1. 별도FS_19'!$B:$B,CFwp_Korea!B63,'A-1. 별도FS_19'!$D:$D)</f>
        <v>22700000</v>
      </c>
      <c r="E63" s="140">
        <f>SUMIF('A-1. 별도FS_20'!$B:$B,CFwp_Korea!B63,'A-1. 별도FS_20'!$D:$D)</f>
        <v>257700000</v>
      </c>
      <c r="F63" s="146">
        <f t="shared" si="6"/>
        <v>235000000</v>
      </c>
      <c r="G63" s="146">
        <f t="shared" si="3"/>
        <v>0</v>
      </c>
      <c r="H63" s="143"/>
      <c r="I63" s="144"/>
      <c r="J63" s="140"/>
      <c r="K63" s="140"/>
      <c r="L63" s="140"/>
      <c r="M63" s="140"/>
      <c r="N63" s="145">
        <v>0</v>
      </c>
      <c r="O63" s="145">
        <v>0</v>
      </c>
      <c r="P63" s="145">
        <v>235000000</v>
      </c>
      <c r="Q63" s="145">
        <v>0</v>
      </c>
      <c r="R63" s="145">
        <v>0</v>
      </c>
      <c r="S63" s="140"/>
      <c r="T63" s="145">
        <v>0</v>
      </c>
      <c r="U63" s="145"/>
      <c r="V63" s="145">
        <v>0</v>
      </c>
      <c r="W63" s="145"/>
      <c r="X63" s="145"/>
      <c r="AA63" s="139" t="s">
        <v>134</v>
      </c>
      <c r="AB63" s="139" t="s">
        <v>135</v>
      </c>
      <c r="AC63" s="114" t="b">
        <f t="shared" si="0"/>
        <v>1</v>
      </c>
    </row>
    <row r="64" spans="2:29">
      <c r="B64" s="139" t="s">
        <v>136</v>
      </c>
      <c r="C64" s="139" t="s">
        <v>137</v>
      </c>
      <c r="D64" s="140">
        <f>SUMIF('A-1. 별도FS_19'!$B:$B,CFwp_Korea!B64,'A-1. 별도FS_19'!$D:$D)</f>
        <v>-3171875</v>
      </c>
      <c r="E64" s="140">
        <f>SUMIF('A-1. 별도FS_20'!$B:$B,CFwp_Korea!B64,'A-1. 별도FS_20'!$D:$D)</f>
        <v>-4353959</v>
      </c>
      <c r="F64" s="146">
        <f t="shared" si="6"/>
        <v>-1182084</v>
      </c>
      <c r="G64" s="146">
        <f t="shared" si="3"/>
        <v>0</v>
      </c>
      <c r="H64" s="143" t="s">
        <v>356</v>
      </c>
      <c r="I64" s="144">
        <v>1182084</v>
      </c>
      <c r="J64" s="140">
        <v>1182084</v>
      </c>
      <c r="K64" s="140"/>
      <c r="L64" s="140"/>
      <c r="M64" s="140"/>
      <c r="N64" s="145">
        <v>0</v>
      </c>
      <c r="O64" s="145">
        <v>0</v>
      </c>
      <c r="P64" s="145">
        <v>0</v>
      </c>
      <c r="Q64" s="145">
        <v>0</v>
      </c>
      <c r="R64" s="145">
        <v>0</v>
      </c>
      <c r="S64" s="140"/>
      <c r="T64" s="145">
        <v>0</v>
      </c>
      <c r="U64" s="145"/>
      <c r="V64" s="145">
        <v>0</v>
      </c>
      <c r="W64" s="145"/>
      <c r="X64" s="145"/>
      <c r="AA64" s="139" t="s">
        <v>136</v>
      </c>
      <c r="AB64" s="139" t="s">
        <v>137</v>
      </c>
      <c r="AC64" s="114" t="b">
        <f t="shared" si="0"/>
        <v>1</v>
      </c>
    </row>
    <row r="65" spans="2:29">
      <c r="B65" s="139" t="s">
        <v>138</v>
      </c>
      <c r="C65" s="139" t="s">
        <v>139</v>
      </c>
      <c r="D65" s="140">
        <f>SUMIF('A-1. 별도FS_19'!$B:$B,CFwp_Korea!B65,'A-1. 별도FS_19'!$D:$D)</f>
        <v>6503637671</v>
      </c>
      <c r="E65" s="140">
        <f>SUMIF('A-1. 별도FS_20'!$B:$B,CFwp_Korea!B65,'A-1. 별도FS_20'!$D:$D)</f>
        <v>15320979207</v>
      </c>
      <c r="F65" s="146">
        <f t="shared" si="6"/>
        <v>8817341536</v>
      </c>
      <c r="G65" s="146">
        <f t="shared" si="3"/>
        <v>0</v>
      </c>
      <c r="H65" s="143" t="s">
        <v>524</v>
      </c>
      <c r="I65" s="144">
        <v>139173</v>
      </c>
      <c r="J65" s="140">
        <v>7360639</v>
      </c>
      <c r="K65" s="140">
        <v>139173</v>
      </c>
      <c r="L65" s="140"/>
      <c r="M65" s="140"/>
      <c r="N65" s="145">
        <v>0</v>
      </c>
      <c r="O65" s="145">
        <v>77350732</v>
      </c>
      <c r="P65" s="145">
        <v>8369023683</v>
      </c>
      <c r="Q65" s="145">
        <v>0</v>
      </c>
      <c r="R65" s="145">
        <v>0</v>
      </c>
      <c r="S65" s="140"/>
      <c r="T65" s="145">
        <v>679092920</v>
      </c>
      <c r="U65" s="145"/>
      <c r="V65" s="145">
        <v>146202869</v>
      </c>
      <c r="W65" s="145"/>
      <c r="X65" s="145"/>
      <c r="AA65" s="139" t="s">
        <v>138</v>
      </c>
      <c r="AB65" s="139" t="s">
        <v>139</v>
      </c>
      <c r="AC65" s="114" t="b">
        <f t="shared" si="0"/>
        <v>1</v>
      </c>
    </row>
    <row r="66" spans="2:29">
      <c r="B66" s="139"/>
      <c r="C66" s="139"/>
      <c r="D66" s="140">
        <f>SUMIF('A-1. 별도FS_19'!$B:$B,CFwp_Korea!B66,'A-1. 별도FS_19'!$D:$D)</f>
        <v>0</v>
      </c>
      <c r="E66" s="140">
        <f>SUMIF('A-1. 별도FS_20'!$B:$B,CFwp_Korea!B66,'A-1. 별도FS_20'!$D:$D)</f>
        <v>0</v>
      </c>
      <c r="F66" s="146"/>
      <c r="G66" s="146">
        <f t="shared" si="3"/>
        <v>0</v>
      </c>
      <c r="H66" s="143" t="s">
        <v>436</v>
      </c>
      <c r="I66" s="144">
        <v>7360639</v>
      </c>
      <c r="J66" s="140"/>
      <c r="K66" s="140"/>
      <c r="L66" s="140"/>
      <c r="M66" s="140"/>
      <c r="N66" s="145">
        <v>0</v>
      </c>
      <c r="O66" s="145">
        <v>0</v>
      </c>
      <c r="P66" s="145">
        <v>0</v>
      </c>
      <c r="Q66" s="145">
        <v>0</v>
      </c>
      <c r="R66" s="145">
        <v>0</v>
      </c>
      <c r="S66" s="140"/>
      <c r="T66" s="145">
        <v>0</v>
      </c>
      <c r="U66" s="145"/>
      <c r="V66" s="145">
        <v>0</v>
      </c>
      <c r="W66" s="145"/>
      <c r="X66" s="145"/>
      <c r="AA66" s="139"/>
      <c r="AB66" s="139"/>
      <c r="AC66" s="114" t="b">
        <f t="shared" si="0"/>
        <v>1</v>
      </c>
    </row>
    <row r="67" spans="2:29">
      <c r="B67" s="139" t="s">
        <v>140</v>
      </c>
      <c r="C67" s="139" t="s">
        <v>141</v>
      </c>
      <c r="D67" s="140">
        <f>SUMIF('A-1. 별도FS_19'!$B:$B,CFwp_Korea!B67,'A-1. 별도FS_19'!$D:$D)</f>
        <v>-3140202769</v>
      </c>
      <c r="E67" s="140">
        <f>SUMIF('A-1. 별도FS_20'!$B:$B,CFwp_Korea!B67,'A-1. 별도FS_20'!$D:$D)</f>
        <v>-3981680038</v>
      </c>
      <c r="F67" s="146">
        <f t="shared" si="6"/>
        <v>-841477269</v>
      </c>
      <c r="G67" s="146">
        <f t="shared" si="3"/>
        <v>0</v>
      </c>
      <c r="H67" s="143" t="s">
        <v>356</v>
      </c>
      <c r="I67" s="144">
        <v>987680138</v>
      </c>
      <c r="J67" s="140">
        <v>987680138</v>
      </c>
      <c r="K67" s="140"/>
      <c r="L67" s="140"/>
      <c r="M67" s="140"/>
      <c r="N67" s="145">
        <v>0</v>
      </c>
      <c r="O67" s="145">
        <v>0</v>
      </c>
      <c r="P67" s="145">
        <v>0</v>
      </c>
      <c r="Q67" s="145">
        <v>0</v>
      </c>
      <c r="R67" s="145">
        <v>0</v>
      </c>
      <c r="S67" s="140"/>
      <c r="T67" s="145">
        <v>146202869</v>
      </c>
      <c r="U67" s="145"/>
      <c r="V67" s="145">
        <v>0</v>
      </c>
      <c r="W67" s="145"/>
      <c r="X67" s="145"/>
      <c r="AA67" s="139" t="s">
        <v>140</v>
      </c>
      <c r="AB67" s="139" t="s">
        <v>141</v>
      </c>
      <c r="AC67" s="114" t="b">
        <f t="shared" si="0"/>
        <v>1</v>
      </c>
    </row>
    <row r="68" spans="2:29">
      <c r="B68" s="139" t="s">
        <v>142</v>
      </c>
      <c r="C68" s="139" t="s">
        <v>143</v>
      </c>
      <c r="D68" s="140">
        <f>SUMIF('A-1. 별도FS_19'!$B:$B,CFwp_Korea!B68,'A-1. 별도FS_19'!$D:$D)</f>
        <v>0</v>
      </c>
      <c r="E68" s="140">
        <f>SUMIF('A-1. 별도FS_20'!$B:$B,CFwp_Korea!B68,'A-1. 별도FS_20'!$D:$D)</f>
        <v>0</v>
      </c>
      <c r="F68" s="146">
        <f t="shared" si="6"/>
        <v>0</v>
      </c>
      <c r="G68" s="146">
        <f t="shared" si="3"/>
        <v>0</v>
      </c>
      <c r="H68" s="143"/>
      <c r="I68" s="144"/>
      <c r="J68" s="140"/>
      <c r="K68" s="140"/>
      <c r="L68" s="140"/>
      <c r="M68" s="140"/>
      <c r="N68" s="145">
        <v>0</v>
      </c>
      <c r="O68" s="145">
        <v>0</v>
      </c>
      <c r="P68" s="145">
        <v>0</v>
      </c>
      <c r="Q68" s="145">
        <v>0</v>
      </c>
      <c r="R68" s="145">
        <v>0</v>
      </c>
      <c r="S68" s="140"/>
      <c r="T68" s="145">
        <v>0</v>
      </c>
      <c r="U68" s="145"/>
      <c r="V68" s="145">
        <v>0</v>
      </c>
      <c r="W68" s="145"/>
      <c r="X68" s="145"/>
      <c r="AA68" s="139" t="s">
        <v>142</v>
      </c>
      <c r="AB68" s="139" t="s">
        <v>143</v>
      </c>
      <c r="AC68" s="114" t="b">
        <f t="shared" si="0"/>
        <v>1</v>
      </c>
    </row>
    <row r="69" spans="2:29">
      <c r="B69" s="139" t="s">
        <v>144</v>
      </c>
      <c r="C69" s="139" t="s">
        <v>145</v>
      </c>
      <c r="D69" s="140">
        <f>SUMIF('A-1. 별도FS_19'!$B:$B,CFwp_Korea!B69,'A-1. 별도FS_19'!$D:$D)</f>
        <v>34420100</v>
      </c>
      <c r="E69" s="140">
        <f>SUMIF('A-1. 별도FS_20'!$B:$B,CFwp_Korea!B69,'A-1. 별도FS_20'!$D:$D)</f>
        <v>125824402</v>
      </c>
      <c r="F69" s="146">
        <f t="shared" si="6"/>
        <v>91404302</v>
      </c>
      <c r="G69" s="146">
        <f t="shared" si="3"/>
        <v>0</v>
      </c>
      <c r="H69" s="143" t="s">
        <v>524</v>
      </c>
      <c r="I69" s="144">
        <v>727273</v>
      </c>
      <c r="J69" s="140"/>
      <c r="K69" s="140">
        <v>727273</v>
      </c>
      <c r="L69" s="140"/>
      <c r="M69" s="140"/>
      <c r="N69" s="145">
        <v>0</v>
      </c>
      <c r="O69" s="145">
        <v>727273</v>
      </c>
      <c r="P69" s="145">
        <v>102869302</v>
      </c>
      <c r="Q69" s="145">
        <v>0</v>
      </c>
      <c r="R69" s="145">
        <v>0</v>
      </c>
      <c r="S69" s="140"/>
      <c r="T69" s="145">
        <v>0</v>
      </c>
      <c r="U69" s="145"/>
      <c r="V69" s="145">
        <v>11465000</v>
      </c>
      <c r="W69" s="145"/>
      <c r="X69" s="145"/>
      <c r="AA69" s="139" t="s">
        <v>144</v>
      </c>
      <c r="AB69" s="139" t="s">
        <v>145</v>
      </c>
      <c r="AC69" s="114" t="b">
        <f t="shared" si="0"/>
        <v>1</v>
      </c>
    </row>
    <row r="70" spans="2:29">
      <c r="B70" s="139" t="s">
        <v>146</v>
      </c>
      <c r="C70" s="139" t="s">
        <v>147</v>
      </c>
      <c r="D70" s="140">
        <f>SUMIF('A-1. 별도FS_19'!$B:$B,CFwp_Korea!B70,'A-1. 별도FS_19'!$D:$D)</f>
        <v>-28363302</v>
      </c>
      <c r="E70" s="140">
        <f>SUMIF('A-1. 별도FS_20'!$B:$B,CFwp_Korea!B70,'A-1. 별도FS_20'!$D:$D)</f>
        <v>-24557355</v>
      </c>
      <c r="F70" s="146">
        <f t="shared" si="6"/>
        <v>3805947</v>
      </c>
      <c r="G70" s="146">
        <f t="shared" si="3"/>
        <v>0</v>
      </c>
      <c r="H70" s="143" t="s">
        <v>356</v>
      </c>
      <c r="I70" s="144">
        <v>7659053</v>
      </c>
      <c r="J70" s="140">
        <v>7659053</v>
      </c>
      <c r="K70" s="140"/>
      <c r="L70" s="140"/>
      <c r="M70" s="140"/>
      <c r="N70" s="145">
        <v>0</v>
      </c>
      <c r="O70" s="145">
        <v>0</v>
      </c>
      <c r="P70" s="145">
        <v>0</v>
      </c>
      <c r="Q70" s="145">
        <v>0</v>
      </c>
      <c r="R70" s="145">
        <v>0</v>
      </c>
      <c r="S70" s="140"/>
      <c r="T70" s="145">
        <v>11465000</v>
      </c>
      <c r="U70" s="145"/>
      <c r="V70" s="145">
        <v>0</v>
      </c>
      <c r="W70" s="145"/>
      <c r="X70" s="145"/>
      <c r="AA70" s="139" t="s">
        <v>146</v>
      </c>
      <c r="AB70" s="139" t="s">
        <v>147</v>
      </c>
      <c r="AC70" s="114" t="b">
        <f t="shared" si="0"/>
        <v>1</v>
      </c>
    </row>
    <row r="71" spans="2:29">
      <c r="B71" s="139" t="s">
        <v>148</v>
      </c>
      <c r="C71" s="139" t="s">
        <v>149</v>
      </c>
      <c r="D71" s="140">
        <f>SUMIF('A-1. 별도FS_19'!$B:$B,CFwp_Korea!B71,'A-1. 별도FS_19'!$D:$D)</f>
        <v>201435000</v>
      </c>
      <c r="E71" s="140">
        <f>SUMIF('A-1. 별도FS_20'!$B:$B,CFwp_Korea!B71,'A-1. 별도FS_20'!$D:$D)</f>
        <v>211935000</v>
      </c>
      <c r="F71" s="146">
        <f t="shared" si="6"/>
        <v>10500000</v>
      </c>
      <c r="G71" s="146">
        <f t="shared" si="3"/>
        <v>0</v>
      </c>
      <c r="H71" s="143"/>
      <c r="I71" s="144"/>
      <c r="J71" s="140"/>
      <c r="K71" s="140"/>
      <c r="L71" s="140"/>
      <c r="M71" s="140"/>
      <c r="N71" s="145">
        <v>0</v>
      </c>
      <c r="O71" s="145">
        <v>0</v>
      </c>
      <c r="P71" s="145">
        <v>5250000</v>
      </c>
      <c r="Q71" s="145">
        <v>0</v>
      </c>
      <c r="R71" s="145">
        <v>0</v>
      </c>
      <c r="S71" s="140"/>
      <c r="T71" s="145">
        <v>5250000</v>
      </c>
      <c r="U71" s="145"/>
      <c r="V71" s="145">
        <v>0</v>
      </c>
      <c r="W71" s="145"/>
      <c r="X71" s="145"/>
      <c r="AA71" s="139" t="s">
        <v>148</v>
      </c>
      <c r="AB71" s="139" t="s">
        <v>149</v>
      </c>
      <c r="AC71" s="114" t="b">
        <f t="shared" si="0"/>
        <v>1</v>
      </c>
    </row>
    <row r="72" spans="2:29">
      <c r="B72" s="139" t="s">
        <v>150</v>
      </c>
      <c r="C72" s="139" t="s">
        <v>151</v>
      </c>
      <c r="D72" s="140">
        <f>SUMIF('A-1. 별도FS_19'!$B:$B,CFwp_Korea!B72,'A-1. 별도FS_19'!$D:$D)</f>
        <v>-151462155</v>
      </c>
      <c r="E72" s="140">
        <f>SUMIF('A-1. 별도FS_20'!$B:$B,CFwp_Korea!B72,'A-1. 별도FS_20'!$D:$D)</f>
        <v>-171495917</v>
      </c>
      <c r="F72" s="146">
        <f t="shared" si="6"/>
        <v>-20033762</v>
      </c>
      <c r="G72" s="146">
        <f t="shared" si="3"/>
        <v>0</v>
      </c>
      <c r="H72" s="143" t="s">
        <v>356</v>
      </c>
      <c r="I72" s="144">
        <v>20033762</v>
      </c>
      <c r="J72" s="140">
        <v>20033762</v>
      </c>
      <c r="K72" s="140"/>
      <c r="L72" s="140"/>
      <c r="M72" s="140"/>
      <c r="N72" s="145">
        <v>0</v>
      </c>
      <c r="O72" s="145">
        <v>0</v>
      </c>
      <c r="P72" s="145">
        <v>0</v>
      </c>
      <c r="Q72" s="145">
        <v>0</v>
      </c>
      <c r="R72" s="145">
        <v>0</v>
      </c>
      <c r="S72" s="140"/>
      <c r="T72" s="145">
        <v>0</v>
      </c>
      <c r="U72" s="145"/>
      <c r="V72" s="145">
        <v>0</v>
      </c>
      <c r="W72" s="145"/>
      <c r="X72" s="145"/>
      <c r="AA72" s="139" t="s">
        <v>150</v>
      </c>
      <c r="AB72" s="139" t="s">
        <v>151</v>
      </c>
      <c r="AC72" s="114" t="b">
        <f t="shared" si="0"/>
        <v>1</v>
      </c>
    </row>
    <row r="73" spans="2:29">
      <c r="B73" s="139" t="s">
        <v>152</v>
      </c>
      <c r="C73" s="139" t="s">
        <v>153</v>
      </c>
      <c r="D73" s="140">
        <f>SUMIF('A-1. 별도FS_19'!$B:$B,CFwp_Korea!B73,'A-1. 별도FS_19'!$D:$D)</f>
        <v>0</v>
      </c>
      <c r="E73" s="140">
        <f>SUMIF('A-1. 별도FS_20'!$B:$B,CFwp_Korea!B73,'A-1. 별도FS_20'!$D:$D)</f>
        <v>0</v>
      </c>
      <c r="F73" s="146">
        <f t="shared" si="6"/>
        <v>0</v>
      </c>
      <c r="G73" s="146">
        <f t="shared" si="3"/>
        <v>0</v>
      </c>
      <c r="H73" s="143"/>
      <c r="I73" s="144"/>
      <c r="J73" s="140"/>
      <c r="K73" s="140"/>
      <c r="L73" s="140"/>
      <c r="M73" s="140"/>
      <c r="N73" s="145">
        <v>0</v>
      </c>
      <c r="O73" s="145">
        <v>0</v>
      </c>
      <c r="P73" s="145">
        <v>0</v>
      </c>
      <c r="Q73" s="145">
        <v>0</v>
      </c>
      <c r="R73" s="145">
        <v>0</v>
      </c>
      <c r="S73" s="140"/>
      <c r="T73" s="145">
        <v>0</v>
      </c>
      <c r="U73" s="145"/>
      <c r="V73" s="145">
        <v>0</v>
      </c>
      <c r="W73" s="145"/>
      <c r="X73" s="145"/>
      <c r="AA73" s="139" t="s">
        <v>152</v>
      </c>
      <c r="AB73" s="139" t="s">
        <v>153</v>
      </c>
      <c r="AC73" s="114" t="b">
        <f t="shared" si="0"/>
        <v>1</v>
      </c>
    </row>
    <row r="74" spans="2:29">
      <c r="B74" s="139" t="s">
        <v>154</v>
      </c>
      <c r="C74" s="139" t="s">
        <v>155</v>
      </c>
      <c r="D74" s="140">
        <f>SUMIF('A-1. 별도FS_19'!$B:$B,CFwp_Korea!B74,'A-1. 별도FS_19'!$D:$D)</f>
        <v>1257299040</v>
      </c>
      <c r="E74" s="140">
        <f>SUMIF('A-1. 별도FS_20'!$B:$B,CFwp_Korea!B74,'A-1. 별도FS_20'!$D:$D)</f>
        <v>1766093306</v>
      </c>
      <c r="F74" s="146">
        <f t="shared" si="6"/>
        <v>508794266</v>
      </c>
      <c r="G74" s="146">
        <f t="shared" si="3"/>
        <v>0</v>
      </c>
      <c r="H74" s="143" t="s">
        <v>436</v>
      </c>
      <c r="I74" s="144">
        <v>4950000</v>
      </c>
      <c r="J74" s="140">
        <v>4950000</v>
      </c>
      <c r="K74" s="140"/>
      <c r="L74" s="140"/>
      <c r="M74" s="140"/>
      <c r="N74" s="145"/>
      <c r="O74" s="145">
        <v>0</v>
      </c>
      <c r="P74" s="145">
        <v>541794266</v>
      </c>
      <c r="Q74" s="145">
        <v>0</v>
      </c>
      <c r="R74" s="145">
        <v>0</v>
      </c>
      <c r="S74" s="140"/>
      <c r="T74" s="145">
        <v>0</v>
      </c>
      <c r="U74" s="145"/>
      <c r="V74" s="145">
        <v>28050000</v>
      </c>
      <c r="W74" s="145"/>
      <c r="X74" s="145"/>
      <c r="AA74" s="139" t="s">
        <v>154</v>
      </c>
      <c r="AB74" s="139" t="s">
        <v>155</v>
      </c>
      <c r="AC74" s="114" t="b">
        <f t="shared" si="0"/>
        <v>1</v>
      </c>
    </row>
    <row r="75" spans="2:29">
      <c r="B75" s="139" t="s">
        <v>156</v>
      </c>
      <c r="C75" s="139" t="s">
        <v>157</v>
      </c>
      <c r="D75" s="140">
        <f>SUMIF('A-1. 별도FS_19'!$B:$B,CFwp_Korea!B75,'A-1. 별도FS_19'!$D:$D)</f>
        <v>-906493640</v>
      </c>
      <c r="E75" s="140">
        <f>SUMIF('A-1. 별도FS_20'!$B:$B,CFwp_Korea!B75,'A-1. 별도FS_20'!$D:$D)</f>
        <v>-1064337579</v>
      </c>
      <c r="F75" s="146">
        <f t="shared" si="6"/>
        <v>-157843939</v>
      </c>
      <c r="G75" s="146">
        <f t="shared" si="3"/>
        <v>0</v>
      </c>
      <c r="H75" s="143" t="s">
        <v>356</v>
      </c>
      <c r="I75" s="144">
        <v>185893939</v>
      </c>
      <c r="J75" s="140">
        <v>185893939</v>
      </c>
      <c r="K75" s="140"/>
      <c r="L75" s="140"/>
      <c r="M75" s="140"/>
      <c r="N75" s="145"/>
      <c r="O75" s="145">
        <v>0</v>
      </c>
      <c r="P75" s="145">
        <v>0</v>
      </c>
      <c r="Q75" s="145">
        <v>0</v>
      </c>
      <c r="R75" s="145">
        <v>0</v>
      </c>
      <c r="S75" s="140"/>
      <c r="T75" s="145">
        <v>28050000</v>
      </c>
      <c r="U75" s="145"/>
      <c r="V75" s="145">
        <v>0</v>
      </c>
      <c r="W75" s="145"/>
      <c r="X75" s="145"/>
      <c r="AA75" s="139" t="s">
        <v>156</v>
      </c>
      <c r="AB75" s="139" t="s">
        <v>157</v>
      </c>
      <c r="AC75" s="114" t="b">
        <f t="shared" ref="AC75:AC138" si="7">AA75=B75</f>
        <v>1</v>
      </c>
    </row>
    <row r="76" spans="2:29">
      <c r="B76" s="139" t="s">
        <v>158</v>
      </c>
      <c r="C76" s="139" t="s">
        <v>159</v>
      </c>
      <c r="D76" s="140">
        <f>SUMIF('A-1. 별도FS_19'!$B:$B,CFwp_Korea!B76,'A-1. 별도FS_19'!$D:$D)</f>
        <v>346550000</v>
      </c>
      <c r="E76" s="140">
        <f>SUMIF('A-1. 별도FS_20'!$B:$B,CFwp_Korea!B76,'A-1. 별도FS_20'!$D:$D)</f>
        <v>4219307334</v>
      </c>
      <c r="F76" s="146">
        <f t="shared" si="6"/>
        <v>3872757334</v>
      </c>
      <c r="G76" s="146">
        <f t="shared" si="3"/>
        <v>0</v>
      </c>
      <c r="H76" s="143"/>
      <c r="I76" s="144"/>
      <c r="J76" s="140"/>
      <c r="K76" s="140"/>
      <c r="L76" s="140"/>
      <c r="M76" s="140"/>
      <c r="N76" s="145"/>
      <c r="O76" s="145">
        <v>0</v>
      </c>
      <c r="P76" s="145">
        <v>3604459078</v>
      </c>
      <c r="Q76" s="145">
        <v>0</v>
      </c>
      <c r="R76" s="145">
        <v>0</v>
      </c>
      <c r="S76" s="140"/>
      <c r="T76" s="145">
        <v>614848256</v>
      </c>
      <c r="U76" s="145"/>
      <c r="V76" s="145">
        <v>346550000</v>
      </c>
      <c r="W76" s="145"/>
      <c r="X76" s="145"/>
      <c r="AA76" s="139" t="s">
        <v>158</v>
      </c>
      <c r="AB76" s="139" t="s">
        <v>159</v>
      </c>
      <c r="AC76" s="114" t="b">
        <f t="shared" si="7"/>
        <v>1</v>
      </c>
    </row>
    <row r="77" spans="2:29">
      <c r="B77" s="139" t="s">
        <v>160</v>
      </c>
      <c r="C77" s="139" t="s">
        <v>161</v>
      </c>
      <c r="D77" s="140">
        <f>SUMIF('A-1. 별도FS_19'!$B:$B,CFwp_Korea!B77,'A-1. 별도FS_19'!$D:$D)</f>
        <v>1687253723</v>
      </c>
      <c r="E77" s="140">
        <f>SUMIF('A-1. 별도FS_20'!$B:$B,CFwp_Korea!B77,'A-1. 별도FS_20'!$D:$D)</f>
        <v>2038676723</v>
      </c>
      <c r="F77" s="146">
        <f t="shared" si="6"/>
        <v>351423000</v>
      </c>
      <c r="G77" s="146">
        <f t="shared" si="3"/>
        <v>0</v>
      </c>
      <c r="H77" s="143"/>
      <c r="I77" s="144"/>
      <c r="J77" s="140"/>
      <c r="K77" s="140"/>
      <c r="L77" s="140"/>
      <c r="M77" s="140"/>
      <c r="N77" s="145"/>
      <c r="O77" s="145">
        <v>0</v>
      </c>
      <c r="P77" s="145">
        <v>351423000</v>
      </c>
      <c r="Q77" s="145">
        <v>0</v>
      </c>
      <c r="R77" s="145">
        <v>0</v>
      </c>
      <c r="S77" s="140"/>
      <c r="T77" s="145">
        <v>0</v>
      </c>
      <c r="U77" s="145"/>
      <c r="V77" s="145">
        <v>0</v>
      </c>
      <c r="W77" s="145"/>
      <c r="X77" s="145"/>
      <c r="AA77" s="139" t="s">
        <v>160</v>
      </c>
      <c r="AB77" s="139" t="s">
        <v>161</v>
      </c>
      <c r="AC77" s="114" t="b">
        <f t="shared" si="7"/>
        <v>1</v>
      </c>
    </row>
    <row r="78" spans="2:29">
      <c r="B78" s="139" t="s">
        <v>162</v>
      </c>
      <c r="C78" s="139" t="s">
        <v>163</v>
      </c>
      <c r="D78" s="140">
        <f>SUMIF('A-1. 별도FS_19'!$B:$B,CFwp_Korea!B78,'A-1. 별도FS_19'!$D:$D)</f>
        <v>-1187465138</v>
      </c>
      <c r="E78" s="140">
        <f>SUMIF('A-1. 별도FS_20'!$B:$B,CFwp_Korea!B78,'A-1. 별도FS_20'!$D:$D)</f>
        <v>-1418011609</v>
      </c>
      <c r="F78" s="146">
        <f t="shared" si="6"/>
        <v>-230546471</v>
      </c>
      <c r="G78" s="146">
        <f t="shared" si="3"/>
        <v>0</v>
      </c>
      <c r="H78" s="143" t="s">
        <v>356</v>
      </c>
      <c r="I78" s="144">
        <v>230546471</v>
      </c>
      <c r="J78" s="140">
        <v>230546471</v>
      </c>
      <c r="K78" s="140"/>
      <c r="L78" s="140"/>
      <c r="M78" s="140"/>
      <c r="N78" s="145"/>
      <c r="O78" s="145">
        <v>0</v>
      </c>
      <c r="P78" s="145">
        <v>0</v>
      </c>
      <c r="Q78" s="145">
        <v>0</v>
      </c>
      <c r="R78" s="145">
        <v>0</v>
      </c>
      <c r="S78" s="140"/>
      <c r="T78" s="145">
        <v>0</v>
      </c>
      <c r="U78" s="145"/>
      <c r="V78" s="145">
        <v>0</v>
      </c>
      <c r="W78" s="145"/>
      <c r="X78" s="145"/>
      <c r="AA78" s="139" t="s">
        <v>162</v>
      </c>
      <c r="AB78" s="139" t="s">
        <v>163</v>
      </c>
      <c r="AC78" s="114" t="b">
        <f t="shared" si="7"/>
        <v>1</v>
      </c>
    </row>
    <row r="79" spans="2:29">
      <c r="B79" s="139" t="s">
        <v>164</v>
      </c>
      <c r="C79" s="139" t="s">
        <v>165</v>
      </c>
      <c r="D79" s="140">
        <f>SUMIF('A-1. 별도FS_19'!$B:$B,CFwp_Korea!B79,'A-1. 별도FS_19'!$D:$D)</f>
        <v>132069996</v>
      </c>
      <c r="E79" s="140">
        <f>SUMIF('A-1. 별도FS_20'!$B:$B,CFwp_Korea!B79,'A-1. 별도FS_20'!$D:$D)</f>
        <v>458164559</v>
      </c>
      <c r="F79" s="146">
        <f t="shared" si="6"/>
        <v>326094563</v>
      </c>
      <c r="G79" s="146">
        <f t="shared" si="3"/>
        <v>0</v>
      </c>
      <c r="H79" s="143" t="s">
        <v>356</v>
      </c>
      <c r="I79" s="144"/>
      <c r="J79" s="140"/>
      <c r="K79" s="140"/>
      <c r="L79" s="140"/>
      <c r="M79" s="140"/>
      <c r="N79" s="145"/>
      <c r="O79" s="145">
        <v>0</v>
      </c>
      <c r="P79" s="145">
        <v>0</v>
      </c>
      <c r="Q79" s="145">
        <v>0</v>
      </c>
      <c r="R79" s="145">
        <v>0</v>
      </c>
      <c r="S79" s="140"/>
      <c r="T79" s="145">
        <v>326094563</v>
      </c>
      <c r="U79" s="145"/>
      <c r="V79" s="145">
        <v>0</v>
      </c>
      <c r="W79" s="145"/>
      <c r="X79" s="145"/>
      <c r="AA79" s="139" t="s">
        <v>164</v>
      </c>
      <c r="AB79" s="139" t="s">
        <v>165</v>
      </c>
      <c r="AC79" s="114" t="b">
        <f t="shared" si="7"/>
        <v>1</v>
      </c>
    </row>
    <row r="80" spans="2:29">
      <c r="B80" s="139" t="s">
        <v>166</v>
      </c>
      <c r="C80" s="139" t="s">
        <v>167</v>
      </c>
      <c r="D80" s="140">
        <f>SUMIF('A-1. 별도FS_19'!$B:$B,CFwp_Korea!B80,'A-1. 별도FS_19'!$D:$D)</f>
        <v>-41857019</v>
      </c>
      <c r="E80" s="140">
        <f>SUMIF('A-1. 별도FS_20'!$B:$B,CFwp_Korea!B80,'A-1. 별도FS_20'!$D:$D)</f>
        <v>-118025644</v>
      </c>
      <c r="F80" s="146">
        <f t="shared" si="6"/>
        <v>-76168625</v>
      </c>
      <c r="G80" s="146">
        <f t="shared" si="3"/>
        <v>0</v>
      </c>
      <c r="H80" s="143" t="s">
        <v>356</v>
      </c>
      <c r="I80" s="144">
        <v>76168625</v>
      </c>
      <c r="J80" s="140">
        <v>76168625</v>
      </c>
      <c r="K80" s="140"/>
      <c r="L80" s="140"/>
      <c r="M80" s="140"/>
      <c r="N80" s="145"/>
      <c r="O80" s="145">
        <v>0</v>
      </c>
      <c r="P80" s="145">
        <v>0</v>
      </c>
      <c r="Q80" s="145">
        <v>0</v>
      </c>
      <c r="R80" s="145">
        <v>0</v>
      </c>
      <c r="S80" s="140"/>
      <c r="T80" s="145">
        <v>0</v>
      </c>
      <c r="U80" s="145"/>
      <c r="V80" s="145">
        <v>0</v>
      </c>
      <c r="W80" s="145"/>
      <c r="X80" s="145"/>
      <c r="AA80" s="139" t="s">
        <v>166</v>
      </c>
      <c r="AB80" s="139" t="s">
        <v>167</v>
      </c>
      <c r="AC80" s="114" t="b">
        <f t="shared" si="7"/>
        <v>1</v>
      </c>
    </row>
    <row r="81" spans="2:29">
      <c r="B81" s="139"/>
      <c r="C81" s="139"/>
      <c r="D81" s="140"/>
      <c r="E81" s="140"/>
      <c r="F81" s="146"/>
      <c r="G81" s="146">
        <f t="shared" si="3"/>
        <v>0</v>
      </c>
      <c r="H81" s="143"/>
      <c r="I81" s="144"/>
      <c r="J81" s="140"/>
      <c r="K81" s="140"/>
      <c r="L81" s="140"/>
      <c r="M81" s="140"/>
      <c r="N81" s="145"/>
      <c r="O81" s="145"/>
      <c r="P81" s="145"/>
      <c r="Q81" s="145"/>
      <c r="R81" s="145"/>
      <c r="S81" s="140"/>
      <c r="T81" s="145"/>
      <c r="U81" s="145"/>
      <c r="V81" s="145"/>
      <c r="W81" s="145"/>
      <c r="X81" s="145"/>
      <c r="AA81" s="137"/>
      <c r="AB81" s="137"/>
      <c r="AC81" s="114" t="b">
        <f t="shared" si="7"/>
        <v>1</v>
      </c>
    </row>
    <row r="82" spans="2:29">
      <c r="B82" s="137"/>
      <c r="C82" s="137" t="s">
        <v>172</v>
      </c>
      <c r="D82" s="138">
        <f>SUM(D83:D89)</f>
        <v>304889405</v>
      </c>
      <c r="E82" s="138">
        <f>SUM(E83:E89)</f>
        <v>250089092</v>
      </c>
      <c r="F82" s="154"/>
      <c r="G82" s="154"/>
      <c r="H82" s="138"/>
      <c r="I82" s="149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AA82" s="139"/>
      <c r="AB82" s="139" t="s">
        <v>172</v>
      </c>
      <c r="AC82" s="114" t="b">
        <f t="shared" si="7"/>
        <v>1</v>
      </c>
    </row>
    <row r="83" spans="2:29">
      <c r="B83" s="139" t="s">
        <v>169</v>
      </c>
      <c r="C83" s="139" t="s">
        <v>170</v>
      </c>
      <c r="D83" s="140">
        <f>SUMIF('A-1. 별도FS_19'!$B:$B,CFwp_Korea!B83,'A-1. 별도FS_19'!$D:$D)</f>
        <v>0</v>
      </c>
      <c r="E83" s="140">
        <f>SUMIF('A-1. 별도FS_20'!$B:$B,CFwp_Korea!B83,'A-1. 별도FS_20'!$D:$D)</f>
        <v>0</v>
      </c>
      <c r="F83" s="146">
        <f>E83-D83</f>
        <v>0</v>
      </c>
      <c r="G83" s="146">
        <f t="shared" si="3"/>
        <v>0</v>
      </c>
      <c r="H83" s="143"/>
      <c r="I83" s="144"/>
      <c r="J83" s="140"/>
      <c r="K83" s="140"/>
      <c r="L83" s="140"/>
      <c r="M83" s="140"/>
      <c r="N83" s="145"/>
      <c r="O83" s="145">
        <v>0</v>
      </c>
      <c r="P83" s="145">
        <v>0</v>
      </c>
      <c r="Q83" s="145">
        <v>0</v>
      </c>
      <c r="R83" s="145">
        <v>0</v>
      </c>
      <c r="S83" s="140"/>
      <c r="T83" s="145">
        <v>0</v>
      </c>
      <c r="U83" s="145"/>
      <c r="V83" s="145">
        <v>0</v>
      </c>
      <c r="W83" s="145"/>
      <c r="X83" s="145"/>
      <c r="AA83" s="139" t="s">
        <v>169</v>
      </c>
      <c r="AB83" s="139" t="s">
        <v>170</v>
      </c>
      <c r="AC83" s="114" t="b">
        <f t="shared" si="7"/>
        <v>1</v>
      </c>
    </row>
    <row r="84" spans="2:29">
      <c r="B84" s="139" t="s">
        <v>173</v>
      </c>
      <c r="C84" s="139" t="s">
        <v>174</v>
      </c>
      <c r="D84" s="140">
        <f>SUMIF('A-1. 별도FS_19'!$B:$B,CFwp_Korea!B84,'A-1. 별도FS_19'!$D:$D)</f>
        <v>120423562</v>
      </c>
      <c r="E84" s="140">
        <f>SUMIF('A-1. 별도FS_20'!$B:$B,CFwp_Korea!B84,'A-1. 별도FS_20'!$D:$D)</f>
        <v>144014402</v>
      </c>
      <c r="F84" s="146">
        <f t="shared" ref="F84:F89" si="8">E84-D84</f>
        <v>23590840</v>
      </c>
      <c r="G84" s="146">
        <f t="shared" si="3"/>
        <v>0</v>
      </c>
      <c r="H84" s="143"/>
      <c r="I84" s="144"/>
      <c r="J84" s="140"/>
      <c r="K84" s="140"/>
      <c r="L84" s="140"/>
      <c r="M84" s="140"/>
      <c r="N84" s="145"/>
      <c r="O84" s="145">
        <v>0</v>
      </c>
      <c r="P84" s="145">
        <v>23590840</v>
      </c>
      <c r="Q84" s="145">
        <v>0</v>
      </c>
      <c r="R84" s="145">
        <v>0</v>
      </c>
      <c r="S84" s="140"/>
      <c r="T84" s="145">
        <v>0</v>
      </c>
      <c r="U84" s="145"/>
      <c r="V84" s="145">
        <v>0</v>
      </c>
      <c r="W84" s="145"/>
      <c r="X84" s="145"/>
      <c r="AA84" s="139" t="s">
        <v>173</v>
      </c>
      <c r="AB84" s="139" t="s">
        <v>174</v>
      </c>
      <c r="AC84" s="114" t="b">
        <f t="shared" si="7"/>
        <v>1</v>
      </c>
    </row>
    <row r="85" spans="2:29">
      <c r="B85" s="139" t="s">
        <v>847</v>
      </c>
      <c r="C85" s="139" t="s">
        <v>848</v>
      </c>
      <c r="D85" s="140">
        <f>SUMIF('A-1. 별도FS_19'!$B:$B,CFwp_Korea!B85,'A-1. 별도FS_19'!$D:$D)</f>
        <v>-104068596</v>
      </c>
      <c r="E85" s="140">
        <f>SUMIF('A-1. 별도FS_20'!$B:$B,CFwp_Korea!B85,'A-1. 별도FS_20'!$D:$D)</f>
        <v>-111469829</v>
      </c>
      <c r="F85" s="146">
        <f t="shared" si="8"/>
        <v>-7401233</v>
      </c>
      <c r="G85" s="146">
        <f t="shared" si="3"/>
        <v>0</v>
      </c>
      <c r="H85" s="143" t="s">
        <v>711</v>
      </c>
      <c r="I85" s="144">
        <v>7401233</v>
      </c>
      <c r="J85" s="140">
        <v>7401233</v>
      </c>
      <c r="K85" s="140"/>
      <c r="L85" s="140"/>
      <c r="M85" s="140"/>
      <c r="N85" s="145"/>
      <c r="O85" s="145"/>
      <c r="P85" s="145"/>
      <c r="Q85" s="145"/>
      <c r="R85" s="145"/>
      <c r="S85" s="140"/>
      <c r="T85" s="145"/>
      <c r="U85" s="145"/>
      <c r="V85" s="145"/>
      <c r="W85" s="145"/>
      <c r="X85" s="145"/>
      <c r="AA85" s="139" t="s">
        <v>847</v>
      </c>
      <c r="AB85" s="139" t="s">
        <v>848</v>
      </c>
      <c r="AC85" s="114" t="b">
        <f t="shared" si="7"/>
        <v>1</v>
      </c>
    </row>
    <row r="86" spans="2:29">
      <c r="B86" s="139" t="s">
        <v>175</v>
      </c>
      <c r="C86" s="139" t="s">
        <v>176</v>
      </c>
      <c r="D86" s="140">
        <f>SUMIF('A-1. 별도FS_19'!$B:$B,CFwp_Korea!B86,'A-1. 별도FS_19'!$D:$D)</f>
        <v>455258699</v>
      </c>
      <c r="E86" s="140">
        <f>SUMIF('A-1. 별도FS_20'!$B:$B,CFwp_Korea!B86,'A-1. 별도FS_20'!$D:$D)</f>
        <v>455258699</v>
      </c>
      <c r="F86" s="146">
        <f t="shared" si="8"/>
        <v>0</v>
      </c>
      <c r="G86" s="146">
        <f t="shared" si="3"/>
        <v>0</v>
      </c>
      <c r="H86" s="143"/>
      <c r="I86" s="144"/>
      <c r="J86" s="140"/>
      <c r="K86" s="140"/>
      <c r="L86" s="140"/>
      <c r="M86" s="140"/>
      <c r="N86" s="145"/>
      <c r="O86" s="145">
        <v>0</v>
      </c>
      <c r="P86" s="145">
        <v>0</v>
      </c>
      <c r="Q86" s="145">
        <v>0</v>
      </c>
      <c r="R86" s="145">
        <v>0</v>
      </c>
      <c r="S86" s="140"/>
      <c r="T86" s="145">
        <v>0</v>
      </c>
      <c r="U86" s="145"/>
      <c r="V86" s="145">
        <v>0</v>
      </c>
      <c r="W86" s="145"/>
      <c r="X86" s="145"/>
      <c r="AA86" s="139" t="s">
        <v>175</v>
      </c>
      <c r="AB86" s="139" t="s">
        <v>176</v>
      </c>
      <c r="AC86" s="114" t="b">
        <f t="shared" si="7"/>
        <v>1</v>
      </c>
    </row>
    <row r="87" spans="2:29">
      <c r="B87" s="139" t="s">
        <v>849</v>
      </c>
      <c r="C87" s="139" t="s">
        <v>850</v>
      </c>
      <c r="D87" s="140">
        <f>SUMIF('A-1. 별도FS_19'!$B:$B,CFwp_Korea!B87,'A-1. 별도FS_19'!$D:$D)</f>
        <v>-339194260</v>
      </c>
      <c r="E87" s="140">
        <f>SUMIF('A-1. 별도FS_20'!$B:$B,CFwp_Korea!B87,'A-1. 별도FS_20'!$D:$D)</f>
        <v>-410184180</v>
      </c>
      <c r="F87" s="146">
        <f t="shared" si="8"/>
        <v>-70989920</v>
      </c>
      <c r="G87" s="146">
        <f t="shared" si="3"/>
        <v>0</v>
      </c>
      <c r="H87" s="143" t="s">
        <v>711</v>
      </c>
      <c r="I87" s="144">
        <v>70989920</v>
      </c>
      <c r="J87" s="140">
        <v>70989920</v>
      </c>
      <c r="K87" s="140"/>
      <c r="L87" s="140"/>
      <c r="M87" s="140"/>
      <c r="N87" s="145"/>
      <c r="O87" s="145"/>
      <c r="P87" s="145"/>
      <c r="Q87" s="145"/>
      <c r="R87" s="145"/>
      <c r="S87" s="140"/>
      <c r="T87" s="145"/>
      <c r="U87" s="145"/>
      <c r="V87" s="145"/>
      <c r="W87" s="145"/>
      <c r="X87" s="145"/>
      <c r="AA87" s="139" t="s">
        <v>849</v>
      </c>
      <c r="AB87" s="139" t="s">
        <v>850</v>
      </c>
      <c r="AC87" s="114" t="b">
        <f t="shared" si="7"/>
        <v>1</v>
      </c>
    </row>
    <row r="88" spans="2:29">
      <c r="B88" s="139" t="s">
        <v>177</v>
      </c>
      <c r="C88" s="139" t="s">
        <v>583</v>
      </c>
      <c r="D88" s="140">
        <f>SUMIF('A-1. 별도FS_19'!$B:$B,CFwp_Korea!B88,'A-1. 별도FS_19'!$D:$D)</f>
        <v>172470000</v>
      </c>
      <c r="E88" s="140">
        <f>SUMIF('A-1. 별도FS_20'!$B:$B,CFwp_Korea!B88,'A-1. 별도FS_20'!$D:$D)</f>
        <v>172470000</v>
      </c>
      <c r="F88" s="146">
        <f t="shared" si="8"/>
        <v>0</v>
      </c>
      <c r="G88" s="146">
        <f t="shared" si="3"/>
        <v>0</v>
      </c>
      <c r="H88" s="143"/>
      <c r="I88" s="144"/>
      <c r="J88" s="140"/>
      <c r="K88" s="140"/>
      <c r="L88" s="140"/>
      <c r="M88" s="140"/>
      <c r="N88" s="145"/>
      <c r="O88" s="145">
        <v>0</v>
      </c>
      <c r="P88" s="145">
        <v>0</v>
      </c>
      <c r="Q88" s="145">
        <v>0</v>
      </c>
      <c r="R88" s="145">
        <v>0</v>
      </c>
      <c r="S88" s="140"/>
      <c r="T88" s="145">
        <v>0</v>
      </c>
      <c r="U88" s="145"/>
      <c r="V88" s="145">
        <v>0</v>
      </c>
      <c r="W88" s="145"/>
      <c r="X88" s="145"/>
      <c r="AA88" s="139" t="s">
        <v>177</v>
      </c>
      <c r="AB88" s="139" t="s">
        <v>583</v>
      </c>
      <c r="AC88" s="114" t="b">
        <f t="shared" si="7"/>
        <v>1</v>
      </c>
    </row>
    <row r="89" spans="2:29">
      <c r="B89" s="139" t="s">
        <v>179</v>
      </c>
      <c r="C89" s="139" t="s">
        <v>180</v>
      </c>
      <c r="D89" s="140">
        <f>SUMIF('A-1. 별도FS_19'!$B:$B,CFwp_Korea!B89,'A-1. 별도FS_19'!$D:$D)</f>
        <v>0</v>
      </c>
      <c r="E89" s="140">
        <f>SUMIF('A-1. 별도FS_20'!$B:$B,CFwp_Korea!B89,'A-1. 별도FS_20'!$D:$D)</f>
        <v>0</v>
      </c>
      <c r="F89" s="146">
        <f t="shared" si="8"/>
        <v>0</v>
      </c>
      <c r="G89" s="146">
        <f t="shared" si="3"/>
        <v>0</v>
      </c>
      <c r="H89" s="143"/>
      <c r="I89" s="144"/>
      <c r="J89" s="140"/>
      <c r="K89" s="140"/>
      <c r="L89" s="140"/>
      <c r="M89" s="140"/>
      <c r="N89" s="145"/>
      <c r="O89" s="145">
        <v>0</v>
      </c>
      <c r="P89" s="145">
        <v>0</v>
      </c>
      <c r="Q89" s="145">
        <v>0</v>
      </c>
      <c r="R89" s="145">
        <v>0</v>
      </c>
      <c r="S89" s="140"/>
      <c r="T89" s="145">
        <v>0</v>
      </c>
      <c r="U89" s="145"/>
      <c r="V89" s="145">
        <v>0</v>
      </c>
      <c r="W89" s="145"/>
      <c r="X89" s="145"/>
      <c r="AA89" s="137" t="s">
        <v>179</v>
      </c>
      <c r="AB89" s="137" t="s">
        <v>180</v>
      </c>
      <c r="AC89" s="114" t="b">
        <f t="shared" si="7"/>
        <v>1</v>
      </c>
    </row>
    <row r="90" spans="2:29">
      <c r="B90" s="137"/>
      <c r="C90" s="137" t="s">
        <v>584</v>
      </c>
      <c r="D90" s="138">
        <f>SUM(D91:D99)</f>
        <v>42450000</v>
      </c>
      <c r="E90" s="138">
        <f>SUM(E91:E99)</f>
        <v>401494000</v>
      </c>
      <c r="F90" s="154"/>
      <c r="G90" s="154"/>
      <c r="H90" s="138"/>
      <c r="I90" s="149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AA90" s="139"/>
      <c r="AB90" s="139" t="s">
        <v>584</v>
      </c>
      <c r="AC90" s="114" t="b">
        <f t="shared" si="7"/>
        <v>1</v>
      </c>
    </row>
    <row r="91" spans="2:29">
      <c r="B91" s="139" t="s">
        <v>183</v>
      </c>
      <c r="C91" s="139" t="s">
        <v>65</v>
      </c>
      <c r="D91" s="140">
        <f>SUMIF('A-1. 별도FS_19'!$B:$B,CFwp_Korea!B91,'A-1. 별도FS_19'!$D:$D)</f>
        <v>0</v>
      </c>
      <c r="E91" s="140">
        <f>SUMIF('A-1. 별도FS_20'!$B:$B,CFwp_Korea!B91,'A-1. 별도FS_20'!$D:$D)</f>
        <v>0</v>
      </c>
      <c r="F91" s="146">
        <f t="shared" ref="F91:F99" si="9">E91-D91</f>
        <v>0</v>
      </c>
      <c r="G91" s="146">
        <f t="shared" si="3"/>
        <v>0</v>
      </c>
      <c r="H91" s="143" t="s">
        <v>461</v>
      </c>
      <c r="I91" s="144"/>
      <c r="J91" s="140">
        <v>0</v>
      </c>
      <c r="K91" s="140"/>
      <c r="L91" s="140"/>
      <c r="M91" s="140"/>
      <c r="N91" s="145">
        <v>0</v>
      </c>
      <c r="O91" s="145">
        <v>0</v>
      </c>
      <c r="P91" s="145">
        <v>0</v>
      </c>
      <c r="Q91" s="145">
        <v>0</v>
      </c>
      <c r="R91" s="145">
        <v>0</v>
      </c>
      <c r="S91" s="140"/>
      <c r="T91" s="145">
        <v>0</v>
      </c>
      <c r="U91" s="145"/>
      <c r="V91" s="145">
        <v>0</v>
      </c>
      <c r="W91" s="145"/>
      <c r="X91" s="145"/>
      <c r="AA91" s="139" t="s">
        <v>183</v>
      </c>
      <c r="AB91" s="139" t="s">
        <v>65</v>
      </c>
      <c r="AC91" s="114" t="b">
        <f t="shared" si="7"/>
        <v>1</v>
      </c>
    </row>
    <row r="92" spans="2:29">
      <c r="B92" s="139" t="s">
        <v>116</v>
      </c>
      <c r="C92" s="139" t="s">
        <v>117</v>
      </c>
      <c r="D92" s="140">
        <f>SUMIF('A-1. 별도FS_19'!$B:$B,CFwp_Korea!B92,'A-1. 별도FS_19'!$D:$D)</f>
        <v>0</v>
      </c>
      <c r="E92" s="140">
        <f>SUMIF('A-1. 별도FS_20'!$B:$B,CFwp_Korea!B92,'A-1. 별도FS_20'!$D:$D)</f>
        <v>0</v>
      </c>
      <c r="F92" s="146">
        <f t="shared" si="9"/>
        <v>0</v>
      </c>
      <c r="G92" s="146">
        <f t="shared" si="3"/>
        <v>0</v>
      </c>
      <c r="H92" s="143"/>
      <c r="I92" s="144"/>
      <c r="J92" s="140"/>
      <c r="K92" s="140"/>
      <c r="L92" s="140"/>
      <c r="M92" s="140"/>
      <c r="N92" s="145">
        <v>0</v>
      </c>
      <c r="O92" s="145">
        <v>0</v>
      </c>
      <c r="P92" s="145">
        <v>0</v>
      </c>
      <c r="Q92" s="145">
        <v>0</v>
      </c>
      <c r="R92" s="145">
        <v>0</v>
      </c>
      <c r="S92" s="140"/>
      <c r="T92" s="145">
        <v>0</v>
      </c>
      <c r="U92" s="145"/>
      <c r="V92" s="145">
        <v>0</v>
      </c>
      <c r="W92" s="145"/>
      <c r="X92" s="145"/>
      <c r="AA92" s="139" t="s">
        <v>116</v>
      </c>
      <c r="AB92" s="139" t="s">
        <v>117</v>
      </c>
      <c r="AC92" s="114" t="b">
        <f t="shared" si="7"/>
        <v>1</v>
      </c>
    </row>
    <row r="93" spans="2:29">
      <c r="B93" s="139" t="s">
        <v>119</v>
      </c>
      <c r="C93" s="139" t="s">
        <v>120</v>
      </c>
      <c r="D93" s="140">
        <f>SUMIF('A-1. 별도FS_19'!$B:$B,CFwp_Korea!B93,'A-1. 별도FS_19'!$D:$D)</f>
        <v>0</v>
      </c>
      <c r="E93" s="140">
        <f>SUMIF('A-1. 별도FS_20'!$B:$B,CFwp_Korea!B93,'A-1. 별도FS_20'!$D:$D)</f>
        <v>0</v>
      </c>
      <c r="F93" s="146">
        <f t="shared" si="9"/>
        <v>0</v>
      </c>
      <c r="G93" s="146">
        <f t="shared" si="3"/>
        <v>0</v>
      </c>
      <c r="H93" s="143"/>
      <c r="I93" s="144"/>
      <c r="J93" s="140"/>
      <c r="K93" s="140"/>
      <c r="L93" s="140"/>
      <c r="M93" s="140"/>
      <c r="N93" s="145"/>
      <c r="O93" s="145">
        <v>0</v>
      </c>
      <c r="P93" s="145">
        <v>0</v>
      </c>
      <c r="Q93" s="145">
        <v>0</v>
      </c>
      <c r="R93" s="145">
        <v>0</v>
      </c>
      <c r="S93" s="140"/>
      <c r="T93" s="145">
        <v>0</v>
      </c>
      <c r="U93" s="145"/>
      <c r="V93" s="145">
        <v>0</v>
      </c>
      <c r="W93" s="145"/>
      <c r="X93" s="145"/>
      <c r="AA93" s="139" t="s">
        <v>119</v>
      </c>
      <c r="AB93" s="139" t="s">
        <v>120</v>
      </c>
      <c r="AC93" s="114" t="b">
        <f t="shared" si="7"/>
        <v>1</v>
      </c>
    </row>
    <row r="94" spans="2:29">
      <c r="B94" s="139" t="s">
        <v>121</v>
      </c>
      <c r="C94" s="139" t="s">
        <v>122</v>
      </c>
      <c r="D94" s="140">
        <f>SUMIF('A-1. 별도FS_19'!$B:$B,CFwp_Korea!B94,'A-1. 별도FS_19'!$D:$D)</f>
        <v>0</v>
      </c>
      <c r="E94" s="140">
        <f>SUMIF('A-1. 별도FS_20'!$B:$B,CFwp_Korea!B94,'A-1. 별도FS_20'!$D:$D)</f>
        <v>0</v>
      </c>
      <c r="F94" s="146">
        <f t="shared" si="9"/>
        <v>0</v>
      </c>
      <c r="G94" s="146">
        <f t="shared" si="3"/>
        <v>0</v>
      </c>
      <c r="H94" s="143" t="s">
        <v>441</v>
      </c>
      <c r="I94" s="144"/>
      <c r="J94" s="140"/>
      <c r="K94" s="140">
        <v>0</v>
      </c>
      <c r="L94" s="140"/>
      <c r="M94" s="140"/>
      <c r="N94" s="145"/>
      <c r="O94" s="145">
        <v>0</v>
      </c>
      <c r="P94" s="145">
        <v>0</v>
      </c>
      <c r="Q94" s="145">
        <v>0</v>
      </c>
      <c r="R94" s="145">
        <v>0</v>
      </c>
      <c r="S94" s="140"/>
      <c r="T94" s="145">
        <v>0</v>
      </c>
      <c r="U94" s="145"/>
      <c r="V94" s="145">
        <v>0</v>
      </c>
      <c r="W94" s="145"/>
      <c r="X94" s="145"/>
      <c r="AA94" s="139" t="s">
        <v>121</v>
      </c>
      <c r="AB94" s="139" t="s">
        <v>122</v>
      </c>
      <c r="AC94" s="114" t="b">
        <f t="shared" si="7"/>
        <v>1</v>
      </c>
    </row>
    <row r="95" spans="2:29">
      <c r="B95" s="139" t="s">
        <v>123</v>
      </c>
      <c r="C95" s="139" t="s">
        <v>124</v>
      </c>
      <c r="D95" s="140">
        <f>SUMIF('A-1. 별도FS_19'!$B:$B,CFwp_Korea!B95,'A-1. 별도FS_19'!$D:$D)</f>
        <v>0</v>
      </c>
      <c r="E95" s="140">
        <f>SUMIF('A-1. 별도FS_20'!$B:$B,CFwp_Korea!B95,'A-1. 별도FS_20'!$D:$D)</f>
        <v>0</v>
      </c>
      <c r="F95" s="146">
        <f t="shared" si="9"/>
        <v>0</v>
      </c>
      <c r="G95" s="146">
        <f t="shared" si="3"/>
        <v>0</v>
      </c>
      <c r="H95" s="143" t="s">
        <v>390</v>
      </c>
      <c r="I95" s="144"/>
      <c r="J95" s="140">
        <v>0</v>
      </c>
      <c r="K95" s="140"/>
      <c r="L95" s="140"/>
      <c r="M95" s="140"/>
      <c r="N95" s="145"/>
      <c r="O95" s="145">
        <v>0</v>
      </c>
      <c r="P95" s="145">
        <v>0</v>
      </c>
      <c r="Q95" s="145">
        <v>0</v>
      </c>
      <c r="R95" s="145">
        <v>0</v>
      </c>
      <c r="S95" s="140"/>
      <c r="T95" s="145">
        <v>0</v>
      </c>
      <c r="U95" s="145"/>
      <c r="V95" s="145">
        <v>0</v>
      </c>
      <c r="W95" s="145"/>
      <c r="X95" s="145"/>
      <c r="AA95" s="139" t="s">
        <v>123</v>
      </c>
      <c r="AB95" s="139" t="s">
        <v>124</v>
      </c>
      <c r="AC95" s="114" t="b">
        <f t="shared" si="7"/>
        <v>1</v>
      </c>
    </row>
    <row r="96" spans="2:29">
      <c r="B96" s="139" t="s">
        <v>110</v>
      </c>
      <c r="C96" s="139" t="s">
        <v>111</v>
      </c>
      <c r="D96" s="140">
        <f>SUMIF('A-1. 별도FS_19'!$B:$B,CFwp_Korea!B96,'A-1. 별도FS_19'!$D:$D)</f>
        <v>0</v>
      </c>
      <c r="E96" s="140">
        <f>SUMIF('A-1. 별도FS_20'!$B:$B,CFwp_Korea!B96,'A-1. 별도FS_20'!$D:$D)</f>
        <v>359044000</v>
      </c>
      <c r="F96" s="146">
        <f t="shared" si="9"/>
        <v>359044000</v>
      </c>
      <c r="G96" s="146">
        <f t="shared" si="3"/>
        <v>0</v>
      </c>
      <c r="H96" s="143"/>
      <c r="I96" s="144"/>
      <c r="J96" s="140"/>
      <c r="K96" s="140"/>
      <c r="L96" s="140"/>
      <c r="M96" s="140"/>
      <c r="N96" s="145"/>
      <c r="O96" s="145">
        <v>0</v>
      </c>
      <c r="P96" s="145">
        <v>359044000</v>
      </c>
      <c r="Q96" s="145">
        <v>0</v>
      </c>
      <c r="R96" s="145">
        <v>0</v>
      </c>
      <c r="S96" s="140"/>
      <c r="T96" s="145">
        <v>0</v>
      </c>
      <c r="U96" s="145"/>
      <c r="V96" s="145">
        <v>0</v>
      </c>
      <c r="W96" s="145"/>
      <c r="X96" s="145"/>
      <c r="AA96" s="139" t="s">
        <v>110</v>
      </c>
      <c r="AB96" s="139" t="s">
        <v>111</v>
      </c>
      <c r="AC96" s="114" t="b">
        <f t="shared" si="7"/>
        <v>1</v>
      </c>
    </row>
    <row r="97" spans="2:29">
      <c r="B97" s="139" t="s">
        <v>112</v>
      </c>
      <c r="C97" s="139" t="s">
        <v>113</v>
      </c>
      <c r="D97" s="140">
        <f>SUMIF('A-1. 별도FS_19'!$B:$B,CFwp_Korea!B97,'A-1. 별도FS_19'!$D:$D)</f>
        <v>0</v>
      </c>
      <c r="E97" s="140">
        <f>SUMIF('A-1. 별도FS_20'!$B:$B,CFwp_Korea!B97,'A-1. 별도FS_20'!$D:$D)</f>
        <v>0</v>
      </c>
      <c r="F97" s="146">
        <f t="shared" si="9"/>
        <v>0</v>
      </c>
      <c r="G97" s="146">
        <f t="shared" si="3"/>
        <v>0</v>
      </c>
      <c r="H97" s="143" t="s">
        <v>441</v>
      </c>
      <c r="I97" s="144"/>
      <c r="J97" s="140"/>
      <c r="K97" s="140">
        <v>0</v>
      </c>
      <c r="L97" s="140"/>
      <c r="M97" s="140"/>
      <c r="N97" s="145"/>
      <c r="O97" s="145">
        <v>0</v>
      </c>
      <c r="P97" s="145">
        <v>0</v>
      </c>
      <c r="Q97" s="145">
        <v>0</v>
      </c>
      <c r="R97" s="145">
        <v>0</v>
      </c>
      <c r="S97" s="140"/>
      <c r="T97" s="145">
        <v>0</v>
      </c>
      <c r="U97" s="145"/>
      <c r="V97" s="145">
        <v>0</v>
      </c>
      <c r="W97" s="145"/>
      <c r="X97" s="145"/>
      <c r="AA97" s="139" t="s">
        <v>112</v>
      </c>
      <c r="AB97" s="139" t="s">
        <v>113</v>
      </c>
      <c r="AC97" s="114" t="b">
        <f t="shared" si="7"/>
        <v>1</v>
      </c>
    </row>
    <row r="98" spans="2:29">
      <c r="B98" s="139" t="s">
        <v>952</v>
      </c>
      <c r="C98" s="139" t="s">
        <v>953</v>
      </c>
      <c r="D98" s="140">
        <f>SUMIF('A-1. 별도FS_19'!$B:$B,CFwp_Korea!B98,'A-1. 별도FS_19'!$D:$D)</f>
        <v>42450000</v>
      </c>
      <c r="E98" s="140">
        <f>SUMIF('A-1. 별도FS_20'!$B:$B,CFwp_Korea!B98,'A-1. 별도FS_20'!$D:$D)</f>
        <v>42450000</v>
      </c>
      <c r="F98" s="146">
        <f t="shared" ref="F98" si="10">E98-D98</f>
        <v>0</v>
      </c>
      <c r="G98" s="146">
        <f t="shared" ref="G98" si="11">J98-K98+N98+O98-P98+Q98-R98-T98+V98+F98-W98+X98-Y98+Z98</f>
        <v>0</v>
      </c>
      <c r="H98" s="143"/>
      <c r="I98" s="144"/>
      <c r="J98" s="140"/>
      <c r="K98" s="140"/>
      <c r="L98" s="140"/>
      <c r="M98" s="140"/>
      <c r="N98" s="145"/>
      <c r="O98" s="145"/>
      <c r="P98" s="145"/>
      <c r="Q98" s="145"/>
      <c r="R98" s="145"/>
      <c r="S98" s="140"/>
      <c r="T98" s="145"/>
      <c r="U98" s="145"/>
      <c r="V98" s="145"/>
      <c r="W98" s="145"/>
      <c r="X98" s="145"/>
      <c r="AA98" s="134" t="s">
        <v>952</v>
      </c>
      <c r="AB98" s="134" t="s">
        <v>953</v>
      </c>
      <c r="AC98" s="114" t="b">
        <f t="shared" si="7"/>
        <v>1</v>
      </c>
    </row>
    <row r="99" spans="2:29">
      <c r="B99" s="139" t="s">
        <v>114</v>
      </c>
      <c r="C99" s="139" t="s">
        <v>115</v>
      </c>
      <c r="D99" s="140">
        <f>SUMIF('A-1. 별도FS_19'!$B:$B,CFwp_Korea!B99,'A-1. 별도FS_19'!$D:$D)</f>
        <v>0</v>
      </c>
      <c r="E99" s="140">
        <f>SUMIF('A-1. 별도FS_20'!$B:$B,CFwp_Korea!B99,'A-1. 별도FS_20'!$D:$D)</f>
        <v>0</v>
      </c>
      <c r="F99" s="146">
        <f t="shared" si="9"/>
        <v>0</v>
      </c>
      <c r="G99" s="146">
        <f t="shared" si="3"/>
        <v>0</v>
      </c>
      <c r="H99" s="143"/>
      <c r="I99" s="144"/>
      <c r="J99" s="140"/>
      <c r="K99" s="140"/>
      <c r="L99" s="140"/>
      <c r="M99" s="140"/>
      <c r="N99" s="145"/>
      <c r="O99" s="145">
        <v>0</v>
      </c>
      <c r="P99" s="145">
        <v>0</v>
      </c>
      <c r="Q99" s="145">
        <v>0</v>
      </c>
      <c r="R99" s="145">
        <v>0</v>
      </c>
      <c r="S99" s="140"/>
      <c r="T99" s="145">
        <v>0</v>
      </c>
      <c r="U99" s="145"/>
      <c r="V99" s="145">
        <v>0</v>
      </c>
      <c r="W99" s="145"/>
      <c r="X99" s="145"/>
      <c r="AA99" s="137" t="s">
        <v>114</v>
      </c>
      <c r="AB99" s="137" t="s">
        <v>115</v>
      </c>
      <c r="AC99" s="114" t="b">
        <f t="shared" si="7"/>
        <v>1</v>
      </c>
    </row>
    <row r="100" spans="2:29">
      <c r="B100" s="134"/>
      <c r="C100" s="134" t="s">
        <v>185</v>
      </c>
      <c r="D100" s="136">
        <f>D48+D8</f>
        <v>131188840659</v>
      </c>
      <c r="E100" s="136">
        <f>E48+E8</f>
        <v>712853299529.02502</v>
      </c>
      <c r="F100" s="152"/>
      <c r="G100" s="152"/>
      <c r="H100" s="136"/>
      <c r="I100" s="153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AA100" s="139"/>
      <c r="AB100" s="139" t="s">
        <v>185</v>
      </c>
      <c r="AC100" s="114" t="b">
        <f t="shared" si="7"/>
        <v>1</v>
      </c>
    </row>
    <row r="101" spans="2:29">
      <c r="B101" s="137"/>
      <c r="C101" s="137" t="s">
        <v>586</v>
      </c>
      <c r="D101" s="138">
        <f>SUM(D102:D120)</f>
        <v>16876608631</v>
      </c>
      <c r="E101" s="138">
        <f>SUM(E102:E120)</f>
        <v>184007865675</v>
      </c>
      <c r="F101" s="154"/>
      <c r="G101" s="154"/>
      <c r="H101" s="138"/>
      <c r="I101" s="149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AA101" s="139"/>
      <c r="AB101" s="139" t="s">
        <v>586</v>
      </c>
      <c r="AC101" s="114" t="b">
        <f t="shared" si="7"/>
        <v>1</v>
      </c>
    </row>
    <row r="102" spans="2:29">
      <c r="B102" s="139" t="s">
        <v>188</v>
      </c>
      <c r="C102" s="139" t="s">
        <v>189</v>
      </c>
      <c r="D102" s="140">
        <f>SUMIF('A-1. 별도FS_19'!$B:$B,CFwp_Korea!B102,'A-1. 별도FS_19'!$D:$D)</f>
        <v>2315989588</v>
      </c>
      <c r="E102" s="140">
        <f>SUMIF('A-1. 별도FS_20'!$B:$B,CFwp_Korea!B102,'A-1. 별도FS_20'!$D:$D)</f>
        <v>29810884706</v>
      </c>
      <c r="F102" s="146">
        <f t="shared" ref="F102:F120" si="12">E102-D102</f>
        <v>27494895118</v>
      </c>
      <c r="G102" s="146">
        <f>J102-K102+N102+O102-P102+Q102-R102-T102+V102-F102-W102+X102-Y102+Z102</f>
        <v>0</v>
      </c>
      <c r="H102" s="143" t="s">
        <v>410</v>
      </c>
      <c r="I102" s="144">
        <v>18069188</v>
      </c>
      <c r="J102" s="140"/>
      <c r="K102" s="140">
        <v>18069188</v>
      </c>
      <c r="L102" s="140">
        <v>27512964306</v>
      </c>
      <c r="M102" s="140"/>
      <c r="N102" s="145">
        <v>27512964306</v>
      </c>
      <c r="O102" s="145">
        <v>0</v>
      </c>
      <c r="P102" s="145">
        <v>0</v>
      </c>
      <c r="Q102" s="145">
        <v>0</v>
      </c>
      <c r="R102" s="145">
        <v>0</v>
      </c>
      <c r="S102" s="140"/>
      <c r="T102" s="145">
        <v>0</v>
      </c>
      <c r="U102" s="145"/>
      <c r="V102" s="145">
        <v>0</v>
      </c>
      <c r="W102" s="145"/>
      <c r="X102" s="145"/>
      <c r="AA102" s="139" t="s">
        <v>188</v>
      </c>
      <c r="AB102" s="139" t="s">
        <v>189</v>
      </c>
      <c r="AC102" s="114" t="b">
        <f t="shared" si="7"/>
        <v>1</v>
      </c>
    </row>
    <row r="103" spans="2:29">
      <c r="B103" s="139" t="s">
        <v>192</v>
      </c>
      <c r="C103" s="139" t="s">
        <v>193</v>
      </c>
      <c r="D103" s="140">
        <f>SUMIF('A-1. 별도FS_19'!$B:$B,CFwp_Korea!B103,'A-1. 별도FS_19'!$D:$D)</f>
        <v>0</v>
      </c>
      <c r="E103" s="140">
        <f>SUMIF('A-1. 별도FS_20'!$B:$B,CFwp_Korea!B103,'A-1. 별도FS_20'!$D:$D)</f>
        <v>0</v>
      </c>
      <c r="F103" s="146">
        <f t="shared" si="12"/>
        <v>0</v>
      </c>
      <c r="G103" s="146">
        <f t="shared" ref="G103:G120" si="13">J103-K103+N103+O103-P103+Q103-R103-T103+V103-F103-W103+X103-Y103+Z103</f>
        <v>0</v>
      </c>
      <c r="H103" s="143" t="s">
        <v>428</v>
      </c>
      <c r="I103" s="144"/>
      <c r="J103" s="140"/>
      <c r="K103" s="140"/>
      <c r="L103" s="140"/>
      <c r="M103" s="140"/>
      <c r="N103" s="145">
        <v>0</v>
      </c>
      <c r="O103" s="145">
        <v>0</v>
      </c>
      <c r="P103" s="145">
        <v>0</v>
      </c>
      <c r="Q103" s="145">
        <v>0</v>
      </c>
      <c r="R103" s="145">
        <v>0</v>
      </c>
      <c r="S103" s="140"/>
      <c r="T103" s="145">
        <v>0</v>
      </c>
      <c r="U103" s="145"/>
      <c r="V103" s="145">
        <v>0</v>
      </c>
      <c r="W103" s="145"/>
      <c r="X103" s="145"/>
      <c r="AA103" s="139" t="s">
        <v>192</v>
      </c>
      <c r="AB103" s="139" t="s">
        <v>193</v>
      </c>
      <c r="AC103" s="114" t="b">
        <f t="shared" si="7"/>
        <v>1</v>
      </c>
    </row>
    <row r="104" spans="2:29">
      <c r="B104" s="139" t="s">
        <v>194</v>
      </c>
      <c r="C104" s="139" t="s">
        <v>195</v>
      </c>
      <c r="D104" s="140">
        <f>SUMIF('A-1. 별도FS_19'!$B:$B,CFwp_Korea!B104,'A-1. 별도FS_19'!$D:$D)</f>
        <v>811451092</v>
      </c>
      <c r="E104" s="140">
        <f>SUMIF('A-1. 별도FS_20'!$B:$B,CFwp_Korea!B104,'A-1. 별도FS_20'!$D:$D)</f>
        <v>3022436678</v>
      </c>
      <c r="F104" s="146">
        <f t="shared" si="12"/>
        <v>2210985586</v>
      </c>
      <c r="G104" s="146">
        <f t="shared" si="13"/>
        <v>0</v>
      </c>
      <c r="H104" s="143" t="s">
        <v>410</v>
      </c>
      <c r="I104" s="144">
        <v>105998</v>
      </c>
      <c r="J104" s="140"/>
      <c r="K104" s="140">
        <v>105998</v>
      </c>
      <c r="L104" s="140">
        <v>1253450408</v>
      </c>
      <c r="M104" s="140"/>
      <c r="N104" s="145">
        <v>1253450408</v>
      </c>
      <c r="O104" s="145">
        <v>0</v>
      </c>
      <c r="P104" s="145">
        <v>0</v>
      </c>
      <c r="Q104" s="145">
        <v>0</v>
      </c>
      <c r="R104" s="145">
        <v>0</v>
      </c>
      <c r="S104" s="140"/>
      <c r="T104" s="145">
        <v>0</v>
      </c>
      <c r="U104" s="145"/>
      <c r="V104" s="145">
        <v>957641176</v>
      </c>
      <c r="W104" s="145"/>
      <c r="X104" s="145"/>
      <c r="AA104" s="139" t="s">
        <v>194</v>
      </c>
      <c r="AB104" s="139" t="s">
        <v>195</v>
      </c>
      <c r="AC104" s="114" t="b">
        <f t="shared" si="7"/>
        <v>1</v>
      </c>
    </row>
    <row r="105" spans="2:29">
      <c r="B105" s="139" t="s">
        <v>198</v>
      </c>
      <c r="C105" s="139" t="s">
        <v>199</v>
      </c>
      <c r="D105" s="140">
        <f>SUMIF('A-1. 별도FS_19'!$B:$B,CFwp_Korea!B105,'A-1. 별도FS_19'!$D:$D)</f>
        <v>0</v>
      </c>
      <c r="E105" s="140">
        <f>SUMIF('A-1. 별도FS_20'!$B:$B,CFwp_Korea!B105,'A-1. 별도FS_20'!$D:$D)</f>
        <v>0</v>
      </c>
      <c r="F105" s="146">
        <f t="shared" si="12"/>
        <v>0</v>
      </c>
      <c r="G105" s="146">
        <f t="shared" si="13"/>
        <v>0</v>
      </c>
      <c r="H105" s="143"/>
      <c r="I105" s="144"/>
      <c r="J105" s="140"/>
      <c r="K105" s="140"/>
      <c r="L105" s="140">
        <v>0</v>
      </c>
      <c r="M105" s="140"/>
      <c r="N105" s="145">
        <v>0</v>
      </c>
      <c r="O105" s="145">
        <v>0</v>
      </c>
      <c r="P105" s="145">
        <v>0</v>
      </c>
      <c r="Q105" s="145">
        <v>0</v>
      </c>
      <c r="R105" s="145">
        <v>0</v>
      </c>
      <c r="S105" s="140"/>
      <c r="T105" s="145">
        <v>0</v>
      </c>
      <c r="U105" s="145"/>
      <c r="V105" s="145">
        <v>0</v>
      </c>
      <c r="W105" s="145"/>
      <c r="X105" s="145"/>
      <c r="AA105" s="139" t="s">
        <v>198</v>
      </c>
      <c r="AB105" s="139" t="s">
        <v>199</v>
      </c>
      <c r="AC105" s="114" t="b">
        <f t="shared" si="7"/>
        <v>1</v>
      </c>
    </row>
    <row r="106" spans="2:29">
      <c r="B106" s="139" t="s">
        <v>200</v>
      </c>
      <c r="C106" s="139" t="s">
        <v>201</v>
      </c>
      <c r="D106" s="140">
        <f>SUMIF('A-1. 별도FS_19'!$B:$B,CFwp_Korea!B106,'A-1. 별도FS_19'!$D:$D)</f>
        <v>92240620</v>
      </c>
      <c r="E106" s="140">
        <f>SUMIF('A-1. 별도FS_20'!$B:$B,CFwp_Korea!B106,'A-1. 별도FS_20'!$D:$D)</f>
        <v>0</v>
      </c>
      <c r="F106" s="146">
        <f t="shared" si="12"/>
        <v>-92240620</v>
      </c>
      <c r="G106" s="146">
        <f t="shared" si="13"/>
        <v>0</v>
      </c>
      <c r="H106" s="143"/>
      <c r="I106" s="144"/>
      <c r="J106" s="140"/>
      <c r="K106" s="140"/>
      <c r="L106" s="140">
        <v>-92240620</v>
      </c>
      <c r="M106" s="140"/>
      <c r="N106" s="145">
        <v>-92240620</v>
      </c>
      <c r="O106" s="145">
        <v>0</v>
      </c>
      <c r="P106" s="145">
        <v>0</v>
      </c>
      <c r="Q106" s="145">
        <v>0</v>
      </c>
      <c r="R106" s="145">
        <v>0</v>
      </c>
      <c r="S106" s="140"/>
      <c r="T106" s="145">
        <v>0</v>
      </c>
      <c r="U106" s="145"/>
      <c r="V106" s="145">
        <v>0</v>
      </c>
      <c r="W106" s="145"/>
      <c r="X106" s="145"/>
      <c r="AA106" s="139" t="s">
        <v>200</v>
      </c>
      <c r="AB106" s="139" t="s">
        <v>201</v>
      </c>
      <c r="AC106" s="114" t="b">
        <f t="shared" si="7"/>
        <v>1</v>
      </c>
    </row>
    <row r="107" spans="2:29">
      <c r="B107" s="139" t="s">
        <v>954</v>
      </c>
      <c r="C107" s="139" t="s">
        <v>955</v>
      </c>
      <c r="D107" s="140">
        <f>SUMIF('A-1. 별도FS_19'!$B:$B,CFwp_Korea!B107,'A-1. 별도FS_19'!$D:$D)</f>
        <v>0</v>
      </c>
      <c r="E107" s="140">
        <f>SUMIF('A-1. 별도FS_20'!$B:$B,CFwp_Korea!B107,'A-1. 별도FS_20'!$D:$D)</f>
        <v>8095212856</v>
      </c>
      <c r="F107" s="146">
        <f t="shared" si="12"/>
        <v>8095212856</v>
      </c>
      <c r="G107" s="146">
        <f t="shared" si="13"/>
        <v>0</v>
      </c>
      <c r="H107" s="143"/>
      <c r="I107" s="144"/>
      <c r="J107" s="140"/>
      <c r="K107" s="140"/>
      <c r="L107" s="140">
        <v>8095212856</v>
      </c>
      <c r="M107" s="140"/>
      <c r="N107" s="145">
        <v>8095212856</v>
      </c>
      <c r="O107" s="145">
        <v>0</v>
      </c>
      <c r="P107" s="145">
        <v>0</v>
      </c>
      <c r="Q107" s="145">
        <v>0</v>
      </c>
      <c r="R107" s="145">
        <v>0</v>
      </c>
      <c r="S107" s="140"/>
      <c r="T107" s="145">
        <v>0</v>
      </c>
      <c r="U107" s="145"/>
      <c r="V107" s="145">
        <v>0</v>
      </c>
      <c r="W107" s="145"/>
      <c r="X107" s="145"/>
      <c r="AA107" s="139" t="s">
        <v>954</v>
      </c>
      <c r="AB107" s="139" t="s">
        <v>955</v>
      </c>
      <c r="AC107" s="114" t="b">
        <f t="shared" si="7"/>
        <v>1</v>
      </c>
    </row>
    <row r="108" spans="2:29">
      <c r="B108" s="139" t="s">
        <v>851</v>
      </c>
      <c r="C108" s="139" t="s">
        <v>852</v>
      </c>
      <c r="D108" s="140">
        <f>SUMIF('A-1. 별도FS_19'!$B:$B,CFwp_Korea!B108,'A-1. 별도FS_19'!$D:$D)</f>
        <v>5756000</v>
      </c>
      <c r="E108" s="140">
        <f>SUMIF('A-1. 별도FS_20'!$B:$B,CFwp_Korea!B108,'A-1. 별도FS_20'!$D:$D)</f>
        <v>2159272</v>
      </c>
      <c r="F108" s="146">
        <f t="shared" si="12"/>
        <v>-3596728</v>
      </c>
      <c r="G108" s="146">
        <f t="shared" si="13"/>
        <v>0</v>
      </c>
      <c r="H108" s="143"/>
      <c r="I108" s="144"/>
      <c r="J108" s="140"/>
      <c r="K108" s="140"/>
      <c r="L108" s="140">
        <v>-3596728</v>
      </c>
      <c r="M108" s="140"/>
      <c r="N108" s="145">
        <v>-3596728</v>
      </c>
      <c r="O108" s="145">
        <v>0</v>
      </c>
      <c r="P108" s="145">
        <v>0</v>
      </c>
      <c r="Q108" s="145">
        <v>0</v>
      </c>
      <c r="R108" s="145">
        <v>0</v>
      </c>
      <c r="S108" s="140"/>
      <c r="T108" s="145">
        <v>0</v>
      </c>
      <c r="U108" s="145"/>
      <c r="V108" s="145">
        <v>0</v>
      </c>
      <c r="W108" s="145"/>
      <c r="X108" s="145"/>
      <c r="AA108" s="139" t="s">
        <v>851</v>
      </c>
      <c r="AB108" s="139" t="s">
        <v>852</v>
      </c>
      <c r="AC108" s="114" t="b">
        <f t="shared" si="7"/>
        <v>1</v>
      </c>
    </row>
    <row r="109" spans="2:29">
      <c r="B109" s="139" t="s">
        <v>956</v>
      </c>
      <c r="C109" s="139" t="s">
        <v>957</v>
      </c>
      <c r="D109" s="140">
        <f>SUMIF('A-1. 별도FS_19'!$B:$B,CFwp_Korea!B109,'A-1. 별도FS_19'!$D:$D)</f>
        <v>0</v>
      </c>
      <c r="E109" s="140">
        <f>SUMIF('A-1. 별도FS_20'!$B:$B,CFwp_Korea!B109,'A-1. 별도FS_20'!$D:$D)</f>
        <v>420000000</v>
      </c>
      <c r="F109" s="146">
        <f t="shared" ref="F109" si="14">E109-D109</f>
        <v>420000000</v>
      </c>
      <c r="G109" s="146">
        <f t="shared" ref="G109" si="15">J109-K109+N109+O109-P109+Q109-R109-T109+V109-F109-W109+X109-Y109+Z109</f>
        <v>0</v>
      </c>
      <c r="H109" s="143"/>
      <c r="I109" s="144"/>
      <c r="J109" s="140"/>
      <c r="K109" s="140"/>
      <c r="L109" s="140"/>
      <c r="M109" s="140"/>
      <c r="N109" s="145"/>
      <c r="O109" s="145">
        <v>0</v>
      </c>
      <c r="P109" s="145">
        <v>0</v>
      </c>
      <c r="Q109" s="145">
        <v>420000000</v>
      </c>
      <c r="R109" s="145">
        <v>0</v>
      </c>
      <c r="S109" s="140"/>
      <c r="T109" s="145">
        <v>0</v>
      </c>
      <c r="U109" s="145"/>
      <c r="V109" s="145">
        <v>0</v>
      </c>
      <c r="W109" s="145"/>
      <c r="X109" s="145"/>
      <c r="AA109" s="139" t="s">
        <v>956</v>
      </c>
      <c r="AB109" s="139" t="s">
        <v>957</v>
      </c>
      <c r="AC109" s="114" t="b">
        <f t="shared" si="7"/>
        <v>1</v>
      </c>
    </row>
    <row r="110" spans="2:29">
      <c r="B110" s="139" t="s">
        <v>204</v>
      </c>
      <c r="C110" s="139" t="s">
        <v>205</v>
      </c>
      <c r="D110" s="140">
        <f>SUMIF('A-1. 별도FS_19'!$B:$B,CFwp_Korea!B110,'A-1. 별도FS_19'!$D:$D)</f>
        <v>0</v>
      </c>
      <c r="E110" s="140">
        <f>SUMIF('A-1. 별도FS_20'!$B:$B,CFwp_Korea!B110,'A-1. 별도FS_20'!$D:$D)</f>
        <v>0</v>
      </c>
      <c r="F110" s="146">
        <f t="shared" si="12"/>
        <v>0</v>
      </c>
      <c r="G110" s="146">
        <f t="shared" si="13"/>
        <v>0</v>
      </c>
      <c r="H110" s="143"/>
      <c r="I110" s="144"/>
      <c r="J110" s="140">
        <v>0</v>
      </c>
      <c r="K110" s="140"/>
      <c r="L110" s="140"/>
      <c r="M110" s="140"/>
      <c r="N110" s="145">
        <v>0</v>
      </c>
      <c r="O110" s="145">
        <v>0</v>
      </c>
      <c r="P110" s="145">
        <v>0</v>
      </c>
      <c r="Q110" s="145">
        <v>0</v>
      </c>
      <c r="R110" s="145">
        <v>0</v>
      </c>
      <c r="S110" s="140"/>
      <c r="T110" s="145">
        <v>0</v>
      </c>
      <c r="U110" s="145"/>
      <c r="V110" s="145">
        <v>0</v>
      </c>
      <c r="W110" s="145"/>
      <c r="X110" s="145"/>
      <c r="AA110" s="139" t="s">
        <v>204</v>
      </c>
      <c r="AB110" s="139" t="s">
        <v>205</v>
      </c>
      <c r="AC110" s="114" t="b">
        <f t="shared" si="7"/>
        <v>1</v>
      </c>
    </row>
    <row r="111" spans="2:29">
      <c r="B111" s="139" t="s">
        <v>853</v>
      </c>
      <c r="C111" s="139" t="s">
        <v>854</v>
      </c>
      <c r="D111" s="140">
        <f>SUMIF('A-1. 별도FS_19'!$B:$B,CFwp_Korea!B111,'A-1. 별도FS_19'!$D:$D)</f>
        <v>0</v>
      </c>
      <c r="E111" s="140">
        <f>SUMIF('A-1. 별도FS_20'!$B:$B,CFwp_Korea!B111,'A-1. 별도FS_20'!$D:$D)</f>
        <v>0</v>
      </c>
      <c r="F111" s="146">
        <f t="shared" si="12"/>
        <v>0</v>
      </c>
      <c r="G111" s="146">
        <f t="shared" si="13"/>
        <v>0</v>
      </c>
      <c r="H111" s="143"/>
      <c r="I111" s="144"/>
      <c r="J111" s="140"/>
      <c r="K111" s="140"/>
      <c r="L111" s="140"/>
      <c r="M111" s="140"/>
      <c r="N111" s="145">
        <v>0</v>
      </c>
      <c r="O111" s="145">
        <v>0</v>
      </c>
      <c r="P111" s="145">
        <v>0</v>
      </c>
      <c r="Q111" s="145">
        <v>0</v>
      </c>
      <c r="R111" s="145">
        <v>0</v>
      </c>
      <c r="S111" s="140"/>
      <c r="T111" s="145">
        <v>0</v>
      </c>
      <c r="U111" s="145"/>
      <c r="V111" s="145">
        <v>0</v>
      </c>
      <c r="W111" s="145"/>
      <c r="X111" s="145"/>
      <c r="AA111" s="139" t="s">
        <v>853</v>
      </c>
      <c r="AB111" s="139" t="s">
        <v>854</v>
      </c>
      <c r="AC111" s="114" t="b">
        <f t="shared" si="7"/>
        <v>1</v>
      </c>
    </row>
    <row r="112" spans="2:29">
      <c r="B112" s="139" t="s">
        <v>206</v>
      </c>
      <c r="C112" s="139" t="s">
        <v>207</v>
      </c>
      <c r="D112" s="140">
        <f>SUMIF('A-1. 별도FS_19'!$B:$B,CFwp_Korea!B112,'A-1. 별도FS_19'!$D:$D)</f>
        <v>284270337</v>
      </c>
      <c r="E112" s="140">
        <f>SUMIF('A-1. 별도FS_20'!$B:$B,CFwp_Korea!B112,'A-1. 별도FS_20'!$D:$D)</f>
        <v>575376334</v>
      </c>
      <c r="F112" s="146">
        <f t="shared" si="12"/>
        <v>291105997</v>
      </c>
      <c r="G112" s="146">
        <f t="shared" si="13"/>
        <v>0</v>
      </c>
      <c r="H112" s="143"/>
      <c r="I112" s="144"/>
      <c r="J112" s="140"/>
      <c r="K112" s="140"/>
      <c r="L112" s="140">
        <v>291105997</v>
      </c>
      <c r="M112" s="140"/>
      <c r="N112" s="145">
        <v>291105997</v>
      </c>
      <c r="O112" s="145">
        <v>0</v>
      </c>
      <c r="P112" s="145">
        <v>0</v>
      </c>
      <c r="Q112" s="145">
        <v>0</v>
      </c>
      <c r="R112" s="145">
        <v>0</v>
      </c>
      <c r="S112" s="140"/>
      <c r="T112" s="145">
        <v>0</v>
      </c>
      <c r="U112" s="145"/>
      <c r="V112" s="145">
        <v>0</v>
      </c>
      <c r="W112" s="145"/>
      <c r="X112" s="145"/>
      <c r="AA112" s="139" t="s">
        <v>206</v>
      </c>
      <c r="AB112" s="139" t="s">
        <v>207</v>
      </c>
      <c r="AC112" s="114" t="b">
        <f t="shared" si="7"/>
        <v>1</v>
      </c>
    </row>
    <row r="113" spans="2:29">
      <c r="B113" s="139" t="s">
        <v>209</v>
      </c>
      <c r="C113" s="139" t="s">
        <v>210</v>
      </c>
      <c r="D113" s="140">
        <f>SUMIF('A-1. 별도FS_19'!$B:$B,CFwp_Korea!B113,'A-1. 별도FS_19'!$D:$D)</f>
        <v>12000000000</v>
      </c>
      <c r="E113" s="140">
        <f>SUMIF('A-1. 별도FS_20'!$B:$B,CFwp_Korea!B113,'A-1. 별도FS_20'!$D:$D)</f>
        <v>0</v>
      </c>
      <c r="F113" s="146">
        <f t="shared" si="12"/>
        <v>-12000000000</v>
      </c>
      <c r="G113" s="146">
        <f t="shared" si="13"/>
        <v>0</v>
      </c>
      <c r="H113" s="143"/>
      <c r="I113" s="144"/>
      <c r="J113" s="140">
        <v>0</v>
      </c>
      <c r="K113" s="140"/>
      <c r="L113" s="140"/>
      <c r="M113" s="140"/>
      <c r="N113" s="145">
        <v>0</v>
      </c>
      <c r="O113" s="145">
        <v>0</v>
      </c>
      <c r="P113" s="145">
        <v>0</v>
      </c>
      <c r="Q113" s="145">
        <v>0</v>
      </c>
      <c r="R113" s="145">
        <v>12000000000</v>
      </c>
      <c r="S113" s="140"/>
      <c r="T113" s="145">
        <v>0</v>
      </c>
      <c r="U113" s="145"/>
      <c r="V113" s="145">
        <v>0</v>
      </c>
      <c r="W113" s="145"/>
      <c r="X113" s="145"/>
      <c r="AA113" s="139" t="s">
        <v>209</v>
      </c>
      <c r="AB113" s="139" t="s">
        <v>210</v>
      </c>
      <c r="AC113" s="114" t="b">
        <f t="shared" si="7"/>
        <v>1</v>
      </c>
    </row>
    <row r="114" spans="2:29">
      <c r="B114" s="139" t="s">
        <v>213</v>
      </c>
      <c r="C114" s="139" t="s">
        <v>214</v>
      </c>
      <c r="D114" s="140">
        <f>SUMIF('A-1. 별도FS_19'!$B:$B,CFwp_Korea!B114,'A-1. 별도FS_19'!$D:$D)</f>
        <v>964956210</v>
      </c>
      <c r="E114" s="140">
        <f>SUMIF('A-1. 별도FS_20'!$B:$B,CFwp_Korea!B114,'A-1. 별도FS_20'!$D:$D)</f>
        <v>139102800790</v>
      </c>
      <c r="F114" s="146">
        <f t="shared" si="12"/>
        <v>138137844580</v>
      </c>
      <c r="G114" s="146">
        <f t="shared" si="13"/>
        <v>-781135343</v>
      </c>
      <c r="H114" s="143" t="s">
        <v>461</v>
      </c>
      <c r="I114" s="144">
        <v>138349735077</v>
      </c>
      <c r="J114" s="140">
        <v>138349735077</v>
      </c>
      <c r="K114" s="140"/>
      <c r="L114" s="140"/>
      <c r="M114" s="140">
        <v>-993025840</v>
      </c>
      <c r="N114" s="145">
        <v>-993025840</v>
      </c>
      <c r="O114" s="145">
        <v>0</v>
      </c>
      <c r="P114" s="145">
        <v>0</v>
      </c>
      <c r="Q114" s="145">
        <v>0</v>
      </c>
      <c r="R114" s="145">
        <v>0</v>
      </c>
      <c r="S114" s="140"/>
      <c r="T114" s="145">
        <v>0</v>
      </c>
      <c r="U114" s="145"/>
      <c r="V114" s="145">
        <v>0</v>
      </c>
      <c r="W114" s="145"/>
      <c r="X114" s="145"/>
      <c r="AA114" s="139" t="s">
        <v>213</v>
      </c>
      <c r="AB114" s="139" t="s">
        <v>214</v>
      </c>
      <c r="AC114" s="114" t="b">
        <f t="shared" si="7"/>
        <v>1</v>
      </c>
    </row>
    <row r="115" spans="2:29">
      <c r="B115" s="139" t="s">
        <v>217</v>
      </c>
      <c r="C115" s="139" t="s">
        <v>218</v>
      </c>
      <c r="D115" s="140">
        <f>SUMIF('A-1. 별도FS_19'!$B:$B,CFwp_Korea!B115,'A-1. 별도FS_19'!$D:$D)</f>
        <v>177318330</v>
      </c>
      <c r="E115" s="140">
        <f>SUMIF('A-1. 별도FS_20'!$B:$B,CFwp_Korea!B115,'A-1. 별도FS_20'!$D:$D)</f>
        <v>2589237419</v>
      </c>
      <c r="F115" s="146">
        <f t="shared" si="12"/>
        <v>2411919089</v>
      </c>
      <c r="G115" s="146">
        <f t="shared" si="13"/>
        <v>0</v>
      </c>
      <c r="H115" s="143" t="s">
        <v>448</v>
      </c>
      <c r="I115" s="144">
        <v>165715444</v>
      </c>
      <c r="J115" s="140">
        <v>165715444</v>
      </c>
      <c r="K115" s="140"/>
      <c r="L115" s="140">
        <v>2411919089</v>
      </c>
      <c r="M115" s="140">
        <v>-165715444</v>
      </c>
      <c r="N115" s="145">
        <v>2246203645</v>
      </c>
      <c r="O115" s="145">
        <v>0</v>
      </c>
      <c r="P115" s="145">
        <v>0</v>
      </c>
      <c r="Q115" s="145">
        <v>0</v>
      </c>
      <c r="R115" s="145">
        <v>0</v>
      </c>
      <c r="S115" s="140"/>
      <c r="T115" s="145">
        <v>0</v>
      </c>
      <c r="U115" s="145"/>
      <c r="V115" s="145">
        <v>0</v>
      </c>
      <c r="W115" s="145"/>
      <c r="X115" s="145"/>
      <c r="AA115" s="139" t="s">
        <v>217</v>
      </c>
      <c r="AB115" s="139" t="s">
        <v>218</v>
      </c>
      <c r="AC115" s="114" t="b">
        <f t="shared" si="7"/>
        <v>1</v>
      </c>
    </row>
    <row r="116" spans="2:29">
      <c r="B116" s="139" t="s">
        <v>219</v>
      </c>
      <c r="C116" s="139" t="s">
        <v>220</v>
      </c>
      <c r="D116" s="140">
        <f>SUMIF('A-1. 별도FS_19'!$B:$B,CFwp_Korea!B116,'A-1. 별도FS_19'!$D:$D)</f>
        <v>0</v>
      </c>
      <c r="E116" s="140">
        <f>SUMIF('A-1. 별도FS_20'!$B:$B,CFwp_Korea!B116,'A-1. 별도FS_20'!$D:$D)</f>
        <v>0</v>
      </c>
      <c r="F116" s="146">
        <f t="shared" si="12"/>
        <v>0</v>
      </c>
      <c r="G116" s="146">
        <f t="shared" si="13"/>
        <v>0</v>
      </c>
      <c r="H116" s="143"/>
      <c r="I116" s="144"/>
      <c r="J116" s="140"/>
      <c r="K116" s="140"/>
      <c r="L116" s="140"/>
      <c r="M116" s="140"/>
      <c r="N116" s="145">
        <v>0</v>
      </c>
      <c r="O116" s="145">
        <v>0</v>
      </c>
      <c r="P116" s="145">
        <v>0</v>
      </c>
      <c r="Q116" s="145">
        <v>0</v>
      </c>
      <c r="R116" s="145">
        <v>0</v>
      </c>
      <c r="S116" s="140"/>
      <c r="T116" s="145">
        <v>0</v>
      </c>
      <c r="U116" s="145"/>
      <c r="V116" s="145">
        <v>0</v>
      </c>
      <c r="W116" s="145"/>
      <c r="X116" s="145"/>
      <c r="AA116" s="139" t="s">
        <v>219</v>
      </c>
      <c r="AB116" s="139" t="s">
        <v>220</v>
      </c>
      <c r="AC116" s="114" t="b">
        <f t="shared" si="7"/>
        <v>1</v>
      </c>
    </row>
    <row r="117" spans="2:29">
      <c r="B117" s="139" t="s">
        <v>221</v>
      </c>
      <c r="C117" s="139" t="s">
        <v>222</v>
      </c>
      <c r="D117" s="140">
        <f>SUMIF('A-1. 별도FS_19'!$B:$B,CFwp_Korea!B117,'A-1. 별도FS_19'!$D:$D)</f>
        <v>182945958</v>
      </c>
      <c r="E117" s="140">
        <f>SUMIF('A-1. 별도FS_20'!$B:$B,CFwp_Korea!B117,'A-1. 별도FS_20'!$D:$D)</f>
        <v>251936857</v>
      </c>
      <c r="F117" s="146">
        <f t="shared" si="12"/>
        <v>68990899</v>
      </c>
      <c r="G117" s="146">
        <f t="shared" si="13"/>
        <v>0</v>
      </c>
      <c r="H117" s="143" t="s">
        <v>712</v>
      </c>
      <c r="I117" s="144">
        <v>68990899</v>
      </c>
      <c r="J117" s="140">
        <v>68990899</v>
      </c>
      <c r="K117" s="140"/>
      <c r="L117" s="140"/>
      <c r="M117" s="140"/>
      <c r="N117" s="145">
        <v>0</v>
      </c>
      <c r="O117" s="145">
        <v>0</v>
      </c>
      <c r="P117" s="145">
        <v>0</v>
      </c>
      <c r="Q117" s="145">
        <v>0</v>
      </c>
      <c r="R117" s="145">
        <v>0</v>
      </c>
      <c r="S117" s="140"/>
      <c r="T117" s="145">
        <v>0</v>
      </c>
      <c r="U117" s="145"/>
      <c r="V117" s="145">
        <v>0</v>
      </c>
      <c r="W117" s="145"/>
      <c r="X117" s="145"/>
      <c r="AA117" s="37" t="s">
        <v>221</v>
      </c>
      <c r="AB117" s="2" t="s">
        <v>222</v>
      </c>
      <c r="AC117" s="114" t="b">
        <f t="shared" si="7"/>
        <v>1</v>
      </c>
    </row>
    <row r="118" spans="2:29">
      <c r="B118" s="139" t="s">
        <v>223</v>
      </c>
      <c r="C118" s="139" t="s">
        <v>224</v>
      </c>
      <c r="D118" s="140">
        <f>SUMIF('A-1. 별도FS_19'!$B:$B,CFwp_Korea!B118,'A-1. 별도FS_19'!$D:$D)</f>
        <v>43536000</v>
      </c>
      <c r="E118" s="140">
        <f>SUMIF('A-1. 별도FS_20'!$B:$B,CFwp_Korea!B118,'A-1. 별도FS_20'!$D:$D)</f>
        <v>152695680</v>
      </c>
      <c r="F118" s="146">
        <f t="shared" si="12"/>
        <v>109159680</v>
      </c>
      <c r="G118" s="146">
        <f t="shared" si="13"/>
        <v>0</v>
      </c>
      <c r="H118" s="143"/>
      <c r="I118" s="144"/>
      <c r="J118" s="140"/>
      <c r="K118" s="140"/>
      <c r="L118" s="140"/>
      <c r="M118" s="140"/>
      <c r="N118" s="145">
        <v>0</v>
      </c>
      <c r="O118" s="145">
        <v>0</v>
      </c>
      <c r="P118" s="145">
        <v>0</v>
      </c>
      <c r="Q118" s="145">
        <v>0</v>
      </c>
      <c r="R118" s="145">
        <v>79827840</v>
      </c>
      <c r="S118" s="140"/>
      <c r="T118" s="145">
        <v>0</v>
      </c>
      <c r="U118" s="145"/>
      <c r="V118" s="145">
        <v>188987520</v>
      </c>
      <c r="W118" s="145"/>
      <c r="X118" s="145"/>
      <c r="AA118" s="137" t="s">
        <v>223</v>
      </c>
      <c r="AB118" s="137" t="s">
        <v>224</v>
      </c>
      <c r="AC118" s="114" t="b">
        <f t="shared" si="7"/>
        <v>1</v>
      </c>
    </row>
    <row r="119" spans="2:29">
      <c r="B119" s="139" t="s">
        <v>226</v>
      </c>
      <c r="C119" s="139" t="s">
        <v>227</v>
      </c>
      <c r="D119" s="140">
        <f>SUMIF('A-1. 별도FS_19'!$B:$B,CFwp_Korea!B119,'A-1. 별도FS_19'!$D:$D)</f>
        <v>-1855504</v>
      </c>
      <c r="E119" s="140">
        <f>SUMIF('A-1. 별도FS_20'!$B:$B,CFwp_Korea!B119,'A-1. 별도FS_20'!$D:$D)</f>
        <v>-14874917</v>
      </c>
      <c r="F119" s="146">
        <f t="shared" si="12"/>
        <v>-13019413</v>
      </c>
      <c r="G119" s="146">
        <f t="shared" si="13"/>
        <v>0</v>
      </c>
      <c r="H119" s="143" t="s">
        <v>950</v>
      </c>
      <c r="I119" s="144">
        <v>706713</v>
      </c>
      <c r="J119" s="140">
        <v>706713</v>
      </c>
      <c r="K119" s="140"/>
      <c r="L119" s="140"/>
      <c r="M119" s="140"/>
      <c r="N119" s="145">
        <v>0</v>
      </c>
      <c r="O119" s="145">
        <v>0</v>
      </c>
      <c r="P119" s="145">
        <v>0</v>
      </c>
      <c r="Q119" s="145">
        <v>0</v>
      </c>
      <c r="R119" s="145">
        <v>0</v>
      </c>
      <c r="S119" s="140"/>
      <c r="T119" s="145">
        <v>13726126</v>
      </c>
      <c r="U119" s="145"/>
      <c r="V119" s="145">
        <v>0</v>
      </c>
      <c r="W119" s="145"/>
      <c r="X119" s="145"/>
      <c r="AA119" s="139" t="s">
        <v>226</v>
      </c>
      <c r="AB119" s="139" t="s">
        <v>227</v>
      </c>
      <c r="AC119" s="114" t="b">
        <f t="shared" si="7"/>
        <v>1</v>
      </c>
    </row>
    <row r="120" spans="2:29">
      <c r="B120" s="50" t="s">
        <v>508</v>
      </c>
      <c r="C120" s="2" t="s">
        <v>509</v>
      </c>
      <c r="D120" s="140">
        <f>SUMIF('A-1. 별도FS_19'!$B:$B,CFwp_Korea!B120,'A-1. 별도FS_19'!$D:$D)</f>
        <v>0</v>
      </c>
      <c r="E120" s="140">
        <f>SUMIF('A-1. 별도FS_20'!$B:$B,CFwp_Korea!B120,'A-1. 별도FS_20'!$D:$D)</f>
        <v>0</v>
      </c>
      <c r="F120" s="146">
        <f t="shared" si="12"/>
        <v>0</v>
      </c>
      <c r="G120" s="146">
        <f t="shared" si="13"/>
        <v>0</v>
      </c>
      <c r="H120" s="143"/>
      <c r="I120" s="144"/>
      <c r="J120" s="140"/>
      <c r="K120" s="140"/>
      <c r="L120" s="140"/>
      <c r="M120" s="140"/>
      <c r="N120" s="145"/>
      <c r="O120" s="145">
        <v>0</v>
      </c>
      <c r="P120" s="145">
        <v>0</v>
      </c>
      <c r="Q120" s="145">
        <v>0</v>
      </c>
      <c r="R120" s="145">
        <v>0</v>
      </c>
      <c r="S120" s="140"/>
      <c r="T120" s="145">
        <v>0</v>
      </c>
      <c r="U120" s="145"/>
      <c r="V120" s="145">
        <v>0</v>
      </c>
      <c r="W120" s="145"/>
      <c r="X120" s="145"/>
      <c r="AA120" s="139" t="s">
        <v>508</v>
      </c>
      <c r="AB120" s="139" t="s">
        <v>509</v>
      </c>
      <c r="AC120" s="114" t="b">
        <f t="shared" si="7"/>
        <v>1</v>
      </c>
    </row>
    <row r="121" spans="2:29">
      <c r="B121" s="137"/>
      <c r="C121" s="137" t="s">
        <v>592</v>
      </c>
      <c r="D121" s="138">
        <f>SUM(D122:D130)</f>
        <v>3400236326</v>
      </c>
      <c r="E121" s="138">
        <f>SUM(E122:E130)</f>
        <v>3520748500</v>
      </c>
      <c r="F121" s="154"/>
      <c r="G121" s="154"/>
      <c r="H121" s="138"/>
      <c r="I121" s="149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AA121" s="139"/>
      <c r="AB121" s="139" t="s">
        <v>592</v>
      </c>
      <c r="AC121" s="114" t="b">
        <f t="shared" si="7"/>
        <v>1</v>
      </c>
    </row>
    <row r="122" spans="2:29">
      <c r="B122" s="139" t="s">
        <v>229</v>
      </c>
      <c r="C122" s="139" t="s">
        <v>230</v>
      </c>
      <c r="D122" s="140">
        <f>SUMIF('A-1. 별도FS_19'!$B:$B,CFwp_Korea!B122,'A-1. 별도FS_19'!$D:$D)</f>
        <v>0</v>
      </c>
      <c r="E122" s="140">
        <f>SUMIF('A-1. 별도FS_20'!$B:$B,CFwp_Korea!B122,'A-1. 별도FS_20'!$D:$D)</f>
        <v>0</v>
      </c>
      <c r="F122" s="146">
        <f t="shared" ref="F122:F130" si="16">E122-D122</f>
        <v>0</v>
      </c>
      <c r="G122" s="146">
        <f t="shared" ref="G122:G130" si="17">J122-K122+N122+O122-P122+Q122-R122-T122+V122-F122-W122+X122-Y122+Z122</f>
        <v>0</v>
      </c>
      <c r="H122" s="143"/>
      <c r="I122" s="144"/>
      <c r="J122" s="140">
        <v>0</v>
      </c>
      <c r="K122" s="140"/>
      <c r="L122" s="140"/>
      <c r="M122" s="140"/>
      <c r="N122" s="145">
        <v>0</v>
      </c>
      <c r="O122" s="145">
        <v>0</v>
      </c>
      <c r="P122" s="145">
        <v>0</v>
      </c>
      <c r="Q122" s="145">
        <v>0</v>
      </c>
      <c r="R122" s="145">
        <v>0</v>
      </c>
      <c r="S122" s="140"/>
      <c r="T122" s="145">
        <v>0</v>
      </c>
      <c r="U122" s="145"/>
      <c r="V122" s="145">
        <v>0</v>
      </c>
      <c r="W122" s="145"/>
      <c r="X122" s="145"/>
      <c r="AA122" s="139" t="s">
        <v>229</v>
      </c>
      <c r="AB122" s="139" t="s">
        <v>230</v>
      </c>
      <c r="AC122" s="114" t="b">
        <f t="shared" si="7"/>
        <v>1</v>
      </c>
    </row>
    <row r="123" spans="2:29">
      <c r="B123" s="139" t="s">
        <v>233</v>
      </c>
      <c r="C123" s="139" t="s">
        <v>234</v>
      </c>
      <c r="D123" s="140">
        <f>SUMIF('A-1. 별도FS_19'!$B:$B,CFwp_Korea!B123,'A-1. 별도FS_19'!$D:$D)</f>
        <v>0</v>
      </c>
      <c r="E123" s="140">
        <f>SUMIF('A-1. 별도FS_20'!$B:$B,CFwp_Korea!B123,'A-1. 별도FS_20'!$D:$D)</f>
        <v>0</v>
      </c>
      <c r="F123" s="146">
        <f t="shared" si="16"/>
        <v>0</v>
      </c>
      <c r="G123" s="146">
        <f t="shared" si="17"/>
        <v>0</v>
      </c>
      <c r="H123" s="143"/>
      <c r="I123" s="144"/>
      <c r="J123" s="140"/>
      <c r="K123" s="140"/>
      <c r="L123" s="140"/>
      <c r="M123" s="140"/>
      <c r="N123" s="145">
        <v>0</v>
      </c>
      <c r="O123" s="145">
        <v>0</v>
      </c>
      <c r="P123" s="145">
        <v>0</v>
      </c>
      <c r="Q123" s="145">
        <v>0</v>
      </c>
      <c r="R123" s="145">
        <v>0</v>
      </c>
      <c r="S123" s="140"/>
      <c r="T123" s="145">
        <v>0</v>
      </c>
      <c r="U123" s="145"/>
      <c r="V123" s="145">
        <v>0</v>
      </c>
      <c r="W123" s="145"/>
      <c r="X123" s="145"/>
      <c r="AA123" s="139" t="s">
        <v>233</v>
      </c>
      <c r="AB123" s="139" t="s">
        <v>234</v>
      </c>
      <c r="AC123" s="114" t="b">
        <f t="shared" si="7"/>
        <v>1</v>
      </c>
    </row>
    <row r="124" spans="2:29">
      <c r="B124" s="139" t="s">
        <v>237</v>
      </c>
      <c r="C124" s="139" t="s">
        <v>238</v>
      </c>
      <c r="D124" s="140">
        <f>SUMIF('A-1. 별도FS_19'!$B:$B,CFwp_Korea!B124,'A-1. 별도FS_19'!$D:$D)</f>
        <v>5000000</v>
      </c>
      <c r="E124" s="140">
        <f>SUMIF('A-1. 별도FS_20'!$B:$B,CFwp_Korea!B124,'A-1. 별도FS_20'!$D:$D)</f>
        <v>0</v>
      </c>
      <c r="F124" s="146">
        <f t="shared" si="16"/>
        <v>-5000000</v>
      </c>
      <c r="G124" s="146">
        <f t="shared" si="17"/>
        <v>0</v>
      </c>
      <c r="H124" s="143"/>
      <c r="I124" s="144"/>
      <c r="J124" s="140"/>
      <c r="K124" s="140"/>
      <c r="L124" s="140"/>
      <c r="M124" s="140"/>
      <c r="N124" s="145">
        <v>0</v>
      </c>
      <c r="O124" s="145">
        <v>0</v>
      </c>
      <c r="P124" s="145">
        <v>0</v>
      </c>
      <c r="Q124" s="145">
        <v>0</v>
      </c>
      <c r="R124" s="145">
        <v>5000000</v>
      </c>
      <c r="S124" s="140"/>
      <c r="T124" s="145">
        <v>0</v>
      </c>
      <c r="U124" s="145"/>
      <c r="V124" s="145">
        <v>0</v>
      </c>
      <c r="W124" s="145"/>
      <c r="X124" s="145"/>
      <c r="AA124" s="139" t="s">
        <v>237</v>
      </c>
      <c r="AB124" s="139" t="s">
        <v>238</v>
      </c>
      <c r="AC124" s="114" t="b">
        <f t="shared" si="7"/>
        <v>1</v>
      </c>
    </row>
    <row r="125" spans="2:29">
      <c r="B125" s="37" t="s">
        <v>510</v>
      </c>
      <c r="C125" s="2" t="s">
        <v>511</v>
      </c>
      <c r="D125" s="140">
        <f>SUMIF('A-1. 별도FS_19'!$B:$B,CFwp_Korea!B125,'A-1. 별도FS_19'!$D:$D)</f>
        <v>0</v>
      </c>
      <c r="E125" s="140">
        <f>SUMIF('A-1. 별도FS_20'!$B:$B,CFwp_Korea!B125,'A-1. 별도FS_20'!$D:$D)</f>
        <v>0</v>
      </c>
      <c r="F125" s="146">
        <f t="shared" si="16"/>
        <v>0</v>
      </c>
      <c r="G125" s="146">
        <f t="shared" si="17"/>
        <v>0</v>
      </c>
      <c r="H125" s="143"/>
      <c r="I125" s="144"/>
      <c r="J125" s="140"/>
      <c r="K125" s="140"/>
      <c r="L125" s="140"/>
      <c r="M125" s="140"/>
      <c r="N125" s="145">
        <v>0</v>
      </c>
      <c r="O125" s="145">
        <v>0</v>
      </c>
      <c r="P125" s="145">
        <v>0</v>
      </c>
      <c r="Q125" s="145">
        <v>0</v>
      </c>
      <c r="R125" s="145">
        <v>0</v>
      </c>
      <c r="S125" s="140"/>
      <c r="T125" s="145">
        <v>0</v>
      </c>
      <c r="U125" s="145"/>
      <c r="V125" s="145">
        <v>0</v>
      </c>
      <c r="W125" s="145"/>
      <c r="X125" s="145"/>
      <c r="AA125" s="139" t="s">
        <v>510</v>
      </c>
      <c r="AB125" s="139" t="s">
        <v>511</v>
      </c>
      <c r="AC125" s="114" t="b">
        <f t="shared" si="7"/>
        <v>1</v>
      </c>
    </row>
    <row r="126" spans="2:29">
      <c r="B126" s="139" t="s">
        <v>241</v>
      </c>
      <c r="C126" s="139" t="s">
        <v>242</v>
      </c>
      <c r="D126" s="140">
        <f>SUMIF('A-1. 별도FS_19'!$B:$B,CFwp_Korea!B126,'A-1. 별도FS_19'!$D:$D)</f>
        <v>0</v>
      </c>
      <c r="E126" s="140">
        <f>SUMIF('A-1. 별도FS_20'!$B:$B,CFwp_Korea!B126,'A-1. 별도FS_20'!$D:$D)</f>
        <v>0</v>
      </c>
      <c r="F126" s="146">
        <f t="shared" si="16"/>
        <v>0</v>
      </c>
      <c r="G126" s="146">
        <f t="shared" si="17"/>
        <v>0</v>
      </c>
      <c r="H126" s="143"/>
      <c r="I126" s="144"/>
      <c r="J126" s="140"/>
      <c r="K126" s="140"/>
      <c r="L126" s="140"/>
      <c r="M126" s="140"/>
      <c r="N126" s="145">
        <v>0</v>
      </c>
      <c r="O126" s="145">
        <v>0</v>
      </c>
      <c r="P126" s="145">
        <v>0</v>
      </c>
      <c r="Q126" s="145">
        <v>0</v>
      </c>
      <c r="R126" s="145">
        <v>0</v>
      </c>
      <c r="S126" s="140"/>
      <c r="T126" s="145">
        <v>0</v>
      </c>
      <c r="U126" s="145"/>
      <c r="V126" s="145">
        <v>0</v>
      </c>
      <c r="W126" s="145"/>
      <c r="X126" s="145"/>
      <c r="AA126" s="139" t="s">
        <v>241</v>
      </c>
      <c r="AB126" s="139" t="s">
        <v>242</v>
      </c>
      <c r="AC126" s="114" t="b">
        <f t="shared" si="7"/>
        <v>1</v>
      </c>
    </row>
    <row r="127" spans="2:29">
      <c r="B127" s="139" t="s">
        <v>243</v>
      </c>
      <c r="C127" s="139" t="s">
        <v>244</v>
      </c>
      <c r="D127" s="140">
        <f>SUMIF('A-1. 별도FS_19'!$B:$B,CFwp_Korea!B127,'A-1. 별도FS_19'!$D:$D)</f>
        <v>25303266</v>
      </c>
      <c r="E127" s="140">
        <f>SUMIF('A-1. 별도FS_20'!$B:$B,CFwp_Korea!B127,'A-1. 별도FS_20'!$D:$D)</f>
        <v>31747682</v>
      </c>
      <c r="F127" s="146">
        <f t="shared" si="16"/>
        <v>6444416</v>
      </c>
      <c r="G127" s="146">
        <f t="shared" si="17"/>
        <v>0</v>
      </c>
      <c r="H127" s="143" t="s">
        <v>246</v>
      </c>
      <c r="I127" s="144">
        <v>15624416</v>
      </c>
      <c r="J127" s="140">
        <v>15624416</v>
      </c>
      <c r="K127" s="140"/>
      <c r="L127" s="140">
        <v>-9180000</v>
      </c>
      <c r="M127" s="140"/>
      <c r="N127" s="145">
        <v>-9180000</v>
      </c>
      <c r="O127" s="145">
        <v>0</v>
      </c>
      <c r="P127" s="145">
        <v>0</v>
      </c>
      <c r="Q127" s="145">
        <v>0</v>
      </c>
      <c r="R127" s="145">
        <v>0</v>
      </c>
      <c r="S127" s="140"/>
      <c r="T127" s="145">
        <v>0</v>
      </c>
      <c r="U127" s="145"/>
      <c r="V127" s="145">
        <v>0</v>
      </c>
      <c r="W127" s="145"/>
      <c r="X127" s="145"/>
      <c r="AA127" s="139" t="s">
        <v>243</v>
      </c>
      <c r="AB127" s="139" t="s">
        <v>244</v>
      </c>
      <c r="AC127" s="114" t="b">
        <f t="shared" si="7"/>
        <v>1</v>
      </c>
    </row>
    <row r="128" spans="2:29">
      <c r="B128" s="139" t="s">
        <v>247</v>
      </c>
      <c r="C128" s="139" t="s">
        <v>248</v>
      </c>
      <c r="D128" s="140">
        <f>SUMIF('A-1. 별도FS_19'!$B:$B,CFwp_Korea!B128,'A-1. 별도FS_19'!$D:$D)</f>
        <v>50916000</v>
      </c>
      <c r="E128" s="140">
        <f>SUMIF('A-1. 별도FS_20'!$B:$B,CFwp_Korea!B128,'A-1. 별도FS_20'!$D:$D)</f>
        <v>213917520</v>
      </c>
      <c r="F128" s="146">
        <f t="shared" si="16"/>
        <v>163001520</v>
      </c>
      <c r="G128" s="146">
        <f t="shared" si="17"/>
        <v>0</v>
      </c>
      <c r="H128" s="143"/>
      <c r="I128" s="144"/>
      <c r="J128" s="140">
        <v>0</v>
      </c>
      <c r="K128" s="140"/>
      <c r="L128" s="140"/>
      <c r="M128" s="140"/>
      <c r="N128" s="145">
        <v>0</v>
      </c>
      <c r="O128" s="145">
        <v>0</v>
      </c>
      <c r="P128" s="145">
        <v>0</v>
      </c>
      <c r="Q128" s="145">
        <v>0</v>
      </c>
      <c r="R128" s="145">
        <v>0</v>
      </c>
      <c r="S128" s="140"/>
      <c r="T128" s="145">
        <v>75090840</v>
      </c>
      <c r="U128" s="145"/>
      <c r="V128" s="145">
        <v>238092360</v>
      </c>
      <c r="W128" s="145"/>
      <c r="X128" s="145"/>
      <c r="AA128" s="134" t="s">
        <v>247</v>
      </c>
      <c r="AB128" s="134" t="s">
        <v>248</v>
      </c>
      <c r="AC128" s="114" t="b">
        <f t="shared" si="7"/>
        <v>1</v>
      </c>
    </row>
    <row r="129" spans="2:29">
      <c r="B129" s="139" t="s">
        <v>250</v>
      </c>
      <c r="C129" s="139" t="s">
        <v>251</v>
      </c>
      <c r="D129" s="140">
        <f>SUMIF('A-1. 별도FS_19'!$B:$B,CFwp_Korea!B129,'A-1. 별도FS_19'!$D:$D)</f>
        <v>-1340414</v>
      </c>
      <c r="E129" s="140">
        <f>SUMIF('A-1. 별도FS_20'!$B:$B,CFwp_Korea!B129,'A-1. 별도FS_20'!$D:$D)</f>
        <v>-7302942</v>
      </c>
      <c r="F129" s="146">
        <f t="shared" si="16"/>
        <v>-5962528</v>
      </c>
      <c r="G129" s="146">
        <f t="shared" si="17"/>
        <v>0</v>
      </c>
      <c r="H129" s="143" t="s">
        <v>950</v>
      </c>
      <c r="I129" s="144">
        <v>6205823</v>
      </c>
      <c r="J129" s="140">
        <v>6205823</v>
      </c>
      <c r="K129" s="140"/>
      <c r="L129" s="140"/>
      <c r="M129" s="140"/>
      <c r="N129" s="145">
        <v>0</v>
      </c>
      <c r="O129" s="145">
        <v>0</v>
      </c>
      <c r="P129" s="145">
        <v>0</v>
      </c>
      <c r="Q129" s="145">
        <v>0</v>
      </c>
      <c r="R129" s="145">
        <v>0</v>
      </c>
      <c r="S129" s="140"/>
      <c r="T129" s="145">
        <v>12168351</v>
      </c>
      <c r="U129" s="145"/>
      <c r="V129" s="145">
        <v>0</v>
      </c>
      <c r="W129" s="145"/>
      <c r="X129" s="145"/>
      <c r="AA129" s="134" t="s">
        <v>250</v>
      </c>
      <c r="AB129" s="134" t="s">
        <v>251</v>
      </c>
      <c r="AC129" s="114" t="b">
        <f t="shared" si="7"/>
        <v>1</v>
      </c>
    </row>
    <row r="130" spans="2:29">
      <c r="B130" s="139" t="s">
        <v>906</v>
      </c>
      <c r="C130" s="139" t="s">
        <v>908</v>
      </c>
      <c r="D130" s="140">
        <f>SUMIF('A-1. 별도FS_19'!$B:$B,CFwp_Korea!B130,'A-1. 별도FS_19'!$D:$D)</f>
        <v>3320357474</v>
      </c>
      <c r="E130" s="140">
        <f>SUMIF('A-1. 별도FS_20'!$B:$B,CFwp_Korea!B130,'A-1. 별도FS_20'!$D:$D)</f>
        <v>3282386240</v>
      </c>
      <c r="F130" s="146">
        <f t="shared" si="16"/>
        <v>-37971234</v>
      </c>
      <c r="G130" s="146">
        <f t="shared" si="17"/>
        <v>781135343</v>
      </c>
      <c r="H130" s="143" t="s">
        <v>461</v>
      </c>
      <c r="I130" s="144">
        <v>743164109</v>
      </c>
      <c r="J130" s="140">
        <v>743164109</v>
      </c>
      <c r="K130" s="140"/>
      <c r="L130" s="140"/>
      <c r="M130" s="140"/>
      <c r="N130" s="145">
        <v>0</v>
      </c>
      <c r="O130" s="145">
        <v>0</v>
      </c>
      <c r="P130" s="145">
        <v>0</v>
      </c>
      <c r="Q130" s="145">
        <v>0</v>
      </c>
      <c r="R130" s="145">
        <v>0</v>
      </c>
      <c r="S130" s="140"/>
      <c r="T130" s="145">
        <v>0</v>
      </c>
      <c r="U130" s="145"/>
      <c r="V130" s="145">
        <v>0</v>
      </c>
      <c r="W130" s="145"/>
      <c r="X130" s="145"/>
      <c r="AA130" s="137" t="s">
        <v>906</v>
      </c>
      <c r="AB130" s="137" t="s">
        <v>908</v>
      </c>
      <c r="AC130" s="114" t="b">
        <f t="shared" si="7"/>
        <v>1</v>
      </c>
    </row>
    <row r="131" spans="2:29">
      <c r="B131" s="134"/>
      <c r="C131" s="134" t="s">
        <v>252</v>
      </c>
      <c r="D131" s="136">
        <f>D121+D101</f>
        <v>20276844957</v>
      </c>
      <c r="E131" s="136">
        <f>E121+E101</f>
        <v>187528614175</v>
      </c>
      <c r="F131" s="152"/>
      <c r="G131" s="152"/>
      <c r="H131" s="136"/>
      <c r="I131" s="153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AA131" s="139"/>
      <c r="AB131" s="139" t="s">
        <v>252</v>
      </c>
      <c r="AC131" s="114" t="b">
        <f t="shared" si="7"/>
        <v>1</v>
      </c>
    </row>
    <row r="132" spans="2:29">
      <c r="B132" s="134"/>
      <c r="C132" s="134" t="s">
        <v>253</v>
      </c>
      <c r="D132" s="136"/>
      <c r="E132" s="136"/>
      <c r="F132" s="152"/>
      <c r="G132" s="152"/>
      <c r="H132" s="136"/>
      <c r="I132" s="153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AA132" s="139"/>
      <c r="AB132" s="139" t="s">
        <v>253</v>
      </c>
      <c r="AC132" s="114" t="b">
        <f t="shared" si="7"/>
        <v>1</v>
      </c>
    </row>
    <row r="133" spans="2:29">
      <c r="B133" s="137"/>
      <c r="C133" s="137" t="s">
        <v>259</v>
      </c>
      <c r="D133" s="138">
        <f>SUM(D134:D135)</f>
        <v>2923626500</v>
      </c>
      <c r="E133" s="138">
        <f>SUM(E134:E135)</f>
        <v>2923626500</v>
      </c>
      <c r="F133" s="154"/>
      <c r="G133" s="154"/>
      <c r="H133" s="138"/>
      <c r="I133" s="149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AA133" s="137"/>
      <c r="AB133" s="137" t="s">
        <v>259</v>
      </c>
      <c r="AC133" s="114" t="b">
        <f t="shared" si="7"/>
        <v>1</v>
      </c>
    </row>
    <row r="134" spans="2:29">
      <c r="B134" s="139" t="s">
        <v>256</v>
      </c>
      <c r="C134" s="139" t="s">
        <v>257</v>
      </c>
      <c r="D134" s="140">
        <f>SUMIF('A-1. 별도FS_19'!$B:$B,CFwp_Korea!B134,'A-1. 별도FS_19'!$D:$D)</f>
        <v>2923626500</v>
      </c>
      <c r="E134" s="140">
        <f>SUMIF('A-1. 별도FS_20'!$B:$B,CFwp_Korea!B134,'A-1. 별도FS_20'!$D:$D)</f>
        <v>2923626500</v>
      </c>
      <c r="F134" s="146">
        <f>E134-D134</f>
        <v>0</v>
      </c>
      <c r="G134" s="146">
        <f t="shared" ref="G134:G135" si="18">J134-K134+N134+O134-P134+Q134-R134-T134+V134-F134-W134+X134-Y134+Z134</f>
        <v>0</v>
      </c>
      <c r="H134" s="143"/>
      <c r="I134" s="144"/>
      <c r="J134" s="140"/>
      <c r="K134" s="140"/>
      <c r="L134" s="140"/>
      <c r="M134" s="140"/>
      <c r="N134" s="145">
        <v>0</v>
      </c>
      <c r="O134" s="145">
        <v>0</v>
      </c>
      <c r="P134" s="145">
        <v>0</v>
      </c>
      <c r="Q134" s="145">
        <v>0</v>
      </c>
      <c r="R134" s="145">
        <v>0</v>
      </c>
      <c r="S134" s="140"/>
      <c r="T134" s="145">
        <v>0</v>
      </c>
      <c r="U134" s="145"/>
      <c r="V134" s="145">
        <v>0</v>
      </c>
      <c r="W134" s="145"/>
      <c r="X134" s="145"/>
      <c r="AA134" s="139" t="s">
        <v>256</v>
      </c>
      <c r="AB134" s="139" t="s">
        <v>257</v>
      </c>
      <c r="AC134" s="114" t="b">
        <f t="shared" si="7"/>
        <v>1</v>
      </c>
    </row>
    <row r="135" spans="2:29">
      <c r="B135" s="139" t="s">
        <v>909</v>
      </c>
      <c r="C135" s="139" t="s">
        <v>594</v>
      </c>
      <c r="D135" s="140">
        <f>SUMIF('A-1. 별도FS_19'!$B:$B,CFwp_Korea!B135,'A-1. 별도FS_19'!$D:$D)</f>
        <v>0</v>
      </c>
      <c r="E135" s="140">
        <f>SUMIF('A-1. 별도FS_20'!$B:$B,CFwp_Korea!B135,'A-1. 별도FS_20'!$D:$D)</f>
        <v>0</v>
      </c>
      <c r="F135" s="146">
        <f>E135-D135</f>
        <v>0</v>
      </c>
      <c r="G135" s="146">
        <f t="shared" si="18"/>
        <v>0</v>
      </c>
      <c r="H135" s="143"/>
      <c r="I135" s="144"/>
      <c r="J135" s="140"/>
      <c r="K135" s="140"/>
      <c r="L135" s="140"/>
      <c r="M135" s="140"/>
      <c r="N135" s="145">
        <v>0</v>
      </c>
      <c r="O135" s="145">
        <v>0</v>
      </c>
      <c r="P135" s="145">
        <v>0</v>
      </c>
      <c r="Q135" s="145">
        <v>0</v>
      </c>
      <c r="R135" s="145">
        <v>0</v>
      </c>
      <c r="S135" s="140"/>
      <c r="T135" s="145">
        <v>0</v>
      </c>
      <c r="U135" s="145"/>
      <c r="V135" s="145">
        <v>0</v>
      </c>
      <c r="W135" s="145"/>
      <c r="X135" s="145"/>
      <c r="AA135" s="139" t="s">
        <v>909</v>
      </c>
      <c r="AB135" s="139" t="s">
        <v>594</v>
      </c>
      <c r="AC135" s="114" t="b">
        <f t="shared" si="7"/>
        <v>1</v>
      </c>
    </row>
    <row r="136" spans="2:29">
      <c r="B136" s="137"/>
      <c r="C136" s="137" t="s">
        <v>264</v>
      </c>
      <c r="D136" s="138">
        <f>SUM(D137:D139)</f>
        <v>55731835040</v>
      </c>
      <c r="E136" s="138">
        <f>SUM(E137:E139)</f>
        <v>55731835040</v>
      </c>
      <c r="F136" s="154"/>
      <c r="G136" s="154"/>
      <c r="H136" s="138"/>
      <c r="I136" s="149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AA136" s="139"/>
      <c r="AB136" s="139" t="s">
        <v>264</v>
      </c>
      <c r="AC136" s="114" t="b">
        <f t="shared" si="7"/>
        <v>1</v>
      </c>
    </row>
    <row r="137" spans="2:29">
      <c r="B137" s="139" t="s">
        <v>261</v>
      </c>
      <c r="C137" s="139" t="s">
        <v>262</v>
      </c>
      <c r="D137" s="140">
        <f>SUMIF('A-1. 별도FS_19'!$B:$B,CFwp_Korea!B137,'A-1. 별도FS_19'!$D:$D)</f>
        <v>55731835040</v>
      </c>
      <c r="E137" s="140">
        <f>SUMIF('A-1. 별도FS_20'!$B:$B,CFwp_Korea!B137,'A-1. 별도FS_20'!$D:$D)</f>
        <v>55731835040</v>
      </c>
      <c r="F137" s="146">
        <f>E137-D137</f>
        <v>0</v>
      </c>
      <c r="G137" s="146">
        <f t="shared" ref="G137:G150" si="19">J137-K137+N137+O137-P137+Q137-R137-T137+V137-F137-W137+X137-Y137+Z137</f>
        <v>0</v>
      </c>
      <c r="H137" s="143"/>
      <c r="I137" s="144"/>
      <c r="J137" s="140"/>
      <c r="K137" s="140"/>
      <c r="L137" s="140"/>
      <c r="M137" s="140"/>
      <c r="N137" s="145">
        <v>0</v>
      </c>
      <c r="O137" s="145">
        <v>0</v>
      </c>
      <c r="P137" s="145">
        <v>0</v>
      </c>
      <c r="Q137" s="145">
        <v>0</v>
      </c>
      <c r="R137" s="145">
        <v>0</v>
      </c>
      <c r="S137" s="140"/>
      <c r="T137" s="145">
        <v>0</v>
      </c>
      <c r="U137" s="145"/>
      <c r="V137" s="145">
        <v>0</v>
      </c>
      <c r="W137" s="145"/>
      <c r="X137" s="145"/>
      <c r="AA137" s="137" t="s">
        <v>261</v>
      </c>
      <c r="AB137" s="137" t="s">
        <v>262</v>
      </c>
      <c r="AC137" s="114" t="b">
        <f t="shared" si="7"/>
        <v>1</v>
      </c>
    </row>
    <row r="138" spans="2:29">
      <c r="B138" s="139" t="s">
        <v>265</v>
      </c>
      <c r="C138" s="139" t="s">
        <v>266</v>
      </c>
      <c r="D138" s="140">
        <f>SUMIF('A-1. 별도FS_19'!$B:$B,CFwp_Korea!B138,'A-1. 별도FS_19'!$D:$D)</f>
        <v>0</v>
      </c>
      <c r="E138" s="140">
        <f>SUMIF('A-1. 별도FS_20'!$B:$B,CFwp_Korea!B138,'A-1. 별도FS_20'!$D:$D)</f>
        <v>0</v>
      </c>
      <c r="F138" s="146">
        <f>E138-D138</f>
        <v>0</v>
      </c>
      <c r="G138" s="146">
        <f t="shared" si="19"/>
        <v>0</v>
      </c>
      <c r="H138" s="143"/>
      <c r="I138" s="144"/>
      <c r="J138" s="140"/>
      <c r="K138" s="140"/>
      <c r="L138" s="140"/>
      <c r="M138" s="140"/>
      <c r="N138" s="145">
        <v>0</v>
      </c>
      <c r="O138" s="145">
        <v>0</v>
      </c>
      <c r="P138" s="145">
        <v>0</v>
      </c>
      <c r="Q138" s="145">
        <v>0</v>
      </c>
      <c r="R138" s="145">
        <v>0</v>
      </c>
      <c r="S138" s="140"/>
      <c r="T138" s="145">
        <v>0</v>
      </c>
      <c r="U138" s="145"/>
      <c r="V138" s="145">
        <v>0</v>
      </c>
      <c r="W138" s="145"/>
      <c r="X138" s="145"/>
      <c r="AA138" s="139" t="s">
        <v>265</v>
      </c>
      <c r="AB138" s="139" t="s">
        <v>266</v>
      </c>
      <c r="AC138" s="114" t="b">
        <f t="shared" si="7"/>
        <v>1</v>
      </c>
    </row>
    <row r="139" spans="2:29">
      <c r="B139" s="139" t="s">
        <v>267</v>
      </c>
      <c r="C139" s="139" t="s">
        <v>268</v>
      </c>
      <c r="D139" s="140">
        <f>SUMIF('A-1. 별도FS_19'!$B:$B,CFwp_Korea!B139,'A-1. 별도FS_19'!$D:$D)</f>
        <v>0</v>
      </c>
      <c r="E139" s="140">
        <f>SUMIF('A-1. 별도FS_20'!$B:$B,CFwp_Korea!B139,'A-1. 별도FS_20'!$D:$D)</f>
        <v>0</v>
      </c>
      <c r="F139" s="146">
        <f>E139-D139</f>
        <v>0</v>
      </c>
      <c r="G139" s="146">
        <f t="shared" si="19"/>
        <v>0</v>
      </c>
      <c r="H139" s="143"/>
      <c r="I139" s="144"/>
      <c r="J139" s="140"/>
      <c r="K139" s="140"/>
      <c r="L139" s="140"/>
      <c r="M139" s="140"/>
      <c r="N139" s="145">
        <v>0</v>
      </c>
      <c r="O139" s="145">
        <v>0</v>
      </c>
      <c r="P139" s="145">
        <v>0</v>
      </c>
      <c r="Q139" s="145">
        <v>0</v>
      </c>
      <c r="R139" s="145">
        <v>0</v>
      </c>
      <c r="S139" s="140"/>
      <c r="T139" s="145">
        <v>0</v>
      </c>
      <c r="U139" s="145"/>
      <c r="V139" s="145">
        <v>0</v>
      </c>
      <c r="W139" s="145"/>
      <c r="X139" s="145"/>
      <c r="AA139" s="137" t="s">
        <v>267</v>
      </c>
      <c r="AB139" s="137" t="s">
        <v>268</v>
      </c>
      <c r="AC139" s="114" t="b">
        <f t="shared" ref="AC139:AC150" si="20">AA139=B139</f>
        <v>1</v>
      </c>
    </row>
    <row r="140" spans="2:29">
      <c r="B140" s="137"/>
      <c r="C140" s="137" t="s">
        <v>273</v>
      </c>
      <c r="D140" s="138">
        <f>SUM(D141)</f>
        <v>0</v>
      </c>
      <c r="E140" s="138">
        <f>SUM(E141)</f>
        <v>348063905</v>
      </c>
      <c r="F140" s="154"/>
      <c r="G140" s="154"/>
      <c r="H140" s="138"/>
      <c r="I140" s="149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AA140" s="139"/>
      <c r="AB140" s="139" t="s">
        <v>273</v>
      </c>
      <c r="AC140" s="114" t="b">
        <f t="shared" si="20"/>
        <v>1</v>
      </c>
    </row>
    <row r="141" spans="2:29">
      <c r="B141" s="139" t="s">
        <v>270</v>
      </c>
      <c r="C141" s="139" t="s">
        <v>271</v>
      </c>
      <c r="D141" s="140">
        <f>SUMIF('A-1. 별도FS_19'!$B:$B,CFwp_Korea!B141,'A-1. 별도FS_19'!$D:$D)</f>
        <v>0</v>
      </c>
      <c r="E141" s="140">
        <f>SUMIF('A-1. 별도FS_20'!$B:$B,CFwp_Korea!B141,'A-1. 별도FS_20'!$D:$D)</f>
        <v>348063905</v>
      </c>
      <c r="F141" s="146">
        <f>E141-D141</f>
        <v>348063905</v>
      </c>
      <c r="G141" s="146">
        <f t="shared" si="19"/>
        <v>0</v>
      </c>
      <c r="H141" s="143" t="s">
        <v>400</v>
      </c>
      <c r="I141" s="144">
        <v>348063905</v>
      </c>
      <c r="J141" s="140">
        <v>348063905</v>
      </c>
      <c r="K141" s="140"/>
      <c r="L141" s="140"/>
      <c r="M141" s="140"/>
      <c r="N141" s="145"/>
      <c r="O141" s="145">
        <v>0</v>
      </c>
      <c r="P141" s="145">
        <v>0</v>
      </c>
      <c r="Q141" s="145">
        <v>0</v>
      </c>
      <c r="R141" s="145">
        <v>0</v>
      </c>
      <c r="S141" s="140"/>
      <c r="T141" s="145">
        <v>0</v>
      </c>
      <c r="U141" s="145"/>
      <c r="V141" s="145">
        <v>0</v>
      </c>
      <c r="W141" s="145"/>
      <c r="X141" s="145"/>
      <c r="AA141" s="139" t="s">
        <v>270</v>
      </c>
      <c r="AB141" s="139" t="s">
        <v>271</v>
      </c>
      <c r="AC141" s="114" t="b">
        <f t="shared" si="20"/>
        <v>1</v>
      </c>
    </row>
    <row r="142" spans="2:29">
      <c r="B142" s="137"/>
      <c r="C142" s="137" t="s">
        <v>278</v>
      </c>
      <c r="D142" s="138">
        <f>SUM(D143:D145)</f>
        <v>0</v>
      </c>
      <c r="E142" s="138">
        <f>SUM(E143:E145)</f>
        <v>0</v>
      </c>
      <c r="F142" s="154"/>
      <c r="G142" s="154"/>
      <c r="H142" s="138"/>
      <c r="I142" s="149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AA142" s="139"/>
      <c r="AB142" s="139" t="s">
        <v>278</v>
      </c>
      <c r="AC142" s="114" t="b">
        <f t="shared" si="20"/>
        <v>1</v>
      </c>
    </row>
    <row r="143" spans="2:29">
      <c r="B143" s="139" t="s">
        <v>275</v>
      </c>
      <c r="C143" s="139" t="s">
        <v>276</v>
      </c>
      <c r="D143" s="140">
        <f>SUMIF('A-1. 별도FS_19'!$B:$B,CFwp_Korea!B143,'A-1. 별도FS_19'!$D:$D)</f>
        <v>0</v>
      </c>
      <c r="E143" s="140">
        <f>SUMIF('A-1. 별도FS_20'!$B:$B,CFwp_Korea!B143,'A-1. 별도FS_20'!$D:$D)</f>
        <v>0</v>
      </c>
      <c r="F143" s="146">
        <f>E143-D143</f>
        <v>0</v>
      </c>
      <c r="G143" s="146">
        <f t="shared" si="19"/>
        <v>0</v>
      </c>
      <c r="H143" s="143"/>
      <c r="I143" s="144"/>
      <c r="J143" s="140"/>
      <c r="K143" s="140"/>
      <c r="L143" s="140"/>
      <c r="M143" s="140"/>
      <c r="N143" s="145">
        <v>0</v>
      </c>
      <c r="O143" s="145">
        <v>0</v>
      </c>
      <c r="P143" s="145">
        <v>0</v>
      </c>
      <c r="Q143" s="145">
        <v>0</v>
      </c>
      <c r="R143" s="145">
        <v>0</v>
      </c>
      <c r="S143" s="140"/>
      <c r="T143" s="145">
        <v>0</v>
      </c>
      <c r="U143" s="145"/>
      <c r="V143" s="145">
        <v>0</v>
      </c>
      <c r="W143" s="145"/>
      <c r="X143" s="145"/>
      <c r="AA143" s="137" t="s">
        <v>275</v>
      </c>
      <c r="AB143" s="137" t="s">
        <v>276</v>
      </c>
      <c r="AC143" s="114" t="b">
        <f t="shared" si="20"/>
        <v>1</v>
      </c>
    </row>
    <row r="144" spans="2:29">
      <c r="B144" s="139" t="s">
        <v>279</v>
      </c>
      <c r="C144" s="139" t="s">
        <v>280</v>
      </c>
      <c r="D144" s="140">
        <f>SUMIF('A-1. 별도FS_19'!$B:$B,CFwp_Korea!B144,'A-1. 별도FS_19'!$D:$D)</f>
        <v>0</v>
      </c>
      <c r="E144" s="140">
        <f>SUMIF('A-1. 별도FS_20'!$B:$B,CFwp_Korea!B144,'A-1. 별도FS_20'!$D:$D)</f>
        <v>0</v>
      </c>
      <c r="F144" s="146">
        <f t="shared" ref="F144:F145" si="21">E144-D144</f>
        <v>0</v>
      </c>
      <c r="G144" s="146">
        <f t="shared" si="19"/>
        <v>0</v>
      </c>
      <c r="H144" s="143"/>
      <c r="I144" s="144"/>
      <c r="J144" s="140"/>
      <c r="K144" s="140"/>
      <c r="L144" s="140"/>
      <c r="M144" s="140"/>
      <c r="N144" s="145">
        <v>0</v>
      </c>
      <c r="O144" s="145">
        <v>0</v>
      </c>
      <c r="P144" s="145">
        <v>0</v>
      </c>
      <c r="Q144" s="145">
        <v>0</v>
      </c>
      <c r="R144" s="145">
        <v>0</v>
      </c>
      <c r="S144" s="140"/>
      <c r="T144" s="145">
        <v>0</v>
      </c>
      <c r="U144" s="145"/>
      <c r="V144" s="145">
        <v>0</v>
      </c>
      <c r="W144" s="145"/>
      <c r="X144" s="145"/>
      <c r="AA144" s="139" t="s">
        <v>279</v>
      </c>
      <c r="AB144" s="139" t="s">
        <v>280</v>
      </c>
      <c r="AC144" s="114" t="b">
        <f t="shared" si="20"/>
        <v>1</v>
      </c>
    </row>
    <row r="145" spans="2:29">
      <c r="B145" s="139" t="s">
        <v>855</v>
      </c>
      <c r="C145" s="139" t="s">
        <v>856</v>
      </c>
      <c r="D145" s="140">
        <f>SUMIF('A-1. 별도FS_19'!$B:$B,CFwp_Korea!B145,'A-1. 별도FS_19'!$D:$D)</f>
        <v>0</v>
      </c>
      <c r="E145" s="140">
        <f>SUMIF('A-1. 별도FS_20'!$B:$B,CFwp_Korea!B145,'A-1. 별도FS_20'!$D:$D)</f>
        <v>0</v>
      </c>
      <c r="F145" s="146">
        <f t="shared" si="21"/>
        <v>0</v>
      </c>
      <c r="G145" s="146">
        <f t="shared" si="19"/>
        <v>0</v>
      </c>
      <c r="H145" s="143"/>
      <c r="I145" s="144"/>
      <c r="J145" s="140"/>
      <c r="K145" s="140"/>
      <c r="L145" s="140"/>
      <c r="M145" s="140"/>
      <c r="N145" s="145">
        <v>0</v>
      </c>
      <c r="O145" s="145">
        <v>0</v>
      </c>
      <c r="P145" s="145">
        <v>0</v>
      </c>
      <c r="Q145" s="145">
        <v>0</v>
      </c>
      <c r="R145" s="145">
        <v>0</v>
      </c>
      <c r="S145" s="140"/>
      <c r="T145" s="145">
        <v>0</v>
      </c>
      <c r="U145" s="145"/>
      <c r="V145" s="145">
        <v>0</v>
      </c>
      <c r="W145" s="145"/>
      <c r="X145" s="145"/>
      <c r="AA145" s="139" t="s">
        <v>855</v>
      </c>
      <c r="AB145" s="139" t="s">
        <v>856</v>
      </c>
      <c r="AC145" s="114" t="b">
        <f t="shared" si="20"/>
        <v>1</v>
      </c>
    </row>
    <row r="146" spans="2:29">
      <c r="B146" s="137"/>
      <c r="C146" s="137" t="s">
        <v>287</v>
      </c>
      <c r="D146" s="138">
        <f>SUM(D147:D151)</f>
        <v>52256534162</v>
      </c>
      <c r="E146" s="138">
        <f>SUM(E147:E151)</f>
        <v>466321159909.02502</v>
      </c>
      <c r="F146" s="154"/>
      <c r="G146" s="154"/>
      <c r="H146" s="138"/>
      <c r="I146" s="149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AA146" s="139"/>
      <c r="AB146" s="139" t="s">
        <v>287</v>
      </c>
      <c r="AC146" s="114" t="b">
        <f t="shared" si="20"/>
        <v>1</v>
      </c>
    </row>
    <row r="147" spans="2:29">
      <c r="B147" s="139" t="s">
        <v>284</v>
      </c>
      <c r="C147" s="139" t="s">
        <v>285</v>
      </c>
      <c r="D147" s="140">
        <f>SUMIF('A-1. 별도FS_19'!$B:$B,CFwp_Korea!B147,'A-1. 별도FS_19'!$D:$D)</f>
        <v>265000000</v>
      </c>
      <c r="E147" s="140">
        <f>SUMIF('A-1. 별도FS_20'!$B:$B,CFwp_Korea!B147,'A-1. 별도FS_20'!$D:$D)</f>
        <v>265000000</v>
      </c>
      <c r="F147" s="146">
        <f>E147-D147</f>
        <v>0</v>
      </c>
      <c r="G147" s="146">
        <f t="shared" si="19"/>
        <v>0</v>
      </c>
      <c r="H147" s="143"/>
      <c r="I147" s="144"/>
      <c r="J147" s="140"/>
      <c r="K147" s="140"/>
      <c r="L147" s="140"/>
      <c r="M147" s="140"/>
      <c r="N147" s="145">
        <v>0</v>
      </c>
      <c r="O147" s="145">
        <v>0</v>
      </c>
      <c r="P147" s="145">
        <v>0</v>
      </c>
      <c r="Q147" s="145">
        <v>0</v>
      </c>
      <c r="R147" s="145">
        <v>0</v>
      </c>
      <c r="S147" s="140"/>
      <c r="T147" s="145">
        <v>0</v>
      </c>
      <c r="U147" s="145"/>
      <c r="V147" s="145">
        <v>0</v>
      </c>
      <c r="W147" s="145"/>
      <c r="X147" s="145"/>
      <c r="AA147" s="139" t="s">
        <v>284</v>
      </c>
      <c r="AB147" s="139" t="s">
        <v>285</v>
      </c>
      <c r="AC147" s="114" t="b">
        <f t="shared" si="20"/>
        <v>1</v>
      </c>
    </row>
    <row r="148" spans="2:29">
      <c r="B148" s="139" t="s">
        <v>514</v>
      </c>
      <c r="C148" s="139" t="s">
        <v>515</v>
      </c>
      <c r="D148" s="140">
        <f>SUMIF('A-1. 별도FS_19'!$B:$B,CFwp_Korea!B148,'A-1. 별도FS_19'!$D:$D)</f>
        <v>0</v>
      </c>
      <c r="E148" s="140">
        <f>SUMIF('A-1. 별도FS_20'!$B:$B,CFwp_Korea!B148,'A-1. 별도FS_20'!$D:$D)</f>
        <v>0</v>
      </c>
      <c r="F148" s="146">
        <f>E148-D148</f>
        <v>0</v>
      </c>
      <c r="G148" s="146">
        <f t="shared" si="19"/>
        <v>0</v>
      </c>
      <c r="H148" s="143"/>
      <c r="I148" s="144"/>
      <c r="J148" s="140"/>
      <c r="K148" s="140"/>
      <c r="L148" s="140"/>
      <c r="M148" s="140"/>
      <c r="N148" s="145">
        <v>0</v>
      </c>
      <c r="O148" s="145">
        <v>0</v>
      </c>
      <c r="P148" s="145">
        <v>0</v>
      </c>
      <c r="Q148" s="145">
        <v>0</v>
      </c>
      <c r="R148" s="145">
        <v>0</v>
      </c>
      <c r="S148" s="140"/>
      <c r="T148" s="145">
        <v>0</v>
      </c>
      <c r="U148" s="145"/>
      <c r="V148" s="145">
        <v>0</v>
      </c>
      <c r="W148" s="145"/>
      <c r="X148" s="145"/>
      <c r="AA148" s="139" t="s">
        <v>514</v>
      </c>
      <c r="AB148" s="139" t="s">
        <v>515</v>
      </c>
      <c r="AC148" s="114" t="b">
        <f t="shared" si="20"/>
        <v>1</v>
      </c>
    </row>
    <row r="149" spans="2:29">
      <c r="B149" s="139" t="s">
        <v>288</v>
      </c>
      <c r="C149" s="139" t="s">
        <v>289</v>
      </c>
      <c r="D149" s="140">
        <f>SUMIF('A-1. 별도FS_19'!$B:$B,CFwp_Korea!B149,'A-1. 별도FS_19'!$D:$D)</f>
        <v>0</v>
      </c>
      <c r="E149" s="140">
        <f>SUMIF('A-1. 별도FS_20'!$B:$B,CFwp_Korea!B149,'A-1. 별도FS_20'!$D:$D)</f>
        <v>0</v>
      </c>
      <c r="F149" s="146">
        <f>E149-D149</f>
        <v>0</v>
      </c>
      <c r="G149" s="146">
        <f t="shared" si="19"/>
        <v>0</v>
      </c>
      <c r="H149" s="143"/>
      <c r="I149" s="144"/>
      <c r="J149" s="140"/>
      <c r="K149" s="140"/>
      <c r="L149" s="140"/>
      <c r="M149" s="140"/>
      <c r="N149" s="145">
        <v>0</v>
      </c>
      <c r="O149" s="145">
        <v>0</v>
      </c>
      <c r="P149" s="145">
        <v>0</v>
      </c>
      <c r="Q149" s="145">
        <v>0</v>
      </c>
      <c r="R149" s="145">
        <v>0</v>
      </c>
      <c r="S149" s="140"/>
      <c r="T149" s="145">
        <v>0</v>
      </c>
      <c r="U149" s="145"/>
      <c r="V149" s="145">
        <v>0</v>
      </c>
      <c r="W149" s="145"/>
      <c r="X149" s="145"/>
      <c r="AA149" s="134" t="s">
        <v>288</v>
      </c>
      <c r="AB149" s="134" t="s">
        <v>289</v>
      </c>
      <c r="AC149" s="114" t="b">
        <f t="shared" si="20"/>
        <v>1</v>
      </c>
    </row>
    <row r="150" spans="2:29">
      <c r="B150" s="139" t="s">
        <v>290</v>
      </c>
      <c r="C150" s="139" t="s">
        <v>291</v>
      </c>
      <c r="D150" s="140">
        <f>SUMIF('A-1. 별도FS_19'!$B:$B,CFwp_Korea!B150,'A-1. 별도FS_19'!$D:$D)</f>
        <v>20878351446</v>
      </c>
      <c r="E150" s="140">
        <f>SUMIF('A-1. 별도FS_20'!$B:$B,CFwp_Korea!B150,'A-1. 별도FS_20'!$D:$D)</f>
        <v>414064625747.02502</v>
      </c>
      <c r="F150" s="146">
        <f>E150-D150</f>
        <v>393186274301.02502</v>
      </c>
      <c r="G150" s="146">
        <f t="shared" si="19"/>
        <v>20878351446</v>
      </c>
      <c r="H150" s="143" t="s">
        <v>291</v>
      </c>
      <c r="I150" s="348">
        <v>414064625747.02502</v>
      </c>
      <c r="J150" s="140">
        <v>414064625747.02502</v>
      </c>
      <c r="K150" s="140"/>
      <c r="L150" s="140"/>
      <c r="M150" s="140"/>
      <c r="N150" s="145">
        <v>0</v>
      </c>
      <c r="O150" s="145">
        <v>0</v>
      </c>
      <c r="P150" s="145">
        <v>0</v>
      </c>
      <c r="Q150" s="145">
        <v>0</v>
      </c>
      <c r="R150" s="145">
        <v>0</v>
      </c>
      <c r="S150" s="140"/>
      <c r="T150" s="145">
        <v>0</v>
      </c>
      <c r="U150" s="145"/>
      <c r="V150" s="145">
        <v>0</v>
      </c>
      <c r="W150" s="145"/>
      <c r="X150" s="145"/>
      <c r="AA150" s="114" t="s">
        <v>292</v>
      </c>
      <c r="AB150" s="114" t="s">
        <v>293</v>
      </c>
      <c r="AC150" s="114" t="b">
        <f t="shared" si="20"/>
        <v>0</v>
      </c>
    </row>
    <row r="151" spans="2:29">
      <c r="B151" s="139" t="s">
        <v>292</v>
      </c>
      <c r="C151" s="139" t="s">
        <v>293</v>
      </c>
      <c r="D151" s="140">
        <f>SUMIF('A-1. 별도FS_19'!$B:$B,CFwp_Korea!B151,'A-1. 별도FS_19'!$D:$D)</f>
        <v>31113182716</v>
      </c>
      <c r="E151" s="140">
        <f>SUMIF('A-1. 별도FS_20'!$B:$B,CFwp_Korea!B151,'A-1. 별도FS_20'!$D:$D)</f>
        <v>51991534162</v>
      </c>
      <c r="F151" s="146">
        <f>E151-D151</f>
        <v>20878351446</v>
      </c>
      <c r="G151" s="155">
        <f t="shared" ref="G151" si="22">J151-K151+N151+O151-P151+Q151-R151-T151+V151-F151-W151+X151</f>
        <v>-20878351446</v>
      </c>
      <c r="H151" s="143"/>
      <c r="I151" s="144"/>
      <c r="J151" s="140"/>
      <c r="K151" s="140"/>
      <c r="L151" s="140"/>
      <c r="M151" s="140"/>
      <c r="N151" s="145"/>
      <c r="O151" s="145"/>
      <c r="P151" s="145"/>
      <c r="Q151" s="145"/>
      <c r="R151" s="145"/>
      <c r="S151" s="140"/>
      <c r="T151" s="145"/>
      <c r="U151" s="145"/>
      <c r="V151" s="145"/>
      <c r="W151" s="145"/>
      <c r="X151" s="145"/>
    </row>
    <row r="152" spans="2:29">
      <c r="B152" s="134"/>
      <c r="C152" s="134" t="s">
        <v>304</v>
      </c>
      <c r="D152" s="136">
        <f>D133+D136+D140+D146+D142</f>
        <v>110911995702</v>
      </c>
      <c r="E152" s="136">
        <f>E133+E136+E140+E146+E142</f>
        <v>525324685354.02502</v>
      </c>
      <c r="F152" s="152"/>
      <c r="G152" s="152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AB152" s="114" t="s">
        <v>304</v>
      </c>
    </row>
    <row r="153" spans="2:29">
      <c r="B153" s="134"/>
      <c r="C153" s="134" t="s">
        <v>305</v>
      </c>
      <c r="D153" s="136">
        <f>D152+D131</f>
        <v>131188840659</v>
      </c>
      <c r="E153" s="136">
        <f>E152+E131</f>
        <v>712853299529.02502</v>
      </c>
      <c r="F153" s="152"/>
      <c r="G153" s="152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AB153" s="114" t="s">
        <v>305</v>
      </c>
    </row>
    <row r="154" spans="2:29">
      <c r="D154" s="238">
        <f>D153-D100</f>
        <v>0</v>
      </c>
      <c r="E154" s="238">
        <f>E153-E100</f>
        <v>0</v>
      </c>
      <c r="I154" s="115"/>
      <c r="J154" s="115">
        <f t="shared" ref="J154:R154" si="23">SUM(J10:J150)</f>
        <v>563064755288.02502</v>
      </c>
      <c r="K154" s="115">
        <f t="shared" si="23"/>
        <v>600976388.02499998</v>
      </c>
      <c r="L154" s="238">
        <f t="shared" si="23"/>
        <v>-320355145119</v>
      </c>
      <c r="M154" s="115">
        <f t="shared" si="23"/>
        <v>-1121183605</v>
      </c>
      <c r="N154" s="238">
        <f t="shared" si="23"/>
        <v>-321476328724</v>
      </c>
      <c r="O154" s="115">
        <f t="shared" si="23"/>
        <v>8185502867</v>
      </c>
      <c r="P154" s="115">
        <f t="shared" si="23"/>
        <v>120115648301</v>
      </c>
      <c r="Q154" s="115">
        <f t="shared" si="23"/>
        <v>420000000</v>
      </c>
      <c r="R154" s="115">
        <f t="shared" si="23"/>
        <v>12084827840</v>
      </c>
      <c r="T154" s="115">
        <v>49961550305</v>
      </c>
      <c r="V154" s="115">
        <v>49961550305</v>
      </c>
      <c r="W154" s="115">
        <v>0</v>
      </c>
      <c r="X154" s="115">
        <v>0</v>
      </c>
    </row>
    <row r="155" spans="2:29">
      <c r="D155" s="115">
        <f>SUM(D150:D151)</f>
        <v>51991534162</v>
      </c>
      <c r="E155" s="115">
        <f>SUM(E150:E151)</f>
        <v>466056159909.02502</v>
      </c>
      <c r="I155" s="115"/>
      <c r="X155" s="115"/>
    </row>
    <row r="156" spans="2:29">
      <c r="I156" s="115"/>
      <c r="X156" s="115"/>
    </row>
    <row r="157" spans="2:29">
      <c r="B157" s="156"/>
      <c r="C157" s="156"/>
      <c r="D157" s="156" t="s">
        <v>599</v>
      </c>
      <c r="E157" s="157" t="s">
        <v>600</v>
      </c>
      <c r="H157" s="158" t="s">
        <v>713</v>
      </c>
      <c r="I157" s="159" t="s">
        <v>410</v>
      </c>
      <c r="J157" s="160" t="s">
        <v>428</v>
      </c>
      <c r="L157" s="114" t="s">
        <v>410</v>
      </c>
      <c r="M157" s="114" t="s">
        <v>428</v>
      </c>
      <c r="O157" s="114"/>
      <c r="P157" s="114" t="s">
        <v>714</v>
      </c>
      <c r="Q157" s="114" t="s">
        <v>306</v>
      </c>
      <c r="R157" s="114" t="s">
        <v>715</v>
      </c>
      <c r="X157" s="115"/>
    </row>
    <row r="158" spans="2:29">
      <c r="B158" s="114" t="s">
        <v>607</v>
      </c>
      <c r="D158" s="161">
        <f>D159+SUM(D163:D166)</f>
        <v>240987450176</v>
      </c>
      <c r="E158" s="162"/>
      <c r="F158" s="115"/>
      <c r="H158" s="139" t="s">
        <v>18</v>
      </c>
      <c r="I158" s="140">
        <v>0</v>
      </c>
      <c r="J158" s="140">
        <v>384991529</v>
      </c>
      <c r="K158" s="114" t="s">
        <v>608</v>
      </c>
      <c r="L158" s="163">
        <v>0</v>
      </c>
      <c r="M158" s="163">
        <v>384991529</v>
      </c>
      <c r="O158" s="114" t="s">
        <v>441</v>
      </c>
      <c r="P158" s="164">
        <v>37557679</v>
      </c>
      <c r="Q158" s="164">
        <v>37557679</v>
      </c>
      <c r="R158" s="164">
        <v>0</v>
      </c>
      <c r="X158" s="115"/>
    </row>
    <row r="159" spans="2:29">
      <c r="B159" s="114" t="s">
        <v>609</v>
      </c>
      <c r="D159" s="161">
        <f>SUM(D160:D162)</f>
        <v>242108633781</v>
      </c>
      <c r="E159" s="162"/>
      <c r="F159" s="115"/>
      <c r="H159" s="139" t="s">
        <v>34</v>
      </c>
      <c r="I159" s="140">
        <v>0</v>
      </c>
      <c r="J159" s="140">
        <v>3249273607</v>
      </c>
      <c r="K159" s="114" t="s">
        <v>34</v>
      </c>
      <c r="L159" s="163">
        <v>0</v>
      </c>
      <c r="M159" s="163">
        <v>3249273607</v>
      </c>
      <c r="O159" s="114" t="s">
        <v>448</v>
      </c>
      <c r="P159" s="164">
        <v>165715444</v>
      </c>
      <c r="Q159" s="164">
        <v>172627980</v>
      </c>
      <c r="R159" s="164">
        <v>-6912536</v>
      </c>
      <c r="X159" s="115"/>
    </row>
    <row r="160" spans="2:29">
      <c r="B160" s="114" t="s">
        <v>610</v>
      </c>
      <c r="D160" s="115">
        <f>I150</f>
        <v>414064625747.02502</v>
      </c>
      <c r="E160" s="162"/>
      <c r="F160" s="115"/>
      <c r="H160" s="139" t="s">
        <v>52</v>
      </c>
      <c r="I160" s="140">
        <v>0</v>
      </c>
      <c r="J160" s="140">
        <v>1635565</v>
      </c>
      <c r="K160" s="114" t="s">
        <v>52</v>
      </c>
      <c r="L160" s="163">
        <v>0</v>
      </c>
      <c r="M160" s="163">
        <v>1635565</v>
      </c>
      <c r="X160" s="115"/>
    </row>
    <row r="161" spans="2:30">
      <c r="B161" s="114" t="s">
        <v>612</v>
      </c>
      <c r="D161" s="115">
        <f>J154-K154-J150</f>
        <v>148399153152.97498</v>
      </c>
      <c r="E161" s="162"/>
      <c r="F161" s="115"/>
      <c r="H161" s="139" t="s">
        <v>189</v>
      </c>
      <c r="I161" s="140">
        <v>18069188</v>
      </c>
      <c r="J161" s="140"/>
      <c r="K161" s="114" t="s">
        <v>189</v>
      </c>
      <c r="L161" s="163">
        <v>18069188</v>
      </c>
      <c r="M161" s="163">
        <v>0</v>
      </c>
      <c r="X161" s="115"/>
    </row>
    <row r="162" spans="2:30">
      <c r="B162" s="114" t="s">
        <v>613</v>
      </c>
      <c r="D162" s="115">
        <f>N154-SUM(D163:D166)</f>
        <v>-320355145119</v>
      </c>
      <c r="E162" s="162"/>
      <c r="F162" s="115"/>
      <c r="G162" s="163"/>
      <c r="H162" s="139" t="s">
        <v>195</v>
      </c>
      <c r="I162" s="140">
        <v>105998</v>
      </c>
      <c r="J162" s="140"/>
      <c r="K162" s="114" t="s">
        <v>195</v>
      </c>
      <c r="L162" s="163">
        <v>105998</v>
      </c>
      <c r="M162" s="163">
        <v>0</v>
      </c>
    </row>
    <row r="163" spans="2:30">
      <c r="B163" s="114" t="s">
        <v>614</v>
      </c>
      <c r="D163" s="115">
        <f>M24</f>
        <v>37557679</v>
      </c>
      <c r="E163" s="162"/>
      <c r="F163" s="115"/>
      <c r="H163" s="165" t="s">
        <v>716</v>
      </c>
      <c r="I163" s="166">
        <v>18175186</v>
      </c>
      <c r="J163" s="166">
        <v>3635900701</v>
      </c>
      <c r="L163" s="161">
        <v>18175186</v>
      </c>
      <c r="M163" s="161">
        <v>3635900701</v>
      </c>
    </row>
    <row r="164" spans="2:30">
      <c r="B164" s="114" t="s">
        <v>616</v>
      </c>
      <c r="D164" s="115">
        <f>M115</f>
        <v>-165715444</v>
      </c>
      <c r="E164" s="162"/>
      <c r="F164" s="115"/>
      <c r="H164" s="114" t="s">
        <v>717</v>
      </c>
      <c r="I164" s="115">
        <v>18175186</v>
      </c>
      <c r="J164" s="115">
        <v>3635900701</v>
      </c>
      <c r="L164" s="238">
        <v>0</v>
      </c>
      <c r="M164" s="238">
        <v>0</v>
      </c>
    </row>
    <row r="165" spans="2:30">
      <c r="B165" s="114" t="s">
        <v>618</v>
      </c>
      <c r="D165" s="115"/>
      <c r="E165" s="162"/>
      <c r="F165" s="115"/>
      <c r="H165" s="114" t="s">
        <v>718</v>
      </c>
      <c r="I165" s="167">
        <v>0</v>
      </c>
      <c r="J165" s="167">
        <v>0</v>
      </c>
    </row>
    <row r="166" spans="2:30">
      <c r="B166" s="114" t="s">
        <v>620</v>
      </c>
      <c r="D166" s="115">
        <f>M114+M130</f>
        <v>-993025840</v>
      </c>
      <c r="E166" s="162"/>
      <c r="F166" s="115"/>
    </row>
    <row r="167" spans="2:30">
      <c r="D167" s="115"/>
      <c r="E167" s="162"/>
      <c r="F167" s="115"/>
    </row>
    <row r="168" spans="2:30">
      <c r="B168" s="114" t="s">
        <v>621</v>
      </c>
      <c r="D168" s="115">
        <f>D169-D170</f>
        <v>-111930145434</v>
      </c>
      <c r="E168" s="162"/>
      <c r="F168" s="115"/>
      <c r="H168" s="160" t="s">
        <v>356</v>
      </c>
      <c r="I168" s="160" t="s">
        <v>719</v>
      </c>
      <c r="J168" s="160" t="s">
        <v>720</v>
      </c>
      <c r="K168" s="160" t="s">
        <v>721</v>
      </c>
      <c r="L168" s="160" t="s">
        <v>716</v>
      </c>
    </row>
    <row r="169" spans="2:30">
      <c r="B169" s="114" t="s">
        <v>627</v>
      </c>
      <c r="D169" s="115">
        <f>O154+W10</f>
        <v>8185502867</v>
      </c>
      <c r="E169" s="162"/>
      <c r="F169" s="115"/>
      <c r="G169" s="168"/>
      <c r="H169" s="146" t="s">
        <v>131</v>
      </c>
      <c r="I169" s="140"/>
      <c r="J169" s="169">
        <v>294964997</v>
      </c>
      <c r="K169" s="169"/>
      <c r="L169" s="140">
        <v>294964997</v>
      </c>
      <c r="AA169" s="115"/>
      <c r="AB169" s="115"/>
      <c r="AC169" s="115"/>
    </row>
    <row r="170" spans="2:30">
      <c r="B170" s="114" t="s">
        <v>628</v>
      </c>
      <c r="D170" s="115">
        <f>P154</f>
        <v>120115648301</v>
      </c>
      <c r="E170" s="162"/>
      <c r="F170" s="115"/>
      <c r="G170" s="168"/>
      <c r="H170" s="146" t="s">
        <v>135</v>
      </c>
      <c r="I170" s="140"/>
      <c r="J170" s="169">
        <v>1182084</v>
      </c>
      <c r="K170" s="169"/>
      <c r="L170" s="140">
        <v>1182084</v>
      </c>
      <c r="AA170" s="115"/>
      <c r="AB170" s="115"/>
      <c r="AC170" s="115"/>
    </row>
    <row r="171" spans="2:30">
      <c r="D171" s="115"/>
      <c r="E171" s="162"/>
      <c r="F171" s="115"/>
      <c r="G171" s="168"/>
      <c r="H171" s="146" t="s">
        <v>139</v>
      </c>
      <c r="I171" s="140"/>
      <c r="J171" s="169">
        <v>987680138</v>
      </c>
      <c r="K171" s="169"/>
      <c r="L171" s="140">
        <v>987680138</v>
      </c>
      <c r="AA171" s="115"/>
      <c r="AB171" s="115"/>
      <c r="AC171" s="115"/>
      <c r="AD171" s="115"/>
    </row>
    <row r="172" spans="2:30">
      <c r="B172" s="114" t="s">
        <v>631</v>
      </c>
      <c r="D172" s="115">
        <f>D173-D174</f>
        <v>-11664827840</v>
      </c>
      <c r="E172" s="162"/>
      <c r="F172" s="115"/>
      <c r="G172" s="168"/>
      <c r="H172" s="146" t="s">
        <v>145</v>
      </c>
      <c r="I172" s="140"/>
      <c r="J172" s="169">
        <v>7659053</v>
      </c>
      <c r="K172" s="169"/>
      <c r="L172" s="140">
        <v>7659053</v>
      </c>
      <c r="AA172" s="115"/>
      <c r="AB172" s="115"/>
      <c r="AC172" s="115"/>
      <c r="AD172" s="115"/>
    </row>
    <row r="173" spans="2:30" s="115" customFormat="1">
      <c r="B173" s="114" t="s">
        <v>633</v>
      </c>
      <c r="C173" s="114"/>
      <c r="D173" s="115">
        <f>Q154</f>
        <v>420000000</v>
      </c>
      <c r="E173" s="162"/>
      <c r="G173" s="114"/>
      <c r="H173" s="146" t="s">
        <v>149</v>
      </c>
      <c r="I173" s="140"/>
      <c r="J173" s="169">
        <v>20033762</v>
      </c>
      <c r="K173" s="169"/>
      <c r="L173" s="140">
        <v>20033762</v>
      </c>
      <c r="M173" s="114"/>
      <c r="X173" s="114"/>
      <c r="Y173" s="114"/>
      <c r="Z173" s="114"/>
    </row>
    <row r="174" spans="2:30" s="115" customFormat="1">
      <c r="B174" s="114" t="s">
        <v>635</v>
      </c>
      <c r="C174" s="114"/>
      <c r="D174" s="115">
        <f>R154</f>
        <v>12084827840</v>
      </c>
      <c r="E174" s="162"/>
      <c r="G174" s="114"/>
      <c r="H174" s="146" t="s">
        <v>155</v>
      </c>
      <c r="I174" s="140"/>
      <c r="J174" s="169">
        <v>185893939</v>
      </c>
      <c r="K174" s="169"/>
      <c r="L174" s="140">
        <v>185893939</v>
      </c>
      <c r="M174" s="114"/>
      <c r="X174" s="114"/>
      <c r="Y174" s="114"/>
      <c r="Z174" s="114"/>
    </row>
    <row r="175" spans="2:30" s="115" customFormat="1">
      <c r="B175" s="114"/>
      <c r="C175" s="114"/>
      <c r="E175" s="162"/>
      <c r="G175" s="114"/>
      <c r="H175" s="146" t="s">
        <v>161</v>
      </c>
      <c r="I175" s="140"/>
      <c r="J175" s="169"/>
      <c r="K175" s="169"/>
      <c r="L175" s="140">
        <v>230546471</v>
      </c>
      <c r="M175" s="114"/>
      <c r="X175" s="114"/>
      <c r="Y175" s="114"/>
      <c r="Z175" s="114"/>
    </row>
    <row r="176" spans="2:30" s="115" customFormat="1" ht="12.75" thickBot="1">
      <c r="B176" s="114" t="s">
        <v>638</v>
      </c>
      <c r="C176" s="114"/>
      <c r="D176" s="115">
        <f>D158+D168+D172</f>
        <v>117392476902</v>
      </c>
      <c r="E176" s="162"/>
      <c r="G176" s="114"/>
      <c r="H176" s="146" t="s">
        <v>165</v>
      </c>
      <c r="I176" s="140">
        <v>76168625</v>
      </c>
      <c r="J176" s="169"/>
      <c r="K176" s="169"/>
      <c r="L176" s="140">
        <v>76168625</v>
      </c>
      <c r="M176" s="114"/>
      <c r="X176" s="114"/>
      <c r="Y176" s="114"/>
      <c r="Z176" s="114"/>
    </row>
    <row r="177" spans="2:30" s="115" customFormat="1" ht="12.75" thickBot="1">
      <c r="B177" s="114" t="s">
        <v>639</v>
      </c>
      <c r="C177" s="114"/>
      <c r="D177" s="161">
        <f>SUM(D10:D12)</f>
        <v>5526294955</v>
      </c>
      <c r="E177" s="162"/>
      <c r="G177" s="114"/>
      <c r="H177" s="165" t="s">
        <v>716</v>
      </c>
      <c r="I177" s="166">
        <v>210114260</v>
      </c>
      <c r="J177" s="166">
        <v>1363468338</v>
      </c>
      <c r="K177" s="166">
        <v>230546471</v>
      </c>
      <c r="L177" s="349">
        <v>1804129069</v>
      </c>
      <c r="M177" s="350">
        <v>0</v>
      </c>
      <c r="X177" s="114"/>
      <c r="Y177" s="114"/>
      <c r="Z177" s="114"/>
    </row>
    <row r="178" spans="2:30" s="115" customFormat="1">
      <c r="B178" s="114" t="s">
        <v>640</v>
      </c>
      <c r="C178" s="114"/>
      <c r="D178" s="115">
        <f>L158-M158</f>
        <v>-384991529</v>
      </c>
      <c r="E178" s="162"/>
      <c r="G178" s="114"/>
      <c r="H178" s="114" t="s">
        <v>717</v>
      </c>
      <c r="I178" s="115">
        <v>210114260</v>
      </c>
      <c r="M178" s="114"/>
      <c r="X178" s="114"/>
      <c r="Y178" s="114"/>
      <c r="Z178" s="114"/>
    </row>
    <row r="179" spans="2:30" s="115" customFormat="1">
      <c r="B179" s="114" t="s">
        <v>641</v>
      </c>
      <c r="C179" s="114"/>
      <c r="D179" s="115">
        <f>D176+D177+D178</f>
        <v>122533780328</v>
      </c>
      <c r="E179" s="162"/>
      <c r="G179" s="114"/>
      <c r="H179" s="114" t="s">
        <v>718</v>
      </c>
      <c r="I179" s="167">
        <v>0</v>
      </c>
      <c r="J179" s="114"/>
      <c r="K179" s="114"/>
      <c r="L179" s="114"/>
      <c r="M179" s="114"/>
      <c r="X179" s="114"/>
      <c r="Y179" s="114"/>
      <c r="Z179" s="114"/>
    </row>
    <row r="180" spans="2:30" s="115" customFormat="1">
      <c r="B180" s="114"/>
      <c r="C180" s="114"/>
      <c r="E180" s="162"/>
      <c r="G180" s="114"/>
      <c r="H180" s="170"/>
      <c r="I180" s="114"/>
      <c r="J180" s="114"/>
      <c r="K180" s="114"/>
      <c r="L180" s="114"/>
      <c r="M180" s="114"/>
      <c r="X180" s="114"/>
      <c r="Y180" s="114"/>
      <c r="Z180" s="114"/>
    </row>
    <row r="181" spans="2:30" s="115" customFormat="1">
      <c r="B181" s="114" t="s">
        <v>643</v>
      </c>
      <c r="C181" s="114"/>
      <c r="D181" s="161">
        <f>SUM(E10:E12)</f>
        <v>122533780328</v>
      </c>
      <c r="E181" s="162"/>
      <c r="G181" s="114"/>
      <c r="H181" s="160" t="s">
        <v>711</v>
      </c>
      <c r="I181" s="160" t="s">
        <v>719</v>
      </c>
      <c r="J181" s="160" t="s">
        <v>720</v>
      </c>
      <c r="K181" s="160" t="s">
        <v>721</v>
      </c>
      <c r="L181" s="160" t="s">
        <v>716</v>
      </c>
      <c r="M181" s="114"/>
      <c r="X181" s="114"/>
      <c r="Y181" s="114"/>
      <c r="Z181" s="114"/>
    </row>
    <row r="182" spans="2:30" s="115" customFormat="1">
      <c r="B182" s="114"/>
      <c r="C182" s="114"/>
      <c r="E182" s="162"/>
      <c r="F182" s="114"/>
      <c r="G182" s="114"/>
      <c r="H182" s="146" t="s">
        <v>176</v>
      </c>
      <c r="I182" s="140">
        <v>70989920</v>
      </c>
      <c r="J182" s="169"/>
      <c r="K182" s="169"/>
      <c r="L182" s="140"/>
      <c r="M182" s="114"/>
      <c r="X182" s="114"/>
      <c r="Y182" s="114"/>
      <c r="Z182" s="114"/>
    </row>
    <row r="183" spans="2:30" s="115" customFormat="1">
      <c r="B183" s="171" t="s">
        <v>600</v>
      </c>
      <c r="C183" s="114"/>
      <c r="D183" s="352">
        <f>D179-D181</f>
        <v>0</v>
      </c>
      <c r="E183" s="173"/>
      <c r="F183" s="114"/>
      <c r="G183" s="114"/>
      <c r="H183" s="146" t="s">
        <v>174</v>
      </c>
      <c r="I183" s="140">
        <v>7401233</v>
      </c>
      <c r="J183" s="169"/>
      <c r="K183" s="169"/>
      <c r="L183" s="140"/>
      <c r="M183" s="114"/>
      <c r="X183" s="114"/>
      <c r="Y183" s="114"/>
      <c r="Z183" s="114"/>
    </row>
    <row r="184" spans="2:30" s="115" customFormat="1">
      <c r="B184" s="114"/>
      <c r="C184" s="114"/>
      <c r="F184" s="114"/>
      <c r="G184" s="114"/>
      <c r="H184" s="146"/>
      <c r="I184" s="140"/>
      <c r="J184" s="169"/>
      <c r="K184" s="169"/>
      <c r="L184" s="140"/>
      <c r="M184" s="114"/>
      <c r="X184" s="114"/>
      <c r="Y184" s="114"/>
      <c r="Z184" s="114"/>
    </row>
    <row r="185" spans="2:30" s="115" customFormat="1">
      <c r="B185" s="114"/>
      <c r="C185" s="114"/>
      <c r="D185" s="114"/>
      <c r="E185" s="114"/>
      <c r="F185" s="114"/>
      <c r="G185" s="114"/>
      <c r="H185" s="165" t="s">
        <v>716</v>
      </c>
      <c r="I185" s="166">
        <v>78391153</v>
      </c>
      <c r="J185" s="174">
        <v>0</v>
      </c>
      <c r="K185" s="174">
        <v>0</v>
      </c>
      <c r="L185" s="166">
        <v>0</v>
      </c>
      <c r="M185" s="114"/>
      <c r="X185" s="114"/>
      <c r="Y185" s="114"/>
      <c r="Z185" s="114"/>
      <c r="AA185" s="114"/>
      <c r="AB185" s="114"/>
      <c r="AC185" s="114"/>
    </row>
    <row r="186" spans="2:30" s="115" customFormat="1">
      <c r="B186" s="114"/>
      <c r="C186" s="114"/>
      <c r="D186" s="114"/>
      <c r="E186" s="114"/>
      <c r="F186" s="114"/>
      <c r="G186" s="114"/>
      <c r="H186" s="114" t="s">
        <v>717</v>
      </c>
      <c r="I186" s="115">
        <v>78391153</v>
      </c>
      <c r="J186" s="114"/>
      <c r="K186" s="114"/>
      <c r="L186" s="114"/>
      <c r="M186" s="114"/>
      <c r="X186" s="114"/>
      <c r="Y186" s="114"/>
      <c r="Z186" s="114"/>
      <c r="AA186" s="114"/>
      <c r="AB186" s="114"/>
      <c r="AC186" s="114"/>
    </row>
    <row r="187" spans="2:30" s="115" customFormat="1">
      <c r="B187" s="114"/>
      <c r="C187" s="114"/>
      <c r="D187" s="114"/>
      <c r="E187" s="114"/>
      <c r="F187" s="114"/>
      <c r="G187" s="13"/>
      <c r="H187" s="114" t="s">
        <v>718</v>
      </c>
      <c r="I187" s="167">
        <v>0</v>
      </c>
      <c r="J187" s="114"/>
      <c r="K187" s="114"/>
      <c r="L187" s="114"/>
      <c r="M187" s="114"/>
      <c r="X187" s="114"/>
      <c r="Y187" s="114"/>
      <c r="Z187" s="114"/>
      <c r="AA187" s="114"/>
      <c r="AB187" s="114"/>
      <c r="AC187" s="114"/>
      <c r="AD187" s="114"/>
    </row>
    <row r="188" spans="2:30" s="115" customFormat="1">
      <c r="B188" s="114"/>
      <c r="C188" s="114"/>
      <c r="D188" s="114"/>
      <c r="E188" s="114"/>
      <c r="F188" s="114"/>
      <c r="G188" s="13"/>
      <c r="H188" s="114"/>
      <c r="I188" s="114"/>
      <c r="J188" s="114"/>
      <c r="K188" s="114"/>
      <c r="L188" s="114"/>
      <c r="M188" s="114"/>
      <c r="X188" s="114"/>
      <c r="Y188" s="114"/>
      <c r="Z188" s="114"/>
      <c r="AA188" s="114"/>
      <c r="AB188" s="114"/>
      <c r="AC188" s="114"/>
      <c r="AD188" s="114"/>
    </row>
    <row r="189" spans="2:30">
      <c r="G189" s="13"/>
    </row>
    <row r="190" spans="2:30">
      <c r="G190" s="13"/>
      <c r="H190" s="175" t="s">
        <v>723</v>
      </c>
      <c r="I190" s="175" t="s">
        <v>724</v>
      </c>
      <c r="J190" s="175" t="s">
        <v>725</v>
      </c>
      <c r="K190" s="175" t="s">
        <v>726</v>
      </c>
      <c r="L190" s="175"/>
    </row>
    <row r="191" spans="2:30">
      <c r="G191" s="13"/>
      <c r="H191" s="176" t="s">
        <v>649</v>
      </c>
      <c r="I191" s="177"/>
      <c r="J191" s="177"/>
      <c r="K191" s="177"/>
      <c r="L191" s="177"/>
    </row>
    <row r="192" spans="2:30">
      <c r="H192" s="176" t="s">
        <v>650</v>
      </c>
      <c r="I192" s="177"/>
      <c r="J192" s="177"/>
      <c r="K192" s="177"/>
      <c r="L192" s="177"/>
    </row>
    <row r="193" spans="8:12">
      <c r="H193" s="176"/>
      <c r="I193" s="178">
        <v>0</v>
      </c>
      <c r="J193" s="178">
        <v>0</v>
      </c>
      <c r="K193" s="178">
        <v>0</v>
      </c>
      <c r="L193" s="178">
        <v>0</v>
      </c>
    </row>
    <row r="194" spans="8:12">
      <c r="H194" s="13"/>
      <c r="I194" s="13"/>
      <c r="J194" s="179">
        <v>0</v>
      </c>
      <c r="K194" s="179">
        <v>0</v>
      </c>
      <c r="L194" s="179">
        <v>0</v>
      </c>
    </row>
    <row r="196" spans="8:12">
      <c r="H196" s="180" t="s">
        <v>342</v>
      </c>
      <c r="I196" s="181" t="s">
        <v>719</v>
      </c>
      <c r="J196" s="181" t="s">
        <v>720</v>
      </c>
      <c r="K196" s="181" t="s">
        <v>366</v>
      </c>
      <c r="L196" s="181" t="s">
        <v>727</v>
      </c>
    </row>
    <row r="197" spans="8:12">
      <c r="H197" s="182" t="s">
        <v>511</v>
      </c>
      <c r="I197" s="182"/>
      <c r="J197" s="182"/>
      <c r="K197" s="182"/>
      <c r="L197" s="182">
        <v>0</v>
      </c>
    </row>
    <row r="198" spans="8:12">
      <c r="H198" s="183" t="s">
        <v>727</v>
      </c>
      <c r="I198" s="183">
        <v>0</v>
      </c>
      <c r="J198" s="183">
        <v>0</v>
      </c>
      <c r="K198" s="183">
        <v>0</v>
      </c>
      <c r="L198" s="183">
        <v>0</v>
      </c>
    </row>
    <row r="199" spans="8:12">
      <c r="H199" s="182" t="s">
        <v>600</v>
      </c>
      <c r="I199" s="182"/>
      <c r="J199" s="182"/>
      <c r="K199" s="182"/>
      <c r="L199" s="182"/>
    </row>
    <row r="200" spans="8:12">
      <c r="H200" s="184"/>
      <c r="I200" s="182"/>
      <c r="J200" s="182"/>
      <c r="K200" s="182"/>
      <c r="L200" s="182"/>
    </row>
    <row r="201" spans="8:12">
      <c r="H201" s="180" t="s">
        <v>728</v>
      </c>
      <c r="I201" s="181" t="s">
        <v>390</v>
      </c>
      <c r="J201" s="181" t="s">
        <v>729</v>
      </c>
      <c r="K201" s="181" t="s">
        <v>730</v>
      </c>
      <c r="L201" s="181" t="s">
        <v>731</v>
      </c>
    </row>
    <row r="202" spans="8:12">
      <c r="H202" s="182" t="s">
        <v>34</v>
      </c>
      <c r="I202" s="182"/>
      <c r="J202" s="182"/>
      <c r="K202" s="182"/>
      <c r="L202" s="182"/>
    </row>
    <row r="203" spans="8:12">
      <c r="H203" s="182" t="s">
        <v>660</v>
      </c>
      <c r="I203" s="182"/>
      <c r="J203" s="182"/>
      <c r="K203" s="182"/>
      <c r="L203" s="182"/>
    </row>
    <row r="204" spans="8:12">
      <c r="H204" s="182" t="s">
        <v>52</v>
      </c>
      <c r="I204" s="182"/>
      <c r="J204" s="182"/>
      <c r="K204" s="182"/>
      <c r="L204" s="182"/>
    </row>
    <row r="205" spans="8:12">
      <c r="H205" s="182" t="s">
        <v>54</v>
      </c>
      <c r="I205" s="182"/>
      <c r="J205" s="182"/>
      <c r="K205" s="182"/>
      <c r="L205" s="182"/>
    </row>
    <row r="206" spans="8:12">
      <c r="H206" s="182" t="s">
        <v>663</v>
      </c>
      <c r="I206" s="182"/>
      <c r="J206" s="182"/>
      <c r="K206" s="182"/>
      <c r="L206" s="182"/>
    </row>
    <row r="207" spans="8:12">
      <c r="H207" s="182" t="s">
        <v>93</v>
      </c>
      <c r="I207" s="182"/>
      <c r="J207" s="182"/>
      <c r="K207" s="182"/>
      <c r="L207" s="182"/>
    </row>
    <row r="208" spans="8:12">
      <c r="H208" s="183" t="s">
        <v>727</v>
      </c>
      <c r="I208" s="183">
        <v>0</v>
      </c>
      <c r="J208" s="183">
        <v>0</v>
      </c>
      <c r="K208" s="183">
        <v>0</v>
      </c>
      <c r="L208" s="183">
        <v>0</v>
      </c>
    </row>
    <row r="209" spans="8:12">
      <c r="H209" s="185" t="s">
        <v>600</v>
      </c>
      <c r="I209" s="182"/>
      <c r="J209" s="182"/>
      <c r="K209" s="182"/>
      <c r="L209" s="182"/>
    </row>
    <row r="210" spans="8:12">
      <c r="H210" s="184"/>
      <c r="I210" s="182"/>
      <c r="J210" s="182"/>
      <c r="K210" s="182"/>
      <c r="L210" s="182"/>
    </row>
    <row r="211" spans="8:12">
      <c r="H211" s="180" t="s">
        <v>732</v>
      </c>
      <c r="I211" s="181" t="s">
        <v>524</v>
      </c>
      <c r="J211" s="181" t="s">
        <v>436</v>
      </c>
      <c r="K211" s="182"/>
      <c r="L211" s="182"/>
    </row>
    <row r="212" spans="8:12">
      <c r="H212" s="182" t="s">
        <v>127</v>
      </c>
      <c r="I212" s="182"/>
      <c r="J212" s="182"/>
      <c r="K212" s="182"/>
      <c r="L212" s="182"/>
    </row>
    <row r="213" spans="8:12">
      <c r="H213" s="182" t="s">
        <v>135</v>
      </c>
      <c r="I213" s="182"/>
      <c r="J213" s="182"/>
      <c r="K213" s="182"/>
      <c r="L213" s="182"/>
    </row>
    <row r="214" spans="8:12">
      <c r="H214" s="182" t="s">
        <v>131</v>
      </c>
      <c r="I214" s="182"/>
      <c r="J214" s="182"/>
      <c r="K214" s="182"/>
      <c r="L214" s="182"/>
    </row>
    <row r="215" spans="8:12">
      <c r="H215" s="182" t="s">
        <v>139</v>
      </c>
      <c r="I215" s="182">
        <v>-139173</v>
      </c>
      <c r="J215" s="182">
        <v>7360639</v>
      </c>
      <c r="K215" s="182"/>
      <c r="L215" s="182"/>
    </row>
    <row r="216" spans="8:12">
      <c r="H216" s="182" t="s">
        <v>145</v>
      </c>
      <c r="I216" s="182">
        <v>-727273</v>
      </c>
      <c r="J216" s="182"/>
      <c r="K216" s="182"/>
      <c r="L216" s="182"/>
    </row>
    <row r="217" spans="8:12">
      <c r="H217" s="182" t="s">
        <v>149</v>
      </c>
      <c r="I217" s="182"/>
      <c r="J217" s="182"/>
      <c r="K217" s="182"/>
      <c r="L217" s="182"/>
    </row>
    <row r="218" spans="8:12">
      <c r="H218" s="182" t="s">
        <v>155</v>
      </c>
      <c r="I218" s="186"/>
      <c r="J218" s="182">
        <v>4950000</v>
      </c>
      <c r="K218" s="182"/>
      <c r="L218" s="182"/>
    </row>
    <row r="219" spans="8:12">
      <c r="H219" s="182" t="s">
        <v>161</v>
      </c>
      <c r="I219" s="182"/>
      <c r="J219" s="182"/>
      <c r="K219" s="182"/>
      <c r="L219" s="182"/>
    </row>
    <row r="220" spans="8:12">
      <c r="H220" s="182" t="s">
        <v>733</v>
      </c>
      <c r="I220" s="182"/>
      <c r="J220" s="182"/>
      <c r="K220" s="182"/>
      <c r="L220" s="182"/>
    </row>
    <row r="221" spans="8:12">
      <c r="H221" s="182" t="s">
        <v>159</v>
      </c>
      <c r="I221" s="182"/>
      <c r="J221" s="182"/>
      <c r="K221" s="182"/>
      <c r="L221" s="182"/>
    </row>
    <row r="222" spans="8:12">
      <c r="H222" s="183" t="s">
        <v>727</v>
      </c>
      <c r="I222" s="183">
        <v>-866446</v>
      </c>
      <c r="J222" s="183">
        <v>12310639</v>
      </c>
      <c r="K222" s="182"/>
      <c r="L222" s="182"/>
    </row>
    <row r="223" spans="8:12">
      <c r="H223" s="185" t="s">
        <v>600</v>
      </c>
      <c r="I223" s="182">
        <v>0</v>
      </c>
      <c r="J223" s="182">
        <v>0</v>
      </c>
      <c r="K223" s="182"/>
      <c r="L223" s="182"/>
    </row>
    <row r="224" spans="8:12">
      <c r="H224" s="184"/>
      <c r="I224" s="182"/>
      <c r="J224" s="182"/>
      <c r="K224" s="182"/>
      <c r="L224" s="182"/>
    </row>
    <row r="225" spans="8:12">
      <c r="H225" s="180" t="s">
        <v>448</v>
      </c>
      <c r="I225" s="181" t="s">
        <v>727</v>
      </c>
      <c r="J225" s="182"/>
      <c r="K225" s="182"/>
      <c r="L225" s="182"/>
    </row>
    <row r="226" spans="8:12">
      <c r="H226" s="182" t="s">
        <v>210</v>
      </c>
      <c r="I226" s="182"/>
      <c r="J226" s="182"/>
      <c r="K226" s="182"/>
      <c r="L226" s="182"/>
    </row>
    <row r="227" spans="8:12">
      <c r="H227" s="182" t="s">
        <v>734</v>
      </c>
      <c r="I227" s="182"/>
      <c r="J227" s="182"/>
      <c r="K227" s="182"/>
      <c r="L227" s="182"/>
    </row>
    <row r="228" spans="8:12">
      <c r="H228" s="182" t="s">
        <v>735</v>
      </c>
      <c r="I228" s="182"/>
      <c r="J228" s="182"/>
      <c r="K228" s="182"/>
      <c r="L228" s="182"/>
    </row>
    <row r="229" spans="8:12">
      <c r="H229" s="182" t="s">
        <v>676</v>
      </c>
      <c r="I229" s="182"/>
      <c r="J229" s="182"/>
      <c r="K229" s="182"/>
      <c r="L229" s="182"/>
    </row>
    <row r="230" spans="8:12">
      <c r="H230" s="182" t="s">
        <v>736</v>
      </c>
      <c r="I230" s="182"/>
      <c r="J230" s="182"/>
      <c r="K230" s="182"/>
      <c r="L230" s="182"/>
    </row>
    <row r="231" spans="8:12">
      <c r="H231" s="182" t="s">
        <v>737</v>
      </c>
      <c r="I231" s="182"/>
      <c r="J231" s="182"/>
      <c r="K231" s="182"/>
      <c r="L231" s="182"/>
    </row>
    <row r="232" spans="8:12">
      <c r="H232" s="182" t="s">
        <v>234</v>
      </c>
      <c r="I232" s="182"/>
      <c r="J232" s="182"/>
      <c r="K232" s="182"/>
      <c r="L232" s="182"/>
    </row>
    <row r="233" spans="8:12">
      <c r="H233" s="183" t="s">
        <v>727</v>
      </c>
      <c r="I233" s="183">
        <v>0</v>
      </c>
      <c r="J233" s="182"/>
      <c r="K233" s="182"/>
      <c r="L233" s="182"/>
    </row>
    <row r="234" spans="8:12">
      <c r="H234" s="185" t="s">
        <v>600</v>
      </c>
      <c r="I234" s="182"/>
      <c r="J234" s="182"/>
      <c r="K234" s="182"/>
      <c r="L234" s="182"/>
    </row>
    <row r="235" spans="8:12">
      <c r="H235" s="182"/>
      <c r="I235" s="182"/>
      <c r="J235" s="182"/>
      <c r="K235" s="182"/>
      <c r="L235" s="182"/>
    </row>
    <row r="236" spans="8:12">
      <c r="H236" s="184"/>
      <c r="I236" s="182"/>
      <c r="J236" s="182"/>
      <c r="K236" s="182"/>
      <c r="L236" s="182"/>
    </row>
    <row r="237" spans="8:12">
      <c r="H237" s="180" t="s">
        <v>738</v>
      </c>
      <c r="I237" s="181" t="s">
        <v>413</v>
      </c>
      <c r="J237" s="181" t="s">
        <v>434</v>
      </c>
      <c r="K237" s="182"/>
      <c r="L237" s="182"/>
    </row>
    <row r="238" spans="8:12">
      <c r="H238" s="182" t="s">
        <v>683</v>
      </c>
      <c r="I238" s="182"/>
      <c r="J238" s="182"/>
      <c r="K238" s="182"/>
      <c r="L238" s="182"/>
    </row>
    <row r="239" spans="8:12">
      <c r="H239" s="182" t="s">
        <v>684</v>
      </c>
      <c r="I239" s="182"/>
      <c r="J239" s="182"/>
      <c r="K239" s="182"/>
      <c r="L239" s="182"/>
    </row>
    <row r="240" spans="8:12">
      <c r="H240" s="182" t="s">
        <v>739</v>
      </c>
      <c r="I240" s="182"/>
      <c r="J240" s="182"/>
      <c r="K240" s="182"/>
      <c r="L240" s="182"/>
    </row>
    <row r="241" spans="8:12">
      <c r="H241" s="183" t="s">
        <v>727</v>
      </c>
      <c r="I241" s="183">
        <v>0</v>
      </c>
      <c r="J241" s="183">
        <v>0</v>
      </c>
      <c r="K241" s="182"/>
      <c r="L241" s="182"/>
    </row>
    <row r="242" spans="8:12">
      <c r="H242" s="185" t="s">
        <v>600</v>
      </c>
      <c r="I242" s="182"/>
      <c r="J242" s="182"/>
      <c r="K242" s="182"/>
      <c r="L242" s="182"/>
    </row>
    <row r="243" spans="8:12">
      <c r="H243" s="182"/>
      <c r="I243" s="182"/>
      <c r="J243" s="182"/>
      <c r="K243" s="182"/>
      <c r="L243" s="182"/>
    </row>
    <row r="244" spans="8:12">
      <c r="H244" s="184" t="s">
        <v>740</v>
      </c>
      <c r="I244" s="182"/>
      <c r="J244" s="182"/>
      <c r="K244" s="182"/>
      <c r="L244" s="182"/>
    </row>
    <row r="245" spans="8:12">
      <c r="H245" s="180" t="s">
        <v>741</v>
      </c>
      <c r="I245" s="181" t="s">
        <v>742</v>
      </c>
      <c r="J245" s="181" t="s">
        <v>743</v>
      </c>
      <c r="K245" s="182"/>
      <c r="L245" s="182"/>
    </row>
    <row r="246" spans="8:12">
      <c r="H246" s="182" t="s">
        <v>176</v>
      </c>
      <c r="I246" s="182"/>
      <c r="J246" s="182"/>
      <c r="K246" s="182"/>
      <c r="L246" s="182"/>
    </row>
    <row r="247" spans="8:12">
      <c r="H247" s="182" t="s">
        <v>174</v>
      </c>
      <c r="I247" s="182"/>
      <c r="J247" s="182"/>
      <c r="K247" s="182"/>
      <c r="L247" s="182"/>
    </row>
    <row r="248" spans="8:12">
      <c r="H248" s="183" t="s">
        <v>727</v>
      </c>
      <c r="I248" s="183">
        <v>0</v>
      </c>
      <c r="J248" s="183">
        <v>0</v>
      </c>
      <c r="K248" s="182"/>
      <c r="L248" s="182"/>
    </row>
    <row r="249" spans="8:12">
      <c r="H249" s="185" t="s">
        <v>600</v>
      </c>
      <c r="I249" s="182"/>
      <c r="J249" s="182"/>
      <c r="K249" s="182"/>
      <c r="L249" s="182"/>
    </row>
    <row r="250" spans="8:12">
      <c r="H250" s="182"/>
      <c r="I250" s="182"/>
      <c r="J250" s="182"/>
      <c r="K250" s="182"/>
      <c r="L250" s="182"/>
    </row>
    <row r="251" spans="8:12">
      <c r="H251" s="184" t="s">
        <v>744</v>
      </c>
      <c r="I251" s="182"/>
      <c r="J251" s="182"/>
      <c r="K251" s="182"/>
      <c r="L251" s="182"/>
    </row>
    <row r="252" spans="8:12">
      <c r="H252" s="180" t="s">
        <v>422</v>
      </c>
      <c r="I252" s="181" t="s">
        <v>599</v>
      </c>
      <c r="J252" s="182"/>
      <c r="K252" s="182"/>
      <c r="L252" s="182"/>
    </row>
    <row r="253" spans="8:12">
      <c r="H253" s="182" t="s">
        <v>745</v>
      </c>
      <c r="I253" s="182">
        <v>0</v>
      </c>
      <c r="J253" s="182"/>
      <c r="K253" s="182"/>
      <c r="L253" s="182"/>
    </row>
    <row r="254" spans="8:12">
      <c r="H254" s="182" t="s">
        <v>746</v>
      </c>
      <c r="I254" s="182">
        <v>172627980</v>
      </c>
      <c r="J254" s="182"/>
      <c r="K254" s="182"/>
      <c r="L254" s="182"/>
    </row>
    <row r="255" spans="8:12">
      <c r="H255" s="182" t="s">
        <v>988</v>
      </c>
      <c r="I255" s="182">
        <v>-6912536</v>
      </c>
      <c r="J255" s="182"/>
      <c r="K255" s="182"/>
      <c r="L255" s="182"/>
    </row>
    <row r="256" spans="8:12">
      <c r="H256" s="182" t="s">
        <v>748</v>
      </c>
      <c r="I256" s="182">
        <v>-165715444</v>
      </c>
      <c r="J256" s="182"/>
      <c r="K256" s="182"/>
      <c r="L256" s="182"/>
    </row>
    <row r="257" spans="8:12">
      <c r="H257" s="182" t="s">
        <v>749</v>
      </c>
      <c r="I257" s="187">
        <v>0</v>
      </c>
      <c r="J257" s="182"/>
      <c r="K257" s="182"/>
      <c r="L257" s="182"/>
    </row>
    <row r="258" spans="8:12">
      <c r="H258" s="182" t="s">
        <v>600</v>
      </c>
      <c r="I258" s="182">
        <v>0</v>
      </c>
      <c r="J258" s="182"/>
      <c r="K258" s="182"/>
      <c r="L258" s="182"/>
    </row>
    <row r="259" spans="8:12">
      <c r="H259" s="185"/>
      <c r="I259" s="182"/>
      <c r="J259" s="182"/>
      <c r="K259" s="182"/>
      <c r="L259" s="182"/>
    </row>
    <row r="260" spans="8:12">
      <c r="H260" s="182"/>
      <c r="I260" s="182"/>
      <c r="J260" s="182"/>
      <c r="K260" s="182"/>
      <c r="L260" s="182"/>
    </row>
  </sheetData>
  <mergeCells count="9">
    <mergeCell ref="Q5:R5"/>
    <mergeCell ref="S5:V5"/>
    <mergeCell ref="W5:X5"/>
    <mergeCell ref="D2:E3"/>
    <mergeCell ref="B5:B6"/>
    <mergeCell ref="C5:C6"/>
    <mergeCell ref="F5:F6"/>
    <mergeCell ref="G5:G6"/>
    <mergeCell ref="O5:P5"/>
  </mergeCells>
  <phoneticPr fontId="2" type="noConversion"/>
  <conditionalFormatting sqref="F12">
    <cfRule type="expression" dxfId="941" priority="1414">
      <formula>"&gt;=0"</formula>
    </cfRule>
    <cfRule type="expression" dxfId="940" priority="1416">
      <formula>"&lt;&gt;0"</formula>
    </cfRule>
  </conditionalFormatting>
  <conditionalFormatting sqref="F12:F13">
    <cfRule type="expression" dxfId="939" priority="372">
      <formula>"&gt;&lt;0"</formula>
    </cfRule>
  </conditionalFormatting>
  <conditionalFormatting sqref="F12:F23">
    <cfRule type="expression" priority="214">
      <formula>"""&gt;&lt;0"""</formula>
    </cfRule>
  </conditionalFormatting>
  <conditionalFormatting sqref="F13">
    <cfRule type="expression" dxfId="938" priority="371">
      <formula>"&gt;=0"</formula>
    </cfRule>
    <cfRule type="expression" dxfId="937" priority="373">
      <formula>"&lt;&gt;0"</formula>
    </cfRule>
  </conditionalFormatting>
  <conditionalFormatting sqref="F13:F15">
    <cfRule type="expression" dxfId="936" priority="217">
      <formula>"&gt;&lt;0"</formula>
    </cfRule>
  </conditionalFormatting>
  <conditionalFormatting sqref="F16:F18 F20:F21">
    <cfRule type="expression" dxfId="935" priority="466">
      <formula>"&gt;=0"</formula>
    </cfRule>
    <cfRule type="expression" dxfId="934" priority="468">
      <formula>"&lt;&gt;0"</formula>
    </cfRule>
  </conditionalFormatting>
  <conditionalFormatting sqref="F16:F21">
    <cfRule type="expression" dxfId="933" priority="322">
      <formula>"&gt;&lt;0"</formula>
    </cfRule>
  </conditionalFormatting>
  <conditionalFormatting sqref="F22">
    <cfRule type="expression" dxfId="932" priority="313">
      <formula>"&lt;&gt;0"</formula>
    </cfRule>
    <cfRule type="expression" dxfId="931" priority="311">
      <formula>"&gt;=0"</formula>
    </cfRule>
  </conditionalFormatting>
  <conditionalFormatting sqref="F22:F23">
    <cfRule type="expression" dxfId="930" priority="302">
      <formula>"&gt;&lt;0"</formula>
    </cfRule>
  </conditionalFormatting>
  <conditionalFormatting sqref="F33">
    <cfRule type="expression" dxfId="929" priority="356">
      <formula>"&gt;=0"</formula>
    </cfRule>
    <cfRule type="expression" dxfId="928" priority="355">
      <formula>"&gt;&lt;0"</formula>
    </cfRule>
    <cfRule type="expression" priority="354">
      <formula>"""&gt;&lt;0"""</formula>
    </cfRule>
    <cfRule type="expression" dxfId="927" priority="358">
      <formula>"&lt;&gt;0"</formula>
    </cfRule>
  </conditionalFormatting>
  <conditionalFormatting sqref="F35:F47">
    <cfRule type="expression" dxfId="926" priority="80">
      <formula>"&gt;&lt;0"</formula>
    </cfRule>
    <cfRule type="expression" dxfId="925" priority="81">
      <formula>"&gt;=0"</formula>
    </cfRule>
    <cfRule type="expression" dxfId="924" priority="83">
      <formula>"&lt;&gt;0"</formula>
    </cfRule>
  </conditionalFormatting>
  <conditionalFormatting sqref="F50">
    <cfRule type="expression" dxfId="923" priority="463">
      <formula>"&lt;&gt;0"</formula>
    </cfRule>
    <cfRule type="expression" dxfId="922" priority="462">
      <formula>"&gt;&lt;0"</formula>
    </cfRule>
    <cfRule type="expression" dxfId="921" priority="461">
      <formula>"&gt;=0"</formula>
    </cfRule>
  </conditionalFormatting>
  <conditionalFormatting sqref="F50:F52">
    <cfRule type="expression" dxfId="920" priority="297">
      <formula>"&gt;&lt;0"</formula>
    </cfRule>
  </conditionalFormatting>
  <conditionalFormatting sqref="F51">
    <cfRule type="expression" dxfId="919" priority="298">
      <formula>"&lt;&gt;0"</formula>
    </cfRule>
    <cfRule type="expression" dxfId="918" priority="296">
      <formula>"&gt;=0"</formula>
    </cfRule>
    <cfRule type="expression" dxfId="917" priority="295">
      <formula>"&gt;&lt;0"</formula>
    </cfRule>
  </conditionalFormatting>
  <conditionalFormatting sqref="F52">
    <cfRule type="expression" dxfId="916" priority="368">
      <formula>"&lt;&gt;0"</formula>
    </cfRule>
    <cfRule type="expression" dxfId="915" priority="367">
      <formula>"&gt;&lt;0"</formula>
    </cfRule>
    <cfRule type="expression" dxfId="914" priority="366">
      <formula>"&gt;=0"</formula>
    </cfRule>
  </conditionalFormatting>
  <conditionalFormatting sqref="F53:F54">
    <cfRule type="expression" dxfId="913" priority="210">
      <formula>"&gt;&lt;0"</formula>
    </cfRule>
    <cfRule type="expression" dxfId="912" priority="211">
      <formula>"&gt;=0"</formula>
    </cfRule>
    <cfRule type="expression" dxfId="911" priority="212">
      <formula>"&gt;&lt;0"</formula>
    </cfRule>
    <cfRule type="expression" dxfId="910" priority="213">
      <formula>"&lt;&gt;0"</formula>
    </cfRule>
  </conditionalFormatting>
  <conditionalFormatting sqref="F55:F58">
    <cfRule type="expression" dxfId="909" priority="292">
      <formula>"&gt;&lt;0"</formula>
    </cfRule>
  </conditionalFormatting>
  <conditionalFormatting sqref="F57:F58">
    <cfRule type="expression" dxfId="908" priority="293">
      <formula>"&lt;&gt;0"</formula>
    </cfRule>
    <cfRule type="expression" dxfId="907" priority="291">
      <formula>"&gt;=0"</formula>
    </cfRule>
    <cfRule type="expression" dxfId="906" priority="290">
      <formula>"&gt;&lt;0"</formula>
    </cfRule>
  </conditionalFormatting>
  <conditionalFormatting sqref="F60:F62">
    <cfRule type="expression" dxfId="905" priority="197">
      <formula>"&gt;&lt;0"</formula>
    </cfRule>
  </conditionalFormatting>
  <conditionalFormatting sqref="F62">
    <cfRule type="expression" dxfId="904" priority="198">
      <formula>"&lt;&gt;0"</formula>
    </cfRule>
    <cfRule type="expression" dxfId="903" priority="196">
      <formula>"&gt;=0"</formula>
    </cfRule>
  </conditionalFormatting>
  <conditionalFormatting sqref="F62:F63">
    <cfRule type="expression" dxfId="902" priority="192">
      <formula>"&gt;&lt;0"</formula>
    </cfRule>
  </conditionalFormatting>
  <conditionalFormatting sqref="F63">
    <cfRule type="expression" dxfId="901" priority="193">
      <formula>"&lt;&gt;0"</formula>
    </cfRule>
    <cfRule type="expression" dxfId="900" priority="191">
      <formula>"&gt;=0"</formula>
    </cfRule>
  </conditionalFormatting>
  <conditionalFormatting sqref="F63:F64">
    <cfRule type="expression" dxfId="899" priority="187">
      <formula>"&gt;&lt;0"</formula>
    </cfRule>
  </conditionalFormatting>
  <conditionalFormatting sqref="F64">
    <cfRule type="expression" dxfId="898" priority="188">
      <formula>"&lt;&gt;0"</formula>
    </cfRule>
    <cfRule type="expression" dxfId="897" priority="186">
      <formula>"&gt;=0"</formula>
    </cfRule>
  </conditionalFormatting>
  <conditionalFormatting sqref="F64:F66">
    <cfRule type="expression" dxfId="896" priority="182">
      <formula>"&gt;&lt;0"</formula>
    </cfRule>
  </conditionalFormatting>
  <conditionalFormatting sqref="F65:F66">
    <cfRule type="expression" dxfId="895" priority="181">
      <formula>"&gt;=0"</formula>
    </cfRule>
    <cfRule type="expression" dxfId="894" priority="183">
      <formula>"&lt;&gt;0"</formula>
    </cfRule>
  </conditionalFormatting>
  <conditionalFormatting sqref="F65:F67">
    <cfRule type="expression" dxfId="893" priority="177">
      <formula>"&gt;&lt;0"</formula>
    </cfRule>
  </conditionalFormatting>
  <conditionalFormatting sqref="F67">
    <cfRule type="expression" dxfId="892" priority="176">
      <formula>"&gt;=0"</formula>
    </cfRule>
    <cfRule type="expression" dxfId="891" priority="178">
      <formula>"&lt;&gt;0"</formula>
    </cfRule>
  </conditionalFormatting>
  <conditionalFormatting sqref="F67:F68">
    <cfRule type="expression" dxfId="890" priority="172">
      <formula>"&gt;&lt;0"</formula>
    </cfRule>
  </conditionalFormatting>
  <conditionalFormatting sqref="F68">
    <cfRule type="expression" dxfId="889" priority="173">
      <formula>"&lt;&gt;0"</formula>
    </cfRule>
    <cfRule type="expression" dxfId="888" priority="171">
      <formula>"&gt;=0"</formula>
    </cfRule>
  </conditionalFormatting>
  <conditionalFormatting sqref="F68:F69">
    <cfRule type="expression" dxfId="887" priority="167">
      <formula>"&gt;&lt;0"</formula>
    </cfRule>
  </conditionalFormatting>
  <conditionalFormatting sqref="F69">
    <cfRule type="expression" dxfId="886" priority="168">
      <formula>"&lt;&gt;0"</formula>
    </cfRule>
    <cfRule type="expression" dxfId="885" priority="166">
      <formula>"&gt;=0"</formula>
    </cfRule>
  </conditionalFormatting>
  <conditionalFormatting sqref="F69:F70">
    <cfRule type="expression" dxfId="884" priority="162">
      <formula>"&gt;&lt;0"</formula>
    </cfRule>
  </conditionalFormatting>
  <conditionalFormatting sqref="F70">
    <cfRule type="expression" dxfId="883" priority="163">
      <formula>"&lt;&gt;0"</formula>
    </cfRule>
    <cfRule type="expression" dxfId="882" priority="161">
      <formula>"&gt;=0"</formula>
    </cfRule>
  </conditionalFormatting>
  <conditionalFormatting sqref="F70:F71">
    <cfRule type="expression" dxfId="881" priority="157">
      <formula>"&gt;&lt;0"</formula>
    </cfRule>
  </conditionalFormatting>
  <conditionalFormatting sqref="F71">
    <cfRule type="expression" dxfId="880" priority="156">
      <formula>"&gt;=0"</formula>
    </cfRule>
    <cfRule type="expression" dxfId="879" priority="158">
      <formula>"&lt;&gt;0"</formula>
    </cfRule>
  </conditionalFormatting>
  <conditionalFormatting sqref="F71:F72">
    <cfRule type="expression" dxfId="878" priority="152">
      <formula>"&gt;&lt;0"</formula>
    </cfRule>
  </conditionalFormatting>
  <conditionalFormatting sqref="F72">
    <cfRule type="expression" dxfId="877" priority="151">
      <formula>"&gt;=0"</formula>
    </cfRule>
    <cfRule type="expression" dxfId="876" priority="153">
      <formula>"&lt;&gt;0"</formula>
    </cfRule>
  </conditionalFormatting>
  <conditionalFormatting sqref="F72:F73">
    <cfRule type="expression" dxfId="875" priority="147">
      <formula>"&gt;&lt;0"</formula>
    </cfRule>
  </conditionalFormatting>
  <conditionalFormatting sqref="F73">
    <cfRule type="expression" dxfId="874" priority="148">
      <formula>"&lt;&gt;0"</formula>
    </cfRule>
    <cfRule type="expression" dxfId="873" priority="146">
      <formula>"&gt;=0"</formula>
    </cfRule>
  </conditionalFormatting>
  <conditionalFormatting sqref="F73:F74">
    <cfRule type="expression" dxfId="872" priority="142">
      <formula>"&gt;&lt;0"</formula>
    </cfRule>
  </conditionalFormatting>
  <conditionalFormatting sqref="F74">
    <cfRule type="expression" dxfId="871" priority="143">
      <formula>"&lt;&gt;0"</formula>
    </cfRule>
    <cfRule type="expression" dxfId="870" priority="141">
      <formula>"&gt;=0"</formula>
    </cfRule>
  </conditionalFormatting>
  <conditionalFormatting sqref="F74:F75">
    <cfRule type="expression" dxfId="869" priority="137">
      <formula>"&gt;&lt;0"</formula>
    </cfRule>
  </conditionalFormatting>
  <conditionalFormatting sqref="F75">
    <cfRule type="expression" dxfId="868" priority="138">
      <formula>"&lt;&gt;0"</formula>
    </cfRule>
    <cfRule type="expression" dxfId="867" priority="136">
      <formula>"&gt;=0"</formula>
    </cfRule>
  </conditionalFormatting>
  <conditionalFormatting sqref="F75:F76">
    <cfRule type="expression" dxfId="866" priority="132">
      <formula>"&gt;&lt;0"</formula>
    </cfRule>
  </conditionalFormatting>
  <conditionalFormatting sqref="F76">
    <cfRule type="expression" dxfId="865" priority="133">
      <formula>"&lt;&gt;0"</formula>
    </cfRule>
    <cfRule type="expression" dxfId="864" priority="131">
      <formula>"&gt;=0"</formula>
    </cfRule>
  </conditionalFormatting>
  <conditionalFormatting sqref="F76:F77">
    <cfRule type="expression" dxfId="863" priority="127">
      <formula>"&gt;&lt;0"</formula>
    </cfRule>
  </conditionalFormatting>
  <conditionalFormatting sqref="F77">
    <cfRule type="expression" dxfId="862" priority="128">
      <formula>"&lt;&gt;0"</formula>
    </cfRule>
    <cfRule type="expression" dxfId="861" priority="126">
      <formula>"&gt;=0"</formula>
    </cfRule>
  </conditionalFormatting>
  <conditionalFormatting sqref="F77:F78">
    <cfRule type="expression" dxfId="860" priority="122">
      <formula>"&gt;&lt;0"</formula>
    </cfRule>
  </conditionalFormatting>
  <conditionalFormatting sqref="F78">
    <cfRule type="expression" dxfId="859" priority="123">
      <formula>"&lt;&gt;0"</formula>
    </cfRule>
    <cfRule type="expression" dxfId="858" priority="121">
      <formula>"&gt;=0"</formula>
    </cfRule>
  </conditionalFormatting>
  <conditionalFormatting sqref="F78:F79">
    <cfRule type="expression" dxfId="857" priority="117">
      <formula>"&gt;&lt;0"</formula>
    </cfRule>
  </conditionalFormatting>
  <conditionalFormatting sqref="F79">
    <cfRule type="expression" dxfId="856" priority="118">
      <formula>"&lt;&gt;0"</formula>
    </cfRule>
    <cfRule type="expression" dxfId="855" priority="116">
      <formula>"&gt;=0"</formula>
    </cfRule>
  </conditionalFormatting>
  <conditionalFormatting sqref="F79:F81">
    <cfRule type="expression" dxfId="854" priority="112">
      <formula>"&gt;&lt;0"</formula>
    </cfRule>
  </conditionalFormatting>
  <conditionalFormatting sqref="F80">
    <cfRule type="expression" dxfId="853" priority="110">
      <formula>"&gt;&lt;0"</formula>
    </cfRule>
    <cfRule type="expression" dxfId="852" priority="111">
      <formula>"&gt;=0"</formula>
    </cfRule>
    <cfRule type="expression" dxfId="851" priority="113">
      <formula>"&lt;&gt;0"</formula>
    </cfRule>
  </conditionalFormatting>
  <conditionalFormatting sqref="F83:F89">
    <cfRule type="expression" dxfId="850" priority="457">
      <formula>"&gt;&lt;0"</formula>
    </cfRule>
    <cfRule type="expression" dxfId="849" priority="456">
      <formula>"&gt;=0"</formula>
    </cfRule>
    <cfRule type="expression" dxfId="848" priority="458">
      <formula>"&lt;&gt;0"</formula>
    </cfRule>
  </conditionalFormatting>
  <conditionalFormatting sqref="F91:F94">
    <cfRule type="expression" dxfId="847" priority="287">
      <formula>"&gt;&lt;0"</formula>
    </cfRule>
  </conditionalFormatting>
  <conditionalFormatting sqref="F94">
    <cfRule type="expression" dxfId="846" priority="288">
      <formula>"&lt;&gt;0"</formula>
    </cfRule>
    <cfRule type="expression" dxfId="845" priority="286">
      <formula>"&gt;=0"</formula>
    </cfRule>
  </conditionalFormatting>
  <conditionalFormatting sqref="F94:F95">
    <cfRule type="expression" dxfId="844" priority="202">
      <formula>"&gt;&lt;0"</formula>
    </cfRule>
  </conditionalFormatting>
  <conditionalFormatting sqref="F95">
    <cfRule type="expression" dxfId="843" priority="200">
      <formula>"&gt;&lt;0"</formula>
    </cfRule>
    <cfRule type="expression" dxfId="842" priority="201">
      <formula>"&gt;=0"</formula>
    </cfRule>
    <cfRule type="expression" dxfId="841" priority="203">
      <formula>"&lt;&gt;0"</formula>
    </cfRule>
  </conditionalFormatting>
  <conditionalFormatting sqref="F96">
    <cfRule type="expression" dxfId="840" priority="353">
      <formula>"&lt;&gt;0"</formula>
    </cfRule>
    <cfRule type="expression" dxfId="839" priority="352">
      <formula>"&gt;&lt;0"</formula>
    </cfRule>
    <cfRule type="expression" dxfId="838" priority="351">
      <formula>"&gt;=0"</formula>
    </cfRule>
  </conditionalFormatting>
  <conditionalFormatting sqref="F96:F99">
    <cfRule type="expression" dxfId="837" priority="282">
      <formula>"&gt;&lt;0"</formula>
    </cfRule>
  </conditionalFormatting>
  <conditionalFormatting sqref="F97:F98">
    <cfRule type="expression" dxfId="836" priority="281">
      <formula>"&gt;=0"</formula>
    </cfRule>
    <cfRule type="expression" dxfId="835" priority="280">
      <formula>"&gt;&lt;0"</formula>
    </cfRule>
    <cfRule type="expression" dxfId="834" priority="283">
      <formula>"&lt;&gt;0"</formula>
    </cfRule>
  </conditionalFormatting>
  <conditionalFormatting sqref="F99">
    <cfRule type="expression" dxfId="833" priority="346">
      <formula>"&gt;=0"</formula>
    </cfRule>
    <cfRule type="expression" dxfId="832" priority="348">
      <formula>"&lt;&gt;0"</formula>
    </cfRule>
    <cfRule type="expression" dxfId="831" priority="347">
      <formula>"&gt;&lt;0"</formula>
    </cfRule>
  </conditionalFormatting>
  <conditionalFormatting sqref="F102:F111 F113:F118">
    <cfRule type="expression" dxfId="830" priority="442">
      <formula>"&gt;&lt;0"</formula>
    </cfRule>
    <cfRule type="expression" dxfId="829" priority="448">
      <formula>"&lt;&gt;0"</formula>
    </cfRule>
    <cfRule type="expression" dxfId="828" priority="446">
      <formula>"&gt;=0"</formula>
    </cfRule>
    <cfRule type="expression" dxfId="827" priority="447">
      <formula>"&gt;&lt;0"</formula>
    </cfRule>
  </conditionalFormatting>
  <conditionalFormatting sqref="F103">
    <cfRule type="expression" dxfId="826" priority="408">
      <formula>"&lt;&gt;0"</formula>
    </cfRule>
    <cfRule type="expression" dxfId="825" priority="406">
      <formula>"&gt;=0"</formula>
    </cfRule>
    <cfRule type="expression" dxfId="824" priority="405">
      <formula>"&gt;&lt;0"</formula>
    </cfRule>
  </conditionalFormatting>
  <conditionalFormatting sqref="F106:F109">
    <cfRule type="expression" dxfId="823" priority="395">
      <formula>"&gt;&lt;0"</formula>
    </cfRule>
    <cfRule type="expression" dxfId="822" priority="398">
      <formula>"&lt;&gt;0"</formula>
    </cfRule>
    <cfRule type="expression" dxfId="821" priority="396">
      <formula>"&gt;=0"</formula>
    </cfRule>
  </conditionalFormatting>
  <conditionalFormatting sqref="F112">
    <cfRule type="expression" dxfId="820" priority="271">
      <formula>"&gt;=0"</formula>
    </cfRule>
    <cfRule type="expression" dxfId="819" priority="273">
      <formula>"&lt;&gt;0"</formula>
    </cfRule>
    <cfRule type="expression" dxfId="818" priority="266">
      <formula>"&gt;=0"</formula>
    </cfRule>
    <cfRule type="expression" dxfId="817" priority="267">
      <formula>"&gt;&lt;0"</formula>
    </cfRule>
    <cfRule type="expression" dxfId="816" priority="268">
      <formula>"&lt;&gt;0"</formula>
    </cfRule>
  </conditionalFormatting>
  <conditionalFormatting sqref="F119">
    <cfRule type="expression" dxfId="815" priority="248">
      <formula>"&lt;&gt;0"</formula>
    </cfRule>
    <cfRule type="expression" dxfId="814" priority="253">
      <formula>"&lt;&gt;0"</formula>
    </cfRule>
    <cfRule type="expression" dxfId="813" priority="251">
      <formula>"&gt;=0"</formula>
    </cfRule>
    <cfRule type="expression" dxfId="812" priority="246">
      <formula>"&gt;=0"</formula>
    </cfRule>
    <cfRule type="expression" dxfId="811" priority="247">
      <formula>"&gt;&lt;0"</formula>
    </cfRule>
  </conditionalFormatting>
  <conditionalFormatting sqref="F120">
    <cfRule type="expression" dxfId="810" priority="103">
      <formula>"&lt;&gt;0"</formula>
    </cfRule>
    <cfRule type="expression" dxfId="809" priority="96">
      <formula>"&gt;=0"</formula>
    </cfRule>
    <cfRule type="expression" dxfId="808" priority="97">
      <formula>"&gt;&lt;0"</formula>
    </cfRule>
    <cfRule type="expression" dxfId="807" priority="98">
      <formula>"&lt;&gt;0"</formula>
    </cfRule>
    <cfRule type="expression" dxfId="806" priority="101">
      <formula>"&gt;=0"</formula>
    </cfRule>
  </conditionalFormatting>
  <conditionalFormatting sqref="F122:F125">
    <cfRule type="expression" dxfId="805" priority="342">
      <formula>"&gt;&lt;0"</formula>
    </cfRule>
  </conditionalFormatting>
  <conditionalFormatting sqref="F124:F125">
    <cfRule type="expression" dxfId="804" priority="343">
      <formula>"&lt;&gt;0"</formula>
    </cfRule>
    <cfRule type="expression" dxfId="803" priority="341">
      <formula>"&gt;=0"</formula>
    </cfRule>
  </conditionalFormatting>
  <conditionalFormatting sqref="F124:F126">
    <cfRule type="expression" dxfId="802" priority="227">
      <formula>"&gt;&lt;0"</formula>
    </cfRule>
  </conditionalFormatting>
  <conditionalFormatting sqref="F126">
    <cfRule type="expression" dxfId="801" priority="228">
      <formula>"&lt;&gt;0"</formula>
    </cfRule>
    <cfRule type="expression" dxfId="800" priority="225">
      <formula>"&gt;&lt;0"</formula>
    </cfRule>
    <cfRule type="expression" dxfId="799" priority="226">
      <formula>"&gt;=0"</formula>
    </cfRule>
  </conditionalFormatting>
  <conditionalFormatting sqref="F127">
    <cfRule type="expression" dxfId="798" priority="336">
      <formula>"&gt;=0"</formula>
    </cfRule>
    <cfRule type="expression" dxfId="797" priority="337">
      <formula>"&gt;&lt;0"</formula>
    </cfRule>
    <cfRule type="expression" dxfId="796" priority="338">
      <formula>"&lt;&gt;0"</formula>
    </cfRule>
  </conditionalFormatting>
  <conditionalFormatting sqref="F127:F128">
    <cfRule type="expression" dxfId="795" priority="332">
      <formula>"&gt;&lt;0"</formula>
    </cfRule>
  </conditionalFormatting>
  <conditionalFormatting sqref="F128">
    <cfRule type="expression" dxfId="794" priority="331">
      <formula>"&gt;=0"</formula>
    </cfRule>
    <cfRule type="expression" dxfId="793" priority="333">
      <formula>"&lt;&gt;0"</formula>
    </cfRule>
  </conditionalFormatting>
  <conditionalFormatting sqref="F128:F130">
    <cfRule type="expression" dxfId="792" priority="237">
      <formula>"&gt;&lt;0"</formula>
    </cfRule>
  </conditionalFormatting>
  <conditionalFormatting sqref="F129:F130">
    <cfRule type="expression" dxfId="791" priority="236">
      <formula>"&gt;=0"</formula>
    </cfRule>
    <cfRule type="expression" dxfId="790" priority="235">
      <formula>"&gt;&lt;0"</formula>
    </cfRule>
    <cfRule type="expression" dxfId="789" priority="238">
      <formula>"&lt;&gt;0"</formula>
    </cfRule>
  </conditionalFormatting>
  <conditionalFormatting sqref="F134:F135">
    <cfRule type="expression" dxfId="788" priority="436">
      <formula>"&gt;=0"</formula>
    </cfRule>
    <cfRule type="expression" dxfId="787" priority="437">
      <formula>"&gt;&lt;0"</formula>
    </cfRule>
    <cfRule type="expression" dxfId="786" priority="438">
      <formula>"&lt;&gt;0"</formula>
    </cfRule>
  </conditionalFormatting>
  <conditionalFormatting sqref="F137">
    <cfRule type="expression" dxfId="785" priority="431">
      <formula>"&gt;=0"</formula>
    </cfRule>
    <cfRule type="expression" dxfId="784" priority="433">
      <formula>"&lt;&gt;0"</formula>
    </cfRule>
    <cfRule type="expression" dxfId="783" priority="432">
      <formula>"&gt;&lt;0"</formula>
    </cfRule>
  </conditionalFormatting>
  <conditionalFormatting sqref="F137:F138">
    <cfRule type="expression" dxfId="782" priority="392">
      <formula>"&gt;&lt;0"</formula>
    </cfRule>
  </conditionalFormatting>
  <conditionalFormatting sqref="F138">
    <cfRule type="expression" dxfId="781" priority="391">
      <formula>"&gt;=0"</formula>
    </cfRule>
    <cfRule type="expression" dxfId="780" priority="393">
      <formula>"&lt;&gt;0"</formula>
    </cfRule>
  </conditionalFormatting>
  <conditionalFormatting sqref="F138:F139">
    <cfRule type="expression" dxfId="779" priority="387">
      <formula>"&gt;&lt;0"</formula>
    </cfRule>
  </conditionalFormatting>
  <conditionalFormatting sqref="F139">
    <cfRule type="expression" dxfId="778" priority="385">
      <formula>"&gt;&lt;0"</formula>
    </cfRule>
    <cfRule type="expression" dxfId="777" priority="386">
      <formula>"&gt;=0"</formula>
    </cfRule>
    <cfRule type="expression" dxfId="776" priority="388">
      <formula>"&lt;&gt;0"</formula>
    </cfRule>
  </conditionalFormatting>
  <conditionalFormatting sqref="F141">
    <cfRule type="expression" dxfId="775" priority="233">
      <formula>"&lt;&gt;0"</formula>
    </cfRule>
    <cfRule type="expression" dxfId="774" priority="232">
      <formula>"&gt;&lt;0"</formula>
    </cfRule>
    <cfRule type="expression" dxfId="773" priority="231">
      <formula>"&gt;=0"</formula>
    </cfRule>
  </conditionalFormatting>
  <conditionalFormatting sqref="F143:F145">
    <cfRule type="expression" dxfId="772" priority="426">
      <formula>"&gt;=0"</formula>
    </cfRule>
    <cfRule type="expression" dxfId="771" priority="427">
      <formula>"&gt;&lt;0"</formula>
    </cfRule>
    <cfRule type="expression" dxfId="770" priority="428">
      <formula>"&lt;&gt;0"</formula>
    </cfRule>
  </conditionalFormatting>
  <conditionalFormatting sqref="F147:F149">
    <cfRule type="expression" dxfId="769" priority="207">
      <formula>"&gt;&lt;0"</formula>
    </cfRule>
  </conditionalFormatting>
  <conditionalFormatting sqref="F148">
    <cfRule type="expression" dxfId="768" priority="206">
      <formula>"&gt;=0"</formula>
    </cfRule>
    <cfRule type="expression" dxfId="767" priority="205">
      <formula>"&gt;&lt;0"</formula>
    </cfRule>
    <cfRule type="expression" dxfId="766" priority="208">
      <formula>"&lt;&gt;0"</formula>
    </cfRule>
  </conditionalFormatting>
  <conditionalFormatting sqref="F149">
    <cfRule type="expression" dxfId="765" priority="381">
      <formula>"&gt;=0"</formula>
    </cfRule>
    <cfRule type="expression" dxfId="764" priority="383">
      <formula>"&lt;&gt;0"</formula>
    </cfRule>
  </conditionalFormatting>
  <conditionalFormatting sqref="F149:F150">
    <cfRule type="expression" dxfId="763" priority="382">
      <formula>"&gt;&lt;0"</formula>
    </cfRule>
  </conditionalFormatting>
  <conditionalFormatting sqref="F151">
    <cfRule type="expression" dxfId="762" priority="1369">
      <formula>"&gt;=0"</formula>
    </cfRule>
    <cfRule type="expression" dxfId="761" priority="1370">
      <formula>"&gt;&lt;0"</formula>
    </cfRule>
    <cfRule type="expression" dxfId="760" priority="1371">
      <formula>"&lt;&gt;0"</formula>
    </cfRule>
  </conditionalFormatting>
  <conditionalFormatting sqref="F12:G12">
    <cfRule type="expression" dxfId="759" priority="1415">
      <formula>"&gt;&lt;0"</formula>
    </cfRule>
  </conditionalFormatting>
  <conditionalFormatting sqref="F14:G15">
    <cfRule type="expression" dxfId="758" priority="218">
      <formula>"&lt;&gt;0"</formula>
    </cfRule>
    <cfRule type="expression" dxfId="757" priority="216">
      <formula>"&gt;=0"</formula>
    </cfRule>
    <cfRule type="expression" dxfId="756" priority="215">
      <formula>"&gt;&lt;0"</formula>
    </cfRule>
  </conditionalFormatting>
  <conditionalFormatting sqref="F16:G18 F20:G21">
    <cfRule type="expression" dxfId="755" priority="467">
      <formula>"&gt;&lt;0"</formula>
    </cfRule>
  </conditionalFormatting>
  <conditionalFormatting sqref="F19:G19">
    <cfRule type="expression" dxfId="754" priority="320">
      <formula>"&gt;&lt;0"</formula>
    </cfRule>
    <cfRule type="expression" dxfId="753" priority="321">
      <formula>"&gt;=0"</formula>
    </cfRule>
    <cfRule type="expression" dxfId="752" priority="323">
      <formula>"&lt;&gt;0"</formula>
    </cfRule>
  </conditionalFormatting>
  <conditionalFormatting sqref="F22:G22">
    <cfRule type="expression" dxfId="751" priority="312">
      <formula>"&gt;&lt;0"</formula>
    </cfRule>
  </conditionalFormatting>
  <conditionalFormatting sqref="F23:G23">
    <cfRule type="expression" dxfId="750" priority="301">
      <formula>"&gt;=0"</formula>
    </cfRule>
    <cfRule type="expression" dxfId="749" priority="303">
      <formula>"&lt;&gt;0"</formula>
    </cfRule>
    <cfRule type="expression" dxfId="748" priority="300">
      <formula>"&gt;&lt;0"</formula>
    </cfRule>
  </conditionalFormatting>
  <conditionalFormatting sqref="F24:G27 F29:G32 F55:F56 F60:F61 F81 F91:F93 F122:F123 F147 F150">
    <cfRule type="expression" dxfId="747" priority="422">
      <formula>"&gt;&lt;0"</formula>
    </cfRule>
    <cfRule type="expression" dxfId="746" priority="423">
      <formula>"&lt;&gt;0"</formula>
    </cfRule>
  </conditionalFormatting>
  <conditionalFormatting sqref="F24:G27 F29:G32 F150 F122:F123 F55:F56 F91:F93 F147 F60:F61 F81">
    <cfRule type="expression" dxfId="745" priority="421">
      <formula>"&gt;=0"</formula>
    </cfRule>
  </conditionalFormatting>
  <conditionalFormatting sqref="F24:G27 F29:G32">
    <cfRule type="expression" dxfId="744" priority="420">
      <formula>"&gt;&lt;0"</formula>
    </cfRule>
  </conditionalFormatting>
  <conditionalFormatting sqref="F24:G32">
    <cfRule type="expression" priority="14">
      <formula>"""&gt;&lt;0"""</formula>
    </cfRule>
  </conditionalFormatting>
  <conditionalFormatting sqref="F28:G28">
    <cfRule type="expression" dxfId="743" priority="17">
      <formula>"&gt;&lt;0"</formula>
    </cfRule>
    <cfRule type="expression" dxfId="742" priority="16">
      <formula>"&gt;=0"</formula>
    </cfRule>
    <cfRule type="expression" dxfId="741" priority="18">
      <formula>"&lt;&gt;0"</formula>
    </cfRule>
    <cfRule type="expression" dxfId="740" priority="12">
      <formula>"&gt;&lt;0"</formula>
    </cfRule>
  </conditionalFormatting>
  <conditionalFormatting sqref="F33:G33">
    <cfRule type="expression" dxfId="739" priority="357">
      <formula>"&gt;&lt;0"</formula>
    </cfRule>
  </conditionalFormatting>
  <conditionalFormatting sqref="F35:G47">
    <cfRule type="expression" dxfId="738" priority="82">
      <formula>"&gt;&lt;0"</formula>
    </cfRule>
    <cfRule type="expression" priority="79">
      <formula>"""&gt;&lt;0"""</formula>
    </cfRule>
  </conditionalFormatting>
  <conditionalFormatting sqref="F50:G58">
    <cfRule type="expression" priority="74">
      <formula>"""&gt;&lt;0"""</formula>
    </cfRule>
  </conditionalFormatting>
  <conditionalFormatting sqref="F60:G81">
    <cfRule type="expression" priority="59">
      <formula>"""&gt;&lt;0"""</formula>
    </cfRule>
  </conditionalFormatting>
  <conditionalFormatting sqref="F83:G89">
    <cfRule type="expression" priority="54">
      <formula>"""&gt;&lt;0"""</formula>
    </cfRule>
    <cfRule type="expression" dxfId="737" priority="57">
      <formula>"&gt;&lt;0"</formula>
    </cfRule>
  </conditionalFormatting>
  <conditionalFormatting sqref="F91:G99">
    <cfRule type="expression" priority="49">
      <formula>"""&gt;&lt;0"""</formula>
    </cfRule>
  </conditionalFormatting>
  <conditionalFormatting sqref="F102:G120">
    <cfRule type="expression" priority="89">
      <formula>"""&gt;&lt;0"""</formula>
    </cfRule>
  </conditionalFormatting>
  <conditionalFormatting sqref="F103:G103">
    <cfRule type="expression" dxfId="736" priority="407">
      <formula>"&gt;&lt;0"</formula>
    </cfRule>
  </conditionalFormatting>
  <conditionalFormatting sqref="F106:G111">
    <cfRule type="expression" dxfId="735" priority="397">
      <formula>"&gt;&lt;0"</formula>
    </cfRule>
  </conditionalFormatting>
  <conditionalFormatting sqref="F110:G111 F113:G118">
    <cfRule type="expression" dxfId="734" priority="416">
      <formula>"&gt;=0"</formula>
    </cfRule>
    <cfRule type="expression" dxfId="733" priority="418">
      <formula>"&lt;&gt;0"</formula>
    </cfRule>
  </conditionalFormatting>
  <conditionalFormatting sqref="F112:G112">
    <cfRule type="expression" dxfId="732" priority="262">
      <formula>"&gt;&lt;0"</formula>
    </cfRule>
  </conditionalFormatting>
  <conditionalFormatting sqref="F112:G118">
    <cfRule type="expression" dxfId="731" priority="272">
      <formula>"&gt;&lt;0"</formula>
    </cfRule>
  </conditionalFormatting>
  <conditionalFormatting sqref="F119:G119">
    <cfRule type="expression" dxfId="730" priority="252">
      <formula>"&gt;&lt;0"</formula>
    </cfRule>
    <cfRule type="expression" dxfId="729" priority="242">
      <formula>"&gt;&lt;0"</formula>
    </cfRule>
  </conditionalFormatting>
  <conditionalFormatting sqref="F120:G120">
    <cfRule type="expression" dxfId="728" priority="92">
      <formula>"&gt;&lt;0"</formula>
    </cfRule>
    <cfRule type="expression" dxfId="727" priority="102">
      <formula>"&gt;&lt;0"</formula>
    </cfRule>
  </conditionalFormatting>
  <conditionalFormatting sqref="F122:G130">
    <cfRule type="expression" priority="44">
      <formula>"""&gt;&lt;0"""</formula>
    </cfRule>
  </conditionalFormatting>
  <conditionalFormatting sqref="F134:G135">
    <cfRule type="expression" dxfId="726" priority="42">
      <formula>"&gt;&lt;0"</formula>
    </cfRule>
    <cfRule type="expression" priority="39">
      <formula>"""&gt;&lt;0"""</formula>
    </cfRule>
  </conditionalFormatting>
  <conditionalFormatting sqref="F137:G139">
    <cfRule type="expression" priority="34">
      <formula>"""&gt;&lt;0"""</formula>
    </cfRule>
  </conditionalFormatting>
  <conditionalFormatting sqref="F141:G141">
    <cfRule type="expression" dxfId="725" priority="32">
      <formula>"&gt;&lt;0"</formula>
    </cfRule>
    <cfRule type="expression" priority="29">
      <formula>"""&gt;&lt;0"""</formula>
    </cfRule>
  </conditionalFormatting>
  <conditionalFormatting sqref="F143:G145">
    <cfRule type="expression" dxfId="724" priority="27">
      <formula>"&gt;&lt;0"</formula>
    </cfRule>
    <cfRule type="expression" priority="24">
      <formula>"""&gt;&lt;0"""</formula>
    </cfRule>
  </conditionalFormatting>
  <conditionalFormatting sqref="F147:G151">
    <cfRule type="expression" priority="19">
      <formula>"""&gt;&lt;0"""</formula>
    </cfRule>
  </conditionalFormatting>
  <conditionalFormatting sqref="F151:G151">
    <cfRule type="expression" dxfId="723" priority="1285">
      <formula>"&gt;&lt;0"</formula>
    </cfRule>
  </conditionalFormatting>
  <conditionalFormatting sqref="G12">
    <cfRule type="expression" dxfId="722" priority="1421">
      <formula>"&lt;&gt;0"</formula>
    </cfRule>
    <cfRule type="expression" dxfId="721" priority="1419">
      <formula>"&gt;=0"</formula>
    </cfRule>
    <cfRule type="expression" dxfId="720" priority="1420">
      <formula>"&gt;&lt;0"</formula>
    </cfRule>
  </conditionalFormatting>
  <conditionalFormatting sqref="G12:G33">
    <cfRule type="expression" priority="9">
      <formula>"""&gt;&lt;0"""</formula>
    </cfRule>
  </conditionalFormatting>
  <conditionalFormatting sqref="G13:G27 G29:G33">
    <cfRule type="expression" dxfId="719" priority="377">
      <formula>"&gt;&lt;0"</formula>
    </cfRule>
    <cfRule type="expression" dxfId="718" priority="378">
      <formula>"&lt;&gt;0"</formula>
    </cfRule>
  </conditionalFormatting>
  <conditionalFormatting sqref="G13:G27">
    <cfRule type="expression" dxfId="717" priority="327">
      <formula>"&gt;&lt;0"</formula>
    </cfRule>
  </conditionalFormatting>
  <conditionalFormatting sqref="G14:G15">
    <cfRule type="expression" dxfId="716" priority="222">
      <formula>"&gt;&lt;0"</formula>
    </cfRule>
  </conditionalFormatting>
  <conditionalFormatting sqref="G16:G18 G20:G21">
    <cfRule type="expression" dxfId="715" priority="472">
      <formula>"&gt;&lt;0"</formula>
    </cfRule>
    <cfRule type="expression" dxfId="714" priority="471">
      <formula>"&gt;=0"</formula>
    </cfRule>
    <cfRule type="expression" dxfId="713" priority="473">
      <formula>"&lt;&gt;0"</formula>
    </cfRule>
  </conditionalFormatting>
  <conditionalFormatting sqref="G22">
    <cfRule type="expression" dxfId="712" priority="318">
      <formula>"&lt;&gt;0"</formula>
    </cfRule>
    <cfRule type="expression" dxfId="711" priority="317">
      <formula>"&gt;&lt;0"</formula>
    </cfRule>
    <cfRule type="expression" dxfId="710" priority="316">
      <formula>"&gt;=0"</formula>
    </cfRule>
  </conditionalFormatting>
  <conditionalFormatting sqref="G23">
    <cfRule type="expression" dxfId="709" priority="307">
      <formula>"&gt;&lt;0"</formula>
    </cfRule>
  </conditionalFormatting>
  <conditionalFormatting sqref="G28">
    <cfRule type="expression" dxfId="708" priority="10">
      <formula>"&gt;&lt;0"</formula>
    </cfRule>
    <cfRule type="expression" dxfId="707" priority="11">
      <formula>"&gt;=0"</formula>
    </cfRule>
    <cfRule type="expression" dxfId="706" priority="13">
      <formula>"&lt;&gt;0"</formula>
    </cfRule>
  </conditionalFormatting>
  <conditionalFormatting sqref="G29:G33 G13:G27">
    <cfRule type="expression" dxfId="705" priority="376">
      <formula>"&gt;=0"</formula>
    </cfRule>
  </conditionalFormatting>
  <conditionalFormatting sqref="G29:G33">
    <cfRule type="expression" dxfId="704" priority="362">
      <formula>"&gt;&lt;0"</formula>
    </cfRule>
  </conditionalFormatting>
  <conditionalFormatting sqref="G33">
    <cfRule type="expression" dxfId="703" priority="363">
      <formula>"&lt;&gt;0"</formula>
    </cfRule>
    <cfRule type="expression" dxfId="702" priority="361">
      <formula>"&gt;=0"</formula>
    </cfRule>
  </conditionalFormatting>
  <conditionalFormatting sqref="G35:G47">
    <cfRule type="expression" dxfId="701" priority="86">
      <formula>"&gt;=0"</formula>
    </cfRule>
    <cfRule type="expression" dxfId="700" priority="88">
      <formula>"&lt;&gt;0"</formula>
    </cfRule>
    <cfRule type="expression" dxfId="699" priority="87">
      <formula>"&gt;&lt;0"</formula>
    </cfRule>
  </conditionalFormatting>
  <conditionalFormatting sqref="G50:G58">
    <cfRule type="expression" dxfId="698" priority="76">
      <formula>"&gt;=0"</formula>
    </cfRule>
    <cfRule type="expression" dxfId="697" priority="78">
      <formula>"&lt;&gt;0"</formula>
    </cfRule>
    <cfRule type="expression" dxfId="696" priority="77">
      <formula>"&gt;&lt;0"</formula>
    </cfRule>
    <cfRule type="expression" dxfId="695" priority="75">
      <formula>"&gt;&lt;0"</formula>
    </cfRule>
  </conditionalFormatting>
  <conditionalFormatting sqref="G60:G64">
    <cfRule type="expression" dxfId="694" priority="71">
      <formula>"&gt;=0"</formula>
    </cfRule>
    <cfRule type="expression" dxfId="693" priority="72">
      <formula>"&gt;&lt;0"</formula>
    </cfRule>
    <cfRule type="expression" dxfId="692" priority="73">
      <formula>"&lt;&gt;0"</formula>
    </cfRule>
  </conditionalFormatting>
  <conditionalFormatting sqref="G60:G80">
    <cfRule type="expression" dxfId="691" priority="67">
      <formula>"&gt;&lt;0"</formula>
    </cfRule>
  </conditionalFormatting>
  <conditionalFormatting sqref="G65:G80">
    <cfRule type="expression" dxfId="690" priority="66">
      <formula>"&gt;=0"</formula>
    </cfRule>
    <cfRule type="expression" dxfId="689" priority="68">
      <formula>"&lt;&gt;0"</formula>
    </cfRule>
  </conditionalFormatting>
  <conditionalFormatting sqref="G65:G81">
    <cfRule type="expression" dxfId="688" priority="62">
      <formula>"&gt;&lt;0"</formula>
    </cfRule>
  </conditionalFormatting>
  <conditionalFormatting sqref="G81">
    <cfRule type="expression" dxfId="687" priority="60">
      <formula>"&gt;&lt;0"</formula>
    </cfRule>
    <cfRule type="expression" dxfId="686" priority="63">
      <formula>"&lt;&gt;0"</formula>
    </cfRule>
    <cfRule type="expression" dxfId="685" priority="61">
      <formula>"&gt;=0"</formula>
    </cfRule>
  </conditionalFormatting>
  <conditionalFormatting sqref="G83:G89">
    <cfRule type="expression" dxfId="684" priority="58">
      <formula>"&lt;&gt;0"</formula>
    </cfRule>
    <cfRule type="expression" dxfId="683" priority="56">
      <formula>"&gt;=0"</formula>
    </cfRule>
    <cfRule type="expression" dxfId="682" priority="55">
      <formula>"&gt;&lt;0"</formula>
    </cfRule>
  </conditionalFormatting>
  <conditionalFormatting sqref="G91:G99">
    <cfRule type="expression" dxfId="681" priority="51">
      <formula>"&gt;=0"</formula>
    </cfRule>
    <cfRule type="expression" dxfId="680" priority="52">
      <formula>"&gt;&lt;0"</formula>
    </cfRule>
    <cfRule type="expression" dxfId="679" priority="53">
      <formula>"&lt;&gt;0"</formula>
    </cfRule>
    <cfRule type="expression" dxfId="678" priority="50">
      <formula>"&gt;&lt;0"</formula>
    </cfRule>
  </conditionalFormatting>
  <conditionalFormatting sqref="G102:G120">
    <cfRule type="expression" dxfId="677" priority="453">
      <formula>"&lt;&gt;0"</formula>
    </cfRule>
    <cfRule type="expression" dxfId="676" priority="451">
      <formula>"&gt;=0"</formula>
    </cfRule>
    <cfRule type="expression" dxfId="675" priority="452">
      <formula>"&gt;&lt;0"</formula>
    </cfRule>
    <cfRule type="expression" dxfId="674" priority="417">
      <formula>"&gt;&lt;0"</formula>
    </cfRule>
  </conditionalFormatting>
  <conditionalFormatting sqref="G103">
    <cfRule type="expression" dxfId="673" priority="411">
      <formula>"&gt;=0"</formula>
    </cfRule>
    <cfRule type="expression" dxfId="672" priority="412">
      <formula>"&gt;&lt;0"</formula>
    </cfRule>
    <cfRule type="expression" dxfId="671" priority="413">
      <formula>"&lt;&gt;0"</formula>
    </cfRule>
  </conditionalFormatting>
  <conditionalFormatting sqref="G106:G109">
    <cfRule type="expression" dxfId="670" priority="401">
      <formula>"&gt;=0"</formula>
    </cfRule>
    <cfRule type="expression" dxfId="669" priority="403">
      <formula>"&lt;&gt;0"</formula>
    </cfRule>
    <cfRule type="expression" dxfId="668" priority="402">
      <formula>"&gt;&lt;0"</formula>
    </cfRule>
  </conditionalFormatting>
  <conditionalFormatting sqref="G112">
    <cfRule type="expression" dxfId="667" priority="278">
      <formula>"&lt;&gt;0"</formula>
    </cfRule>
    <cfRule type="expression" dxfId="666" priority="276">
      <formula>"&gt;=0"</formula>
    </cfRule>
    <cfRule type="expression" dxfId="665" priority="260">
      <formula>"&gt;&lt;0"</formula>
    </cfRule>
    <cfRule type="expression" dxfId="664" priority="261">
      <formula>"&gt;=0"</formula>
    </cfRule>
    <cfRule type="expression" dxfId="663" priority="263">
      <formula>"&lt;&gt;0"</formula>
    </cfRule>
    <cfRule type="expression" dxfId="662" priority="277">
      <formula>"&gt;&lt;0"</formula>
    </cfRule>
  </conditionalFormatting>
  <conditionalFormatting sqref="G119">
    <cfRule type="expression" dxfId="661" priority="258">
      <formula>"&lt;&gt;0"</formula>
    </cfRule>
    <cfRule type="expression" dxfId="660" priority="257">
      <formula>"&gt;&lt;0"</formula>
    </cfRule>
    <cfRule type="expression" dxfId="659" priority="256">
      <formula>"&gt;=0"</formula>
    </cfRule>
    <cfRule type="expression" dxfId="658" priority="241">
      <formula>"&gt;=0"</formula>
    </cfRule>
    <cfRule type="expression" dxfId="657" priority="243">
      <formula>"&lt;&gt;0"</formula>
    </cfRule>
  </conditionalFormatting>
  <conditionalFormatting sqref="G119:G120">
    <cfRule type="expression" dxfId="656" priority="107">
      <formula>"&gt;&lt;0"</formula>
    </cfRule>
  </conditionalFormatting>
  <conditionalFormatting sqref="G120">
    <cfRule type="expression" dxfId="655" priority="90">
      <formula>"&gt;&lt;0"</formula>
    </cfRule>
    <cfRule type="expression" dxfId="654" priority="106">
      <formula>"&gt;=0"</formula>
    </cfRule>
    <cfRule type="expression" dxfId="653" priority="108">
      <formula>"&lt;&gt;0"</formula>
    </cfRule>
    <cfRule type="expression" dxfId="652" priority="91">
      <formula>"&gt;=0"</formula>
    </cfRule>
    <cfRule type="expression" dxfId="651" priority="93">
      <formula>"&lt;&gt;0"</formula>
    </cfRule>
  </conditionalFormatting>
  <conditionalFormatting sqref="G122:G130">
    <cfRule type="expression" dxfId="650" priority="48">
      <formula>"&lt;&gt;0"</formula>
    </cfRule>
    <cfRule type="expression" dxfId="649" priority="47">
      <formula>"&gt;&lt;0"</formula>
    </cfRule>
    <cfRule type="expression" dxfId="648" priority="45">
      <formula>"&gt;&lt;0"</formula>
    </cfRule>
    <cfRule type="expression" dxfId="647" priority="46">
      <formula>"&gt;=0"</formula>
    </cfRule>
  </conditionalFormatting>
  <conditionalFormatting sqref="G134:G135">
    <cfRule type="expression" dxfId="646" priority="43">
      <formula>"&lt;&gt;0"</formula>
    </cfRule>
    <cfRule type="expression" dxfId="645" priority="41">
      <formula>"&gt;=0"</formula>
    </cfRule>
    <cfRule type="expression" dxfId="644" priority="40">
      <formula>"&gt;&lt;0"</formula>
    </cfRule>
  </conditionalFormatting>
  <conditionalFormatting sqref="G137:G139">
    <cfRule type="expression" dxfId="643" priority="38">
      <formula>"&lt;&gt;0"</formula>
    </cfRule>
    <cfRule type="expression" dxfId="642" priority="37">
      <formula>"&gt;&lt;0"</formula>
    </cfRule>
    <cfRule type="expression" dxfId="641" priority="36">
      <formula>"&gt;=0"</formula>
    </cfRule>
    <cfRule type="expression" dxfId="640" priority="35">
      <formula>"&gt;&lt;0"</formula>
    </cfRule>
  </conditionalFormatting>
  <conditionalFormatting sqref="G141">
    <cfRule type="expression" dxfId="639" priority="30">
      <formula>"&gt;&lt;0"</formula>
    </cfRule>
    <cfRule type="expression" dxfId="638" priority="33">
      <formula>"&lt;&gt;0"</formula>
    </cfRule>
    <cfRule type="expression" dxfId="637" priority="31">
      <formula>"&gt;=0"</formula>
    </cfRule>
  </conditionalFormatting>
  <conditionalFormatting sqref="G143:G145">
    <cfRule type="expression" dxfId="636" priority="26">
      <formula>"&gt;=0"</formula>
    </cfRule>
    <cfRule type="expression" dxfId="635" priority="28">
      <formula>"&lt;&gt;0"</formula>
    </cfRule>
    <cfRule type="expression" dxfId="634" priority="25">
      <formula>"&gt;&lt;0"</formula>
    </cfRule>
  </conditionalFormatting>
  <conditionalFormatting sqref="G147:G150">
    <cfRule type="expression" dxfId="633" priority="23">
      <formula>"&lt;&gt;0"</formula>
    </cfRule>
    <cfRule type="expression" dxfId="632" priority="21">
      <formula>"&gt;=0"</formula>
    </cfRule>
    <cfRule type="expression" dxfId="631" priority="20">
      <formula>"&gt;&lt;0"</formula>
    </cfRule>
  </conditionalFormatting>
  <conditionalFormatting sqref="G147:G151">
    <cfRule type="expression" dxfId="630" priority="22">
      <formula>"&gt;&lt;0"</formula>
    </cfRule>
  </conditionalFormatting>
  <conditionalFormatting sqref="G151">
    <cfRule type="expression" dxfId="629" priority="1284">
      <formula>"&gt;=0"</formula>
    </cfRule>
    <cfRule type="expression" dxfId="628" priority="1286">
      <formula>"&lt;&gt;0"</formula>
    </cfRule>
  </conditionalFormatting>
  <conditionalFormatting sqref="I199:J199">
    <cfRule type="cellIs" dxfId="627" priority="1" stopIfTrue="1" operator="notEqual">
      <formula>0</formula>
    </cfRule>
  </conditionalFormatting>
  <conditionalFormatting sqref="I234:J234">
    <cfRule type="cellIs" dxfId="626" priority="2" operator="notEqual">
      <formula>0</formula>
    </cfRule>
    <cfRule type="cellIs" dxfId="625" priority="4" stopIfTrue="1" operator="notEqual">
      <formula>0</formula>
    </cfRule>
  </conditionalFormatting>
  <conditionalFormatting sqref="I259:J259">
    <cfRule type="cellIs" dxfId="624" priority="5" stopIfTrue="1" operator="notEqual">
      <formula>0</formula>
    </cfRule>
  </conditionalFormatting>
  <conditionalFormatting sqref="L199 I209:L209 I223:J223 I242:J242 I249:J249">
    <cfRule type="cellIs" dxfId="623" priority="8" stopIfTrue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3A41-1E6B-4C35-B360-2540DE80CEA3}">
  <sheetPr>
    <tabColor theme="9" tint="0.79998168889431442"/>
  </sheetPr>
  <dimension ref="B2:AC260"/>
  <sheetViews>
    <sheetView zoomScaleNormal="100" workbookViewId="0">
      <pane xSplit="5" ySplit="7" topLeftCell="G113" activePane="bottomRight" state="frozen"/>
      <selection activeCell="Z107" sqref="Z107"/>
      <selection pane="topRight" activeCell="Z107" sqref="Z107"/>
      <selection pane="bottomLeft" activeCell="Z107" sqref="Z107"/>
      <selection pane="bottomRight" activeCell="E137" sqref="E137"/>
    </sheetView>
  </sheetViews>
  <sheetFormatPr defaultRowHeight="12"/>
  <cols>
    <col min="1" max="1" width="3" style="114" customWidth="1"/>
    <col min="2" max="2" width="7.375" style="114" customWidth="1"/>
    <col min="3" max="3" width="17.375" style="114" customWidth="1"/>
    <col min="4" max="5" width="14.5" style="114" customWidth="1"/>
    <col min="6" max="6" width="12.75" style="114" customWidth="1"/>
    <col min="7" max="7" width="14.625" style="114" customWidth="1"/>
    <col min="8" max="8" width="12.75" style="114" customWidth="1"/>
    <col min="9" max="9" width="13.75" style="114" customWidth="1"/>
    <col min="10" max="13" width="12.75" style="114" customWidth="1"/>
    <col min="14" max="22" width="12.75" style="115" customWidth="1"/>
    <col min="23" max="23" width="14.625" style="115" customWidth="1"/>
    <col min="24" max="24" width="14.625" style="114" customWidth="1"/>
    <col min="25" max="251" width="8.75" style="114"/>
    <col min="252" max="252" width="3" style="114" customWidth="1"/>
    <col min="253" max="253" width="17.375" style="114" customWidth="1"/>
    <col min="254" max="272" width="12.75" style="114" customWidth="1"/>
    <col min="273" max="274" width="16.75" style="114" customWidth="1"/>
    <col min="275" max="507" width="8.75" style="114"/>
    <col min="508" max="508" width="3" style="114" customWidth="1"/>
    <col min="509" max="509" width="17.375" style="114" customWidth="1"/>
    <col min="510" max="528" width="12.75" style="114" customWidth="1"/>
    <col min="529" max="530" width="16.75" style="114" customWidth="1"/>
    <col min="531" max="763" width="8.75" style="114"/>
    <col min="764" max="764" width="3" style="114" customWidth="1"/>
    <col min="765" max="765" width="17.375" style="114" customWidth="1"/>
    <col min="766" max="784" width="12.75" style="114" customWidth="1"/>
    <col min="785" max="786" width="16.75" style="114" customWidth="1"/>
    <col min="787" max="1019" width="8.75" style="114"/>
    <col min="1020" max="1020" width="3" style="114" customWidth="1"/>
    <col min="1021" max="1021" width="17.375" style="114" customWidth="1"/>
    <col min="1022" max="1040" width="12.75" style="114" customWidth="1"/>
    <col min="1041" max="1042" width="16.75" style="114" customWidth="1"/>
    <col min="1043" max="1275" width="8.75" style="114"/>
    <col min="1276" max="1276" width="3" style="114" customWidth="1"/>
    <col min="1277" max="1277" width="17.375" style="114" customWidth="1"/>
    <col min="1278" max="1296" width="12.75" style="114" customWidth="1"/>
    <col min="1297" max="1298" width="16.75" style="114" customWidth="1"/>
    <col min="1299" max="1531" width="8.75" style="114"/>
    <col min="1532" max="1532" width="3" style="114" customWidth="1"/>
    <col min="1533" max="1533" width="17.375" style="114" customWidth="1"/>
    <col min="1534" max="1552" width="12.75" style="114" customWidth="1"/>
    <col min="1553" max="1554" width="16.75" style="114" customWidth="1"/>
    <col min="1555" max="1787" width="8.75" style="114"/>
    <col min="1788" max="1788" width="3" style="114" customWidth="1"/>
    <col min="1789" max="1789" width="17.375" style="114" customWidth="1"/>
    <col min="1790" max="1808" width="12.75" style="114" customWidth="1"/>
    <col min="1809" max="1810" width="16.75" style="114" customWidth="1"/>
    <col min="1811" max="2043" width="8.75" style="114"/>
    <col min="2044" max="2044" width="3" style="114" customWidth="1"/>
    <col min="2045" max="2045" width="17.375" style="114" customWidth="1"/>
    <col min="2046" max="2064" width="12.75" style="114" customWidth="1"/>
    <col min="2065" max="2066" width="16.75" style="114" customWidth="1"/>
    <col min="2067" max="2299" width="8.75" style="114"/>
    <col min="2300" max="2300" width="3" style="114" customWidth="1"/>
    <col min="2301" max="2301" width="17.375" style="114" customWidth="1"/>
    <col min="2302" max="2320" width="12.75" style="114" customWidth="1"/>
    <col min="2321" max="2322" width="16.75" style="114" customWidth="1"/>
    <col min="2323" max="2555" width="8.75" style="114"/>
    <col min="2556" max="2556" width="3" style="114" customWidth="1"/>
    <col min="2557" max="2557" width="17.375" style="114" customWidth="1"/>
    <col min="2558" max="2576" width="12.75" style="114" customWidth="1"/>
    <col min="2577" max="2578" width="16.75" style="114" customWidth="1"/>
    <col min="2579" max="2811" width="8.75" style="114"/>
    <col min="2812" max="2812" width="3" style="114" customWidth="1"/>
    <col min="2813" max="2813" width="17.375" style="114" customWidth="1"/>
    <col min="2814" max="2832" width="12.75" style="114" customWidth="1"/>
    <col min="2833" max="2834" width="16.75" style="114" customWidth="1"/>
    <col min="2835" max="3067" width="8.75" style="114"/>
    <col min="3068" max="3068" width="3" style="114" customWidth="1"/>
    <col min="3069" max="3069" width="17.375" style="114" customWidth="1"/>
    <col min="3070" max="3088" width="12.75" style="114" customWidth="1"/>
    <col min="3089" max="3090" width="16.75" style="114" customWidth="1"/>
    <col min="3091" max="3323" width="8.75" style="114"/>
    <col min="3324" max="3324" width="3" style="114" customWidth="1"/>
    <col min="3325" max="3325" width="17.375" style="114" customWidth="1"/>
    <col min="3326" max="3344" width="12.75" style="114" customWidth="1"/>
    <col min="3345" max="3346" width="16.75" style="114" customWidth="1"/>
    <col min="3347" max="3579" width="8.75" style="114"/>
    <col min="3580" max="3580" width="3" style="114" customWidth="1"/>
    <col min="3581" max="3581" width="17.375" style="114" customWidth="1"/>
    <col min="3582" max="3600" width="12.75" style="114" customWidth="1"/>
    <col min="3601" max="3602" width="16.75" style="114" customWidth="1"/>
    <col min="3603" max="3835" width="8.75" style="114"/>
    <col min="3836" max="3836" width="3" style="114" customWidth="1"/>
    <col min="3837" max="3837" width="17.375" style="114" customWidth="1"/>
    <col min="3838" max="3856" width="12.75" style="114" customWidth="1"/>
    <col min="3857" max="3858" width="16.75" style="114" customWidth="1"/>
    <col min="3859" max="4091" width="8.75" style="114"/>
    <col min="4092" max="4092" width="3" style="114" customWidth="1"/>
    <col min="4093" max="4093" width="17.375" style="114" customWidth="1"/>
    <col min="4094" max="4112" width="12.75" style="114" customWidth="1"/>
    <col min="4113" max="4114" width="16.75" style="114" customWidth="1"/>
    <col min="4115" max="4347" width="8.75" style="114"/>
    <col min="4348" max="4348" width="3" style="114" customWidth="1"/>
    <col min="4349" max="4349" width="17.375" style="114" customWidth="1"/>
    <col min="4350" max="4368" width="12.75" style="114" customWidth="1"/>
    <col min="4369" max="4370" width="16.75" style="114" customWidth="1"/>
    <col min="4371" max="4603" width="8.75" style="114"/>
    <col min="4604" max="4604" width="3" style="114" customWidth="1"/>
    <col min="4605" max="4605" width="17.375" style="114" customWidth="1"/>
    <col min="4606" max="4624" width="12.75" style="114" customWidth="1"/>
    <col min="4625" max="4626" width="16.75" style="114" customWidth="1"/>
    <col min="4627" max="4859" width="8.75" style="114"/>
    <col min="4860" max="4860" width="3" style="114" customWidth="1"/>
    <col min="4861" max="4861" width="17.375" style="114" customWidth="1"/>
    <col min="4862" max="4880" width="12.75" style="114" customWidth="1"/>
    <col min="4881" max="4882" width="16.75" style="114" customWidth="1"/>
    <col min="4883" max="5115" width="8.75" style="114"/>
    <col min="5116" max="5116" width="3" style="114" customWidth="1"/>
    <col min="5117" max="5117" width="17.375" style="114" customWidth="1"/>
    <col min="5118" max="5136" width="12.75" style="114" customWidth="1"/>
    <col min="5137" max="5138" width="16.75" style="114" customWidth="1"/>
    <col min="5139" max="5371" width="8.75" style="114"/>
    <col min="5372" max="5372" width="3" style="114" customWidth="1"/>
    <col min="5373" max="5373" width="17.375" style="114" customWidth="1"/>
    <col min="5374" max="5392" width="12.75" style="114" customWidth="1"/>
    <col min="5393" max="5394" width="16.75" style="114" customWidth="1"/>
    <col min="5395" max="5627" width="8.75" style="114"/>
    <col min="5628" max="5628" width="3" style="114" customWidth="1"/>
    <col min="5629" max="5629" width="17.375" style="114" customWidth="1"/>
    <col min="5630" max="5648" width="12.75" style="114" customWidth="1"/>
    <col min="5649" max="5650" width="16.75" style="114" customWidth="1"/>
    <col min="5651" max="5883" width="8.75" style="114"/>
    <col min="5884" max="5884" width="3" style="114" customWidth="1"/>
    <col min="5885" max="5885" width="17.375" style="114" customWidth="1"/>
    <col min="5886" max="5904" width="12.75" style="114" customWidth="1"/>
    <col min="5905" max="5906" width="16.75" style="114" customWidth="1"/>
    <col min="5907" max="6139" width="8.75" style="114"/>
    <col min="6140" max="6140" width="3" style="114" customWidth="1"/>
    <col min="6141" max="6141" width="17.375" style="114" customWidth="1"/>
    <col min="6142" max="6160" width="12.75" style="114" customWidth="1"/>
    <col min="6161" max="6162" width="16.75" style="114" customWidth="1"/>
    <col min="6163" max="6395" width="8.75" style="114"/>
    <col min="6396" max="6396" width="3" style="114" customWidth="1"/>
    <col min="6397" max="6397" width="17.375" style="114" customWidth="1"/>
    <col min="6398" max="6416" width="12.75" style="114" customWidth="1"/>
    <col min="6417" max="6418" width="16.75" style="114" customWidth="1"/>
    <col min="6419" max="6651" width="8.75" style="114"/>
    <col min="6652" max="6652" width="3" style="114" customWidth="1"/>
    <col min="6653" max="6653" width="17.375" style="114" customWidth="1"/>
    <col min="6654" max="6672" width="12.75" style="114" customWidth="1"/>
    <col min="6673" max="6674" width="16.75" style="114" customWidth="1"/>
    <col min="6675" max="6907" width="8.75" style="114"/>
    <col min="6908" max="6908" width="3" style="114" customWidth="1"/>
    <col min="6909" max="6909" width="17.375" style="114" customWidth="1"/>
    <col min="6910" max="6928" width="12.75" style="114" customWidth="1"/>
    <col min="6929" max="6930" width="16.75" style="114" customWidth="1"/>
    <col min="6931" max="7163" width="8.75" style="114"/>
    <col min="7164" max="7164" width="3" style="114" customWidth="1"/>
    <col min="7165" max="7165" width="17.375" style="114" customWidth="1"/>
    <col min="7166" max="7184" width="12.75" style="114" customWidth="1"/>
    <col min="7185" max="7186" width="16.75" style="114" customWidth="1"/>
    <col min="7187" max="7419" width="8.75" style="114"/>
    <col min="7420" max="7420" width="3" style="114" customWidth="1"/>
    <col min="7421" max="7421" width="17.375" style="114" customWidth="1"/>
    <col min="7422" max="7440" width="12.75" style="114" customWidth="1"/>
    <col min="7441" max="7442" width="16.75" style="114" customWidth="1"/>
    <col min="7443" max="7675" width="8.75" style="114"/>
    <col min="7676" max="7676" width="3" style="114" customWidth="1"/>
    <col min="7677" max="7677" width="17.375" style="114" customWidth="1"/>
    <col min="7678" max="7696" width="12.75" style="114" customWidth="1"/>
    <col min="7697" max="7698" width="16.75" style="114" customWidth="1"/>
    <col min="7699" max="7931" width="8.75" style="114"/>
    <col min="7932" max="7932" width="3" style="114" customWidth="1"/>
    <col min="7933" max="7933" width="17.375" style="114" customWidth="1"/>
    <col min="7934" max="7952" width="12.75" style="114" customWidth="1"/>
    <col min="7953" max="7954" width="16.75" style="114" customWidth="1"/>
    <col min="7955" max="8187" width="8.75" style="114"/>
    <col min="8188" max="8188" width="3" style="114" customWidth="1"/>
    <col min="8189" max="8189" width="17.375" style="114" customWidth="1"/>
    <col min="8190" max="8208" width="12.75" style="114" customWidth="1"/>
    <col min="8209" max="8210" width="16.75" style="114" customWidth="1"/>
    <col min="8211" max="8443" width="8.75" style="114"/>
    <col min="8444" max="8444" width="3" style="114" customWidth="1"/>
    <col min="8445" max="8445" width="17.375" style="114" customWidth="1"/>
    <col min="8446" max="8464" width="12.75" style="114" customWidth="1"/>
    <col min="8465" max="8466" width="16.75" style="114" customWidth="1"/>
    <col min="8467" max="8699" width="8.75" style="114"/>
    <col min="8700" max="8700" width="3" style="114" customWidth="1"/>
    <col min="8701" max="8701" width="17.375" style="114" customWidth="1"/>
    <col min="8702" max="8720" width="12.75" style="114" customWidth="1"/>
    <col min="8721" max="8722" width="16.75" style="114" customWidth="1"/>
    <col min="8723" max="8955" width="8.75" style="114"/>
    <col min="8956" max="8956" width="3" style="114" customWidth="1"/>
    <col min="8957" max="8957" width="17.375" style="114" customWidth="1"/>
    <col min="8958" max="8976" width="12.75" style="114" customWidth="1"/>
    <col min="8977" max="8978" width="16.75" style="114" customWidth="1"/>
    <col min="8979" max="9211" width="8.75" style="114"/>
    <col min="9212" max="9212" width="3" style="114" customWidth="1"/>
    <col min="9213" max="9213" width="17.375" style="114" customWidth="1"/>
    <col min="9214" max="9232" width="12.75" style="114" customWidth="1"/>
    <col min="9233" max="9234" width="16.75" style="114" customWidth="1"/>
    <col min="9235" max="9467" width="8.75" style="114"/>
    <col min="9468" max="9468" width="3" style="114" customWidth="1"/>
    <col min="9469" max="9469" width="17.375" style="114" customWidth="1"/>
    <col min="9470" max="9488" width="12.75" style="114" customWidth="1"/>
    <col min="9489" max="9490" width="16.75" style="114" customWidth="1"/>
    <col min="9491" max="9723" width="8.75" style="114"/>
    <col min="9724" max="9724" width="3" style="114" customWidth="1"/>
    <col min="9725" max="9725" width="17.375" style="114" customWidth="1"/>
    <col min="9726" max="9744" width="12.75" style="114" customWidth="1"/>
    <col min="9745" max="9746" width="16.75" style="114" customWidth="1"/>
    <col min="9747" max="9979" width="8.75" style="114"/>
    <col min="9980" max="9980" width="3" style="114" customWidth="1"/>
    <col min="9981" max="9981" width="17.375" style="114" customWidth="1"/>
    <col min="9982" max="10000" width="12.75" style="114" customWidth="1"/>
    <col min="10001" max="10002" width="16.75" style="114" customWidth="1"/>
    <col min="10003" max="10235" width="8.75" style="114"/>
    <col min="10236" max="10236" width="3" style="114" customWidth="1"/>
    <col min="10237" max="10237" width="17.375" style="114" customWidth="1"/>
    <col min="10238" max="10256" width="12.75" style="114" customWidth="1"/>
    <col min="10257" max="10258" width="16.75" style="114" customWidth="1"/>
    <col min="10259" max="10491" width="8.75" style="114"/>
    <col min="10492" max="10492" width="3" style="114" customWidth="1"/>
    <col min="10493" max="10493" width="17.375" style="114" customWidth="1"/>
    <col min="10494" max="10512" width="12.75" style="114" customWidth="1"/>
    <col min="10513" max="10514" width="16.75" style="114" customWidth="1"/>
    <col min="10515" max="10747" width="8.75" style="114"/>
    <col min="10748" max="10748" width="3" style="114" customWidth="1"/>
    <col min="10749" max="10749" width="17.375" style="114" customWidth="1"/>
    <col min="10750" max="10768" width="12.75" style="114" customWidth="1"/>
    <col min="10769" max="10770" width="16.75" style="114" customWidth="1"/>
    <col min="10771" max="11003" width="8.75" style="114"/>
    <col min="11004" max="11004" width="3" style="114" customWidth="1"/>
    <col min="11005" max="11005" width="17.375" style="114" customWidth="1"/>
    <col min="11006" max="11024" width="12.75" style="114" customWidth="1"/>
    <col min="11025" max="11026" width="16.75" style="114" customWidth="1"/>
    <col min="11027" max="11259" width="8.75" style="114"/>
    <col min="11260" max="11260" width="3" style="114" customWidth="1"/>
    <col min="11261" max="11261" width="17.375" style="114" customWidth="1"/>
    <col min="11262" max="11280" width="12.75" style="114" customWidth="1"/>
    <col min="11281" max="11282" width="16.75" style="114" customWidth="1"/>
    <col min="11283" max="11515" width="8.75" style="114"/>
    <col min="11516" max="11516" width="3" style="114" customWidth="1"/>
    <col min="11517" max="11517" width="17.375" style="114" customWidth="1"/>
    <col min="11518" max="11536" width="12.75" style="114" customWidth="1"/>
    <col min="11537" max="11538" width="16.75" style="114" customWidth="1"/>
    <col min="11539" max="11771" width="8.75" style="114"/>
    <col min="11772" max="11772" width="3" style="114" customWidth="1"/>
    <col min="11773" max="11773" width="17.375" style="114" customWidth="1"/>
    <col min="11774" max="11792" width="12.75" style="114" customWidth="1"/>
    <col min="11793" max="11794" width="16.75" style="114" customWidth="1"/>
    <col min="11795" max="12027" width="8.75" style="114"/>
    <col min="12028" max="12028" width="3" style="114" customWidth="1"/>
    <col min="12029" max="12029" width="17.375" style="114" customWidth="1"/>
    <col min="12030" max="12048" width="12.75" style="114" customWidth="1"/>
    <col min="12049" max="12050" width="16.75" style="114" customWidth="1"/>
    <col min="12051" max="12283" width="8.75" style="114"/>
    <col min="12284" max="12284" width="3" style="114" customWidth="1"/>
    <col min="12285" max="12285" width="17.375" style="114" customWidth="1"/>
    <col min="12286" max="12304" width="12.75" style="114" customWidth="1"/>
    <col min="12305" max="12306" width="16.75" style="114" customWidth="1"/>
    <col min="12307" max="12539" width="8.75" style="114"/>
    <col min="12540" max="12540" width="3" style="114" customWidth="1"/>
    <col min="12541" max="12541" width="17.375" style="114" customWidth="1"/>
    <col min="12542" max="12560" width="12.75" style="114" customWidth="1"/>
    <col min="12561" max="12562" width="16.75" style="114" customWidth="1"/>
    <col min="12563" max="12795" width="8.75" style="114"/>
    <col min="12796" max="12796" width="3" style="114" customWidth="1"/>
    <col min="12797" max="12797" width="17.375" style="114" customWidth="1"/>
    <col min="12798" max="12816" width="12.75" style="114" customWidth="1"/>
    <col min="12817" max="12818" width="16.75" style="114" customWidth="1"/>
    <col min="12819" max="13051" width="8.75" style="114"/>
    <col min="13052" max="13052" width="3" style="114" customWidth="1"/>
    <col min="13053" max="13053" width="17.375" style="114" customWidth="1"/>
    <col min="13054" max="13072" width="12.75" style="114" customWidth="1"/>
    <col min="13073" max="13074" width="16.75" style="114" customWidth="1"/>
    <col min="13075" max="13307" width="8.75" style="114"/>
    <col min="13308" max="13308" width="3" style="114" customWidth="1"/>
    <col min="13309" max="13309" width="17.375" style="114" customWidth="1"/>
    <col min="13310" max="13328" width="12.75" style="114" customWidth="1"/>
    <col min="13329" max="13330" width="16.75" style="114" customWidth="1"/>
    <col min="13331" max="13563" width="8.75" style="114"/>
    <col min="13564" max="13564" width="3" style="114" customWidth="1"/>
    <col min="13565" max="13565" width="17.375" style="114" customWidth="1"/>
    <col min="13566" max="13584" width="12.75" style="114" customWidth="1"/>
    <col min="13585" max="13586" width="16.75" style="114" customWidth="1"/>
    <col min="13587" max="13819" width="8.75" style="114"/>
    <col min="13820" max="13820" width="3" style="114" customWidth="1"/>
    <col min="13821" max="13821" width="17.375" style="114" customWidth="1"/>
    <col min="13822" max="13840" width="12.75" style="114" customWidth="1"/>
    <col min="13841" max="13842" width="16.75" style="114" customWidth="1"/>
    <col min="13843" max="14075" width="8.75" style="114"/>
    <col min="14076" max="14076" width="3" style="114" customWidth="1"/>
    <col min="14077" max="14077" width="17.375" style="114" customWidth="1"/>
    <col min="14078" max="14096" width="12.75" style="114" customWidth="1"/>
    <col min="14097" max="14098" width="16.75" style="114" customWidth="1"/>
    <col min="14099" max="14331" width="8.75" style="114"/>
    <col min="14332" max="14332" width="3" style="114" customWidth="1"/>
    <col min="14333" max="14333" width="17.375" style="114" customWidth="1"/>
    <col min="14334" max="14352" width="12.75" style="114" customWidth="1"/>
    <col min="14353" max="14354" width="16.75" style="114" customWidth="1"/>
    <col min="14355" max="14587" width="8.75" style="114"/>
    <col min="14588" max="14588" width="3" style="114" customWidth="1"/>
    <col min="14589" max="14589" width="17.375" style="114" customWidth="1"/>
    <col min="14590" max="14608" width="12.75" style="114" customWidth="1"/>
    <col min="14609" max="14610" width="16.75" style="114" customWidth="1"/>
    <col min="14611" max="14843" width="8.75" style="114"/>
    <col min="14844" max="14844" width="3" style="114" customWidth="1"/>
    <col min="14845" max="14845" width="17.375" style="114" customWidth="1"/>
    <col min="14846" max="14864" width="12.75" style="114" customWidth="1"/>
    <col min="14865" max="14866" width="16.75" style="114" customWidth="1"/>
    <col min="14867" max="15099" width="8.75" style="114"/>
    <col min="15100" max="15100" width="3" style="114" customWidth="1"/>
    <col min="15101" max="15101" width="17.375" style="114" customWidth="1"/>
    <col min="15102" max="15120" width="12.75" style="114" customWidth="1"/>
    <col min="15121" max="15122" width="16.75" style="114" customWidth="1"/>
    <col min="15123" max="15355" width="8.75" style="114"/>
    <col min="15356" max="15356" width="3" style="114" customWidth="1"/>
    <col min="15357" max="15357" width="17.375" style="114" customWidth="1"/>
    <col min="15358" max="15376" width="12.75" style="114" customWidth="1"/>
    <col min="15377" max="15378" width="16.75" style="114" customWidth="1"/>
    <col min="15379" max="15611" width="8.75" style="114"/>
    <col min="15612" max="15612" width="3" style="114" customWidth="1"/>
    <col min="15613" max="15613" width="17.375" style="114" customWidth="1"/>
    <col min="15614" max="15632" width="12.75" style="114" customWidth="1"/>
    <col min="15633" max="15634" width="16.75" style="114" customWidth="1"/>
    <col min="15635" max="15867" width="8.75" style="114"/>
    <col min="15868" max="15868" width="3" style="114" customWidth="1"/>
    <col min="15869" max="15869" width="17.375" style="114" customWidth="1"/>
    <col min="15870" max="15888" width="12.75" style="114" customWidth="1"/>
    <col min="15889" max="15890" width="16.75" style="114" customWidth="1"/>
    <col min="15891" max="16123" width="8.75" style="114"/>
    <col min="16124" max="16124" width="3" style="114" customWidth="1"/>
    <col min="16125" max="16125" width="17.375" style="114" customWidth="1"/>
    <col min="16126" max="16144" width="12.75" style="114" customWidth="1"/>
    <col min="16145" max="16146" width="16.75" style="114" customWidth="1"/>
    <col min="16147" max="16384" width="8.75" style="114"/>
  </cols>
  <sheetData>
    <row r="2" spans="2:25" ht="17.45" customHeight="1">
      <c r="B2" s="112"/>
      <c r="C2" s="113"/>
      <c r="D2" s="365" t="s">
        <v>542</v>
      </c>
      <c r="E2" s="365"/>
    </row>
    <row r="3" spans="2:25" ht="17.45" customHeight="1">
      <c r="B3" s="112"/>
      <c r="C3" s="113"/>
      <c r="D3" s="365"/>
      <c r="E3" s="365"/>
      <c r="W3" s="116"/>
    </row>
    <row r="4" spans="2:25" s="117" customFormat="1">
      <c r="C4" s="118" t="str">
        <f>[197]정산표!C5</f>
        <v>Balance Verification</v>
      </c>
      <c r="D4" s="119">
        <f>D100-D154</f>
        <v>0</v>
      </c>
      <c r="E4" s="119">
        <f>E100-E154</f>
        <v>0</v>
      </c>
      <c r="F4" s="117" t="s">
        <v>543</v>
      </c>
      <c r="G4" s="120">
        <f>SUM(G8:G154)</f>
        <v>-500000.08999999997</v>
      </c>
      <c r="I4" s="121"/>
      <c r="N4" s="122"/>
      <c r="O4" s="122"/>
      <c r="P4" s="122"/>
      <c r="Q4" s="122"/>
      <c r="R4" s="122"/>
      <c r="S4" s="122"/>
      <c r="T4" s="123" t="s">
        <v>544</v>
      </c>
      <c r="U4" s="124"/>
      <c r="V4" s="125">
        <f>T155-V155</f>
        <v>0</v>
      </c>
      <c r="W4" s="122"/>
      <c r="X4" s="126">
        <f>SUM(W10:W154)-SUM(X10:X154)</f>
        <v>0</v>
      </c>
      <c r="Y4" s="122"/>
    </row>
    <row r="5" spans="2:25" s="117" customFormat="1" ht="13.15" customHeight="1">
      <c r="B5" s="366" t="s">
        <v>545</v>
      </c>
      <c r="C5" s="367" t="s">
        <v>546</v>
      </c>
      <c r="D5" s="127">
        <v>43830</v>
      </c>
      <c r="E5" s="127">
        <v>44196</v>
      </c>
      <c r="F5" s="368" t="s">
        <v>547</v>
      </c>
      <c r="G5" s="368" t="s">
        <v>548</v>
      </c>
      <c r="H5" s="128"/>
      <c r="I5" s="128"/>
      <c r="J5" s="128" t="s">
        <v>549</v>
      </c>
      <c r="K5" s="128"/>
      <c r="L5" s="128"/>
      <c r="M5" s="128"/>
      <c r="N5" s="129"/>
      <c r="O5" s="362" t="s">
        <v>550</v>
      </c>
      <c r="P5" s="362"/>
      <c r="Q5" s="361" t="s">
        <v>551</v>
      </c>
      <c r="R5" s="361"/>
      <c r="S5" s="362" t="s">
        <v>552</v>
      </c>
      <c r="T5" s="362"/>
      <c r="U5" s="362"/>
      <c r="V5" s="362"/>
      <c r="W5" s="363" t="s">
        <v>699</v>
      </c>
      <c r="X5" s="363"/>
    </row>
    <row r="6" spans="2:25" s="117" customFormat="1" ht="24">
      <c r="B6" s="367"/>
      <c r="C6" s="367"/>
      <c r="D6" s="130" t="s">
        <v>553</v>
      </c>
      <c r="E6" s="130" t="s">
        <v>553</v>
      </c>
      <c r="F6" s="369"/>
      <c r="G6" s="369"/>
      <c r="H6" s="128" t="s">
        <v>554</v>
      </c>
      <c r="I6" s="128" t="s">
        <v>555</v>
      </c>
      <c r="J6" s="128" t="s">
        <v>556</v>
      </c>
      <c r="K6" s="128" t="s">
        <v>557</v>
      </c>
      <c r="L6" s="128" t="s">
        <v>558</v>
      </c>
      <c r="M6" s="128" t="s">
        <v>559</v>
      </c>
      <c r="N6" s="131" t="s">
        <v>560</v>
      </c>
      <c r="O6" s="132" t="s">
        <v>561</v>
      </c>
      <c r="P6" s="132" t="s">
        <v>562</v>
      </c>
      <c r="Q6" s="129" t="s">
        <v>561</v>
      </c>
      <c r="R6" s="129" t="s">
        <v>562</v>
      </c>
      <c r="S6" s="132" t="s">
        <v>563</v>
      </c>
      <c r="T6" s="132" t="s">
        <v>564</v>
      </c>
      <c r="U6" s="132" t="s">
        <v>563</v>
      </c>
      <c r="V6" s="132" t="s">
        <v>565</v>
      </c>
      <c r="W6" s="133" t="s">
        <v>564</v>
      </c>
      <c r="X6" s="133" t="s">
        <v>565</v>
      </c>
    </row>
    <row r="7" spans="2:25">
      <c r="B7" s="134"/>
      <c r="C7" s="134" t="s">
        <v>14</v>
      </c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</row>
    <row r="8" spans="2:25">
      <c r="B8" s="134"/>
      <c r="C8" s="134" t="s">
        <v>566</v>
      </c>
      <c r="D8" s="136">
        <f>D9+D34</f>
        <v>906761</v>
      </c>
      <c r="E8" s="136">
        <f>E9+E34</f>
        <v>1135202.03</v>
      </c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</row>
    <row r="9" spans="2:25">
      <c r="B9" s="137"/>
      <c r="C9" s="137" t="s">
        <v>567</v>
      </c>
      <c r="D9" s="138">
        <f>SUM(D10:D33)</f>
        <v>906761</v>
      </c>
      <c r="E9" s="138">
        <f>SUM(E10:E33)</f>
        <v>1091484.03</v>
      </c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</row>
    <row r="10" spans="2:25">
      <c r="B10" s="139" t="s">
        <v>17</v>
      </c>
      <c r="C10" s="139" t="s">
        <v>18</v>
      </c>
      <c r="D10" s="140">
        <f>SUMIF('A-1. 별도FS_19'!$B:$B,CFwp_US_local!B10,'A-1. 별도FS_19'!$E:$E)</f>
        <v>906761</v>
      </c>
      <c r="E10" s="140">
        <f>SUMIF('A-1. 별도FS_20'!$B:$B,CFwp_US_local!B10,'A-1. 별도FS_20'!$E:$E)</f>
        <v>600</v>
      </c>
      <c r="F10" s="141"/>
      <c r="G10" s="142"/>
      <c r="H10" s="143" t="s">
        <v>568</v>
      </c>
      <c r="I10" s="144"/>
      <c r="J10" s="140"/>
      <c r="K10" s="140"/>
      <c r="L10" s="140"/>
      <c r="M10" s="140"/>
      <c r="N10" s="145"/>
      <c r="O10" s="145"/>
      <c r="P10" s="145"/>
      <c r="Q10" s="145"/>
      <c r="R10" s="145"/>
      <c r="S10" s="140"/>
      <c r="T10" s="145"/>
      <c r="U10" s="145"/>
      <c r="V10" s="145"/>
      <c r="W10" s="145"/>
      <c r="X10" s="145"/>
    </row>
    <row r="11" spans="2:25">
      <c r="B11" s="139" t="s">
        <v>21</v>
      </c>
      <c r="C11" s="139" t="s">
        <v>22</v>
      </c>
      <c r="D11" s="140">
        <f>SUMIF('A-1. 별도FS_19'!$B:$B,CFwp_US_local!B11,'A-1. 별도FS_19'!$E:$E)</f>
        <v>0</v>
      </c>
      <c r="E11" s="140">
        <f>SUMIF('A-1. 별도FS_20'!$B:$B,CFwp_US_local!B11,'A-1. 별도FS_20'!$E:$E)</f>
        <v>1001284.39</v>
      </c>
      <c r="F11" s="141"/>
      <c r="G11" s="142"/>
      <c r="H11" s="143" t="s">
        <v>569</v>
      </c>
      <c r="I11" s="144"/>
      <c r="J11" s="140"/>
      <c r="K11" s="140"/>
      <c r="L11" s="140"/>
      <c r="M11" s="140"/>
      <c r="N11" s="145"/>
      <c r="O11" s="145"/>
      <c r="P11" s="145"/>
      <c r="Q11" s="145"/>
      <c r="R11" s="145"/>
      <c r="S11" s="140"/>
      <c r="T11" s="145"/>
      <c r="U11" s="145"/>
      <c r="V11" s="145"/>
      <c r="W11" s="145"/>
      <c r="X11" s="145"/>
    </row>
    <row r="12" spans="2:25">
      <c r="B12" s="139" t="s">
        <v>23</v>
      </c>
      <c r="C12" s="139" t="s">
        <v>24</v>
      </c>
      <c r="D12" s="140">
        <f>SUMIF('A-1. 별도FS_19'!$B:$B,CFwp_US_local!B12,'A-1. 별도FS_19'!$E:$E)</f>
        <v>0</v>
      </c>
      <c r="E12" s="140">
        <f>SUMIF('A-1. 별도FS_20'!$B:$B,CFwp_US_local!B12,'A-1. 별도FS_20'!$E:$E)</f>
        <v>0</v>
      </c>
      <c r="F12" s="146"/>
      <c r="G12" s="146"/>
      <c r="H12" s="147"/>
      <c r="I12" s="144"/>
      <c r="J12" s="140"/>
      <c r="K12" s="140"/>
      <c r="L12" s="140"/>
      <c r="M12" s="140"/>
      <c r="N12" s="145"/>
      <c r="O12" s="145"/>
      <c r="P12" s="145"/>
      <c r="Q12" s="145"/>
      <c r="R12" s="145"/>
      <c r="S12" s="140"/>
      <c r="T12" s="145"/>
      <c r="U12" s="145"/>
      <c r="V12" s="145"/>
      <c r="W12" s="145"/>
      <c r="X12" s="145"/>
    </row>
    <row r="13" spans="2:25">
      <c r="B13" s="139" t="s">
        <v>25</v>
      </c>
      <c r="C13" s="139" t="s">
        <v>26</v>
      </c>
      <c r="D13" s="140">
        <f>SUMIF('A-1. 별도FS_19'!$B:$B,CFwp_US_local!B13,'A-1. 별도FS_19'!$E:$E)</f>
        <v>0</v>
      </c>
      <c r="E13" s="140">
        <f>SUMIF('A-1. 별도FS_20'!$B:$B,CFwp_US_local!B13,'A-1. 별도FS_20'!$E:$E)</f>
        <v>0</v>
      </c>
      <c r="F13" s="146">
        <f>E13-D13</f>
        <v>0</v>
      </c>
      <c r="G13" s="344">
        <f>J13-K13+N13+O13-P13+Q13-R13-T13+V13+F13-W13+X13</f>
        <v>0</v>
      </c>
      <c r="H13" s="147"/>
      <c r="I13" s="144"/>
      <c r="J13" s="140"/>
      <c r="K13" s="140"/>
      <c r="L13" s="140"/>
      <c r="M13" s="140"/>
      <c r="N13" s="145"/>
      <c r="O13" s="145"/>
      <c r="P13" s="145"/>
      <c r="Q13" s="145"/>
      <c r="R13" s="145"/>
      <c r="S13" s="140"/>
      <c r="T13" s="145"/>
      <c r="U13" s="145"/>
      <c r="V13" s="145"/>
      <c r="W13" s="145"/>
      <c r="X13" s="145"/>
    </row>
    <row r="14" spans="2:25">
      <c r="B14" s="139" t="s">
        <v>29</v>
      </c>
      <c r="C14" s="139" t="s">
        <v>30</v>
      </c>
      <c r="D14" s="140">
        <f>SUMIF('A-1. 별도FS_19'!$B:$B,CFwp_US_local!B14,'A-1. 별도FS_19'!$E:$E)</f>
        <v>0</v>
      </c>
      <c r="E14" s="140">
        <f>SUMIF('A-1. 별도FS_20'!$B:$B,CFwp_US_local!B14,'A-1. 별도FS_20'!$E:$E)</f>
        <v>0</v>
      </c>
      <c r="F14" s="146">
        <f>E14-D14</f>
        <v>0</v>
      </c>
      <c r="G14" s="344">
        <f>J14-K14+N14+O14-P14+Q14-R14-T14+V14+F14-W14+X14</f>
        <v>0</v>
      </c>
      <c r="H14" s="147" t="s">
        <v>570</v>
      </c>
      <c r="I14" s="144"/>
      <c r="J14" s="140"/>
      <c r="K14" s="140"/>
      <c r="L14" s="140"/>
      <c r="M14" s="140"/>
      <c r="N14" s="145"/>
      <c r="O14" s="145"/>
      <c r="P14" s="145"/>
      <c r="Q14" s="145"/>
      <c r="R14" s="145"/>
      <c r="S14" s="140"/>
      <c r="T14" s="145"/>
      <c r="U14" s="145"/>
      <c r="V14" s="145"/>
      <c r="W14" s="145"/>
      <c r="X14" s="145"/>
    </row>
    <row r="15" spans="2:25">
      <c r="B15" s="139"/>
      <c r="C15" s="139"/>
      <c r="D15" s="140"/>
      <c r="E15" s="140"/>
      <c r="F15" s="146"/>
      <c r="G15" s="344"/>
      <c r="H15" s="147"/>
      <c r="I15" s="144"/>
      <c r="J15" s="140"/>
      <c r="K15" s="140"/>
      <c r="L15" s="140"/>
      <c r="M15" s="140"/>
      <c r="N15" s="145"/>
      <c r="O15" s="145"/>
      <c r="P15" s="145"/>
      <c r="Q15" s="145"/>
      <c r="R15" s="145"/>
      <c r="S15" s="140"/>
      <c r="T15" s="145"/>
      <c r="U15" s="145"/>
      <c r="V15" s="145"/>
      <c r="W15" s="145"/>
      <c r="X15" s="145"/>
    </row>
    <row r="16" spans="2:25">
      <c r="B16" s="139" t="s">
        <v>31</v>
      </c>
      <c r="C16" s="139" t="s">
        <v>32</v>
      </c>
      <c r="D16" s="140">
        <f>SUMIF('A-1. 별도FS_19'!$B:$B,CFwp_US_local!B16,'A-1. 별도FS_19'!$E:$E)</f>
        <v>0</v>
      </c>
      <c r="E16" s="140">
        <f>SUMIF('A-1. 별도FS_20'!$B:$B,CFwp_US_local!B16,'A-1. 별도FS_20'!$E:$E)</f>
        <v>89599.64</v>
      </c>
      <c r="F16" s="146">
        <f t="shared" ref="F16:F34" si="0">E16-D16</f>
        <v>89599.64</v>
      </c>
      <c r="G16" s="344">
        <f t="shared" ref="G16:G34" si="1">J16-K16+N16+O16-P16+Q16-R16-T16+V16+F16-W16+X16</f>
        <v>0</v>
      </c>
      <c r="H16" s="143" t="s">
        <v>568</v>
      </c>
      <c r="I16" s="144"/>
      <c r="J16" s="140"/>
      <c r="K16" s="140"/>
      <c r="L16" s="140">
        <v>-89599.64</v>
      </c>
      <c r="M16" s="140"/>
      <c r="N16" s="145">
        <f>L16</f>
        <v>-89599.64</v>
      </c>
      <c r="O16" s="145"/>
      <c r="P16" s="145"/>
      <c r="Q16" s="145"/>
      <c r="R16" s="145"/>
      <c r="S16" s="140"/>
      <c r="T16" s="145"/>
      <c r="U16" s="145"/>
      <c r="V16" s="145"/>
      <c r="W16" s="145"/>
      <c r="X16" s="145"/>
    </row>
    <row r="17" spans="2:24">
      <c r="B17" s="139"/>
      <c r="C17" s="139"/>
      <c r="D17" s="140"/>
      <c r="E17" s="140"/>
      <c r="F17" s="146"/>
      <c r="G17" s="344"/>
      <c r="H17" s="143" t="s">
        <v>569</v>
      </c>
      <c r="I17" s="144"/>
      <c r="J17" s="140"/>
      <c r="K17" s="140"/>
      <c r="L17" s="140"/>
      <c r="M17" s="140"/>
      <c r="N17" s="145"/>
      <c r="O17" s="145"/>
      <c r="P17" s="145"/>
      <c r="Q17" s="145"/>
      <c r="R17" s="145"/>
      <c r="S17" s="140"/>
      <c r="T17" s="145"/>
      <c r="U17" s="145"/>
      <c r="V17" s="145"/>
      <c r="W17" s="145"/>
      <c r="X17" s="145"/>
    </row>
    <row r="18" spans="2:24">
      <c r="B18" s="139" t="s">
        <v>35</v>
      </c>
      <c r="C18" s="139" t="s">
        <v>36</v>
      </c>
      <c r="D18" s="140">
        <f>SUMIF('A-1. 별도FS_19'!$B:$B,CFwp_US_local!B18,'A-1. 별도FS_19'!$E:$E)</f>
        <v>0</v>
      </c>
      <c r="E18" s="140">
        <f>SUMIF('A-1. 별도FS_20'!$B:$B,CFwp_US_local!B18,'A-1. 별도FS_20'!$E:$E)</f>
        <v>0</v>
      </c>
      <c r="F18" s="146">
        <f t="shared" si="0"/>
        <v>0</v>
      </c>
      <c r="G18" s="344">
        <f t="shared" si="1"/>
        <v>0</v>
      </c>
      <c r="H18" s="143" t="s">
        <v>571</v>
      </c>
      <c r="I18" s="144"/>
      <c r="J18" s="140"/>
      <c r="K18" s="140"/>
      <c r="L18" s="140"/>
      <c r="M18" s="140"/>
      <c r="N18" s="145"/>
      <c r="O18" s="145"/>
      <c r="P18" s="145"/>
      <c r="Q18" s="145"/>
      <c r="R18" s="145"/>
      <c r="S18" s="140"/>
      <c r="T18" s="145"/>
      <c r="U18" s="145"/>
      <c r="V18" s="145"/>
      <c r="W18" s="145"/>
      <c r="X18" s="145"/>
    </row>
    <row r="19" spans="2:24">
      <c r="B19" s="139" t="s">
        <v>37</v>
      </c>
      <c r="C19" s="139" t="s">
        <v>38</v>
      </c>
      <c r="D19" s="140">
        <f>SUMIF('A-1. 별도FS_19'!$B:$B,CFwp_US_local!B19,'A-1. 별도FS_19'!$E:$E)</f>
        <v>0</v>
      </c>
      <c r="E19" s="140">
        <f>SUMIF('A-1. 별도FS_20'!$B:$B,CFwp_US_local!B19,'A-1. 별도FS_20'!$E:$E)</f>
        <v>0</v>
      </c>
      <c r="F19" s="146">
        <f t="shared" si="0"/>
        <v>0</v>
      </c>
      <c r="G19" s="344">
        <f t="shared" si="1"/>
        <v>0</v>
      </c>
      <c r="H19" s="143" t="s">
        <v>572</v>
      </c>
      <c r="I19" s="144"/>
      <c r="J19" s="140"/>
      <c r="K19" s="140"/>
      <c r="L19" s="140"/>
      <c r="M19" s="140"/>
      <c r="N19" s="145"/>
      <c r="O19" s="145"/>
      <c r="P19" s="145"/>
      <c r="Q19" s="145"/>
      <c r="R19" s="145"/>
      <c r="S19" s="140"/>
      <c r="T19" s="145"/>
      <c r="U19" s="145"/>
      <c r="V19" s="145"/>
      <c r="W19" s="145"/>
      <c r="X19" s="145"/>
    </row>
    <row r="20" spans="2:24">
      <c r="B20" s="139" t="s">
        <v>39</v>
      </c>
      <c r="C20" s="139" t="s">
        <v>40</v>
      </c>
      <c r="D20" s="140">
        <f>SUMIF('A-1. 별도FS_19'!$B:$B,CFwp_US_local!B20,'A-1. 별도FS_19'!$E:$E)</f>
        <v>0</v>
      </c>
      <c r="E20" s="140">
        <f>SUMIF('A-1. 별도FS_20'!$B:$B,CFwp_US_local!B20,'A-1. 별도FS_20'!$E:$E)</f>
        <v>0</v>
      </c>
      <c r="F20" s="146">
        <f t="shared" si="0"/>
        <v>0</v>
      </c>
      <c r="G20" s="344">
        <f t="shared" si="1"/>
        <v>0</v>
      </c>
      <c r="H20" s="143" t="s">
        <v>571</v>
      </c>
      <c r="I20" s="144"/>
      <c r="J20" s="140"/>
      <c r="K20" s="140"/>
      <c r="L20" s="140"/>
      <c r="M20" s="140"/>
      <c r="N20" s="145"/>
      <c r="O20" s="145"/>
      <c r="P20" s="145"/>
      <c r="Q20" s="145"/>
      <c r="R20" s="145"/>
      <c r="S20" s="140"/>
      <c r="T20" s="145"/>
      <c r="U20" s="145"/>
      <c r="V20" s="145"/>
      <c r="W20" s="145"/>
      <c r="X20" s="145"/>
    </row>
    <row r="21" spans="2:24">
      <c r="B21" s="139" t="s">
        <v>41</v>
      </c>
      <c r="C21" s="139" t="s">
        <v>42</v>
      </c>
      <c r="D21" s="140">
        <f>SUMIF('A-1. 별도FS_19'!$B:$B,CFwp_US_local!B21,'A-1. 별도FS_19'!$E:$E)</f>
        <v>0</v>
      </c>
      <c r="E21" s="140">
        <f>SUMIF('A-1. 별도FS_20'!$B:$B,CFwp_US_local!B21,'A-1. 별도FS_20'!$E:$E)</f>
        <v>0</v>
      </c>
      <c r="F21" s="146">
        <f t="shared" si="0"/>
        <v>0</v>
      </c>
      <c r="G21" s="344">
        <f t="shared" si="1"/>
        <v>0</v>
      </c>
      <c r="H21" s="143"/>
      <c r="I21" s="144"/>
      <c r="J21" s="140"/>
      <c r="K21" s="140"/>
      <c r="L21" s="140"/>
      <c r="M21" s="140"/>
      <c r="N21" s="145"/>
      <c r="O21" s="145"/>
      <c r="P21" s="145"/>
      <c r="Q21" s="145"/>
      <c r="R21" s="145"/>
      <c r="S21" s="140"/>
      <c r="T21" s="145"/>
      <c r="U21" s="145"/>
      <c r="V21" s="145"/>
      <c r="W21" s="145"/>
      <c r="X21" s="145"/>
    </row>
    <row r="22" spans="2:24">
      <c r="B22" s="139" t="s">
        <v>43</v>
      </c>
      <c r="C22" s="139" t="s">
        <v>44</v>
      </c>
      <c r="D22" s="140">
        <f>SUMIF('A-1. 별도FS_19'!$B:$B,CFwp_US_local!B22,'A-1. 별도FS_19'!$E:$E)</f>
        <v>0</v>
      </c>
      <c r="E22" s="140">
        <f>SUMIF('A-1. 별도FS_20'!$B:$B,CFwp_US_local!B22,'A-1. 별도FS_20'!$E:$E)</f>
        <v>0</v>
      </c>
      <c r="F22" s="146">
        <f t="shared" si="0"/>
        <v>0</v>
      </c>
      <c r="G22" s="344">
        <f t="shared" si="1"/>
        <v>0</v>
      </c>
      <c r="H22" s="143"/>
      <c r="I22" s="144"/>
      <c r="J22" s="140"/>
      <c r="K22" s="140"/>
      <c r="L22" s="140"/>
      <c r="M22" s="140"/>
      <c r="N22" s="145"/>
      <c r="O22" s="145"/>
      <c r="P22" s="145"/>
      <c r="Q22" s="145"/>
      <c r="R22" s="145"/>
      <c r="S22" s="140"/>
      <c r="T22" s="145"/>
      <c r="U22" s="145"/>
      <c r="V22" s="145"/>
      <c r="W22" s="145"/>
      <c r="X22" s="145"/>
    </row>
    <row r="23" spans="2:24">
      <c r="B23" s="139" t="s">
        <v>47</v>
      </c>
      <c r="C23" s="139" t="s">
        <v>48</v>
      </c>
      <c r="D23" s="140">
        <f>SUMIF('A-1. 별도FS_19'!$B:$B,CFwp_US_local!B23,'A-1. 별도FS_19'!$E:$E)</f>
        <v>0</v>
      </c>
      <c r="E23" s="140">
        <f>SUMIF('A-1. 별도FS_20'!$B:$B,CFwp_US_local!B23,'A-1. 별도FS_20'!$E:$E)</f>
        <v>0</v>
      </c>
      <c r="F23" s="146">
        <f t="shared" si="0"/>
        <v>0</v>
      </c>
      <c r="G23" s="344">
        <f t="shared" si="1"/>
        <v>0</v>
      </c>
      <c r="H23" s="143" t="s">
        <v>572</v>
      </c>
      <c r="I23" s="144"/>
      <c r="J23" s="140"/>
      <c r="K23" s="140"/>
      <c r="L23" s="140"/>
      <c r="M23" s="140"/>
      <c r="N23" s="145"/>
      <c r="O23" s="145"/>
      <c r="P23" s="145"/>
      <c r="Q23" s="145"/>
      <c r="R23" s="145"/>
      <c r="S23" s="140"/>
      <c r="T23" s="145"/>
      <c r="U23" s="145"/>
      <c r="V23" s="145"/>
      <c r="W23" s="145"/>
      <c r="X23" s="145"/>
    </row>
    <row r="24" spans="2:24">
      <c r="B24" s="139" t="s">
        <v>49</v>
      </c>
      <c r="C24" s="139" t="s">
        <v>50</v>
      </c>
      <c r="D24" s="140">
        <f>SUMIF('A-1. 별도FS_19'!$B:$B,CFwp_US_local!B24,'A-1. 별도FS_19'!$E:$E)</f>
        <v>0</v>
      </c>
      <c r="E24" s="140">
        <f>SUMIF('A-1. 별도FS_20'!$B:$B,CFwp_US_local!B24,'A-1. 별도FS_20'!$E:$E)</f>
        <v>0</v>
      </c>
      <c r="F24" s="146">
        <f t="shared" si="0"/>
        <v>0</v>
      </c>
      <c r="G24" s="344">
        <f t="shared" si="1"/>
        <v>0</v>
      </c>
      <c r="H24" s="143" t="s">
        <v>572</v>
      </c>
      <c r="I24" s="148"/>
      <c r="J24" s="140"/>
      <c r="K24" s="140"/>
      <c r="L24" s="140"/>
      <c r="M24" s="140"/>
      <c r="N24" s="145"/>
      <c r="O24" s="145"/>
      <c r="P24" s="145"/>
      <c r="Q24" s="145"/>
      <c r="R24" s="145"/>
      <c r="S24" s="140"/>
      <c r="T24" s="145"/>
      <c r="U24" s="145"/>
      <c r="V24" s="145"/>
      <c r="W24" s="145"/>
      <c r="X24" s="145"/>
    </row>
    <row r="25" spans="2:24">
      <c r="B25" s="139" t="s">
        <v>51</v>
      </c>
      <c r="C25" s="139" t="s">
        <v>52</v>
      </c>
      <c r="D25" s="140">
        <f>SUMIF('A-1. 별도FS_19'!$B:$B,CFwp_US_local!B25,'A-1. 별도FS_19'!$E:$E)</f>
        <v>0</v>
      </c>
      <c r="E25" s="140">
        <f>SUMIF('A-1. 별도FS_20'!$B:$B,CFwp_US_local!B25,'A-1. 별도FS_20'!$E:$E)</f>
        <v>0</v>
      </c>
      <c r="F25" s="146">
        <f t="shared" si="0"/>
        <v>0</v>
      </c>
      <c r="G25" s="344">
        <f t="shared" si="1"/>
        <v>0</v>
      </c>
      <c r="H25" s="143" t="s">
        <v>568</v>
      </c>
      <c r="I25" s="144"/>
      <c r="J25" s="140"/>
      <c r="K25" s="140"/>
      <c r="L25" s="140"/>
      <c r="M25" s="140"/>
      <c r="N25" s="145"/>
      <c r="O25" s="145"/>
      <c r="P25" s="145"/>
      <c r="Q25" s="145"/>
      <c r="R25" s="145"/>
      <c r="S25" s="140"/>
      <c r="T25" s="145"/>
      <c r="U25" s="145"/>
      <c r="V25" s="145"/>
      <c r="W25" s="145"/>
      <c r="X25" s="145"/>
    </row>
    <row r="26" spans="2:24">
      <c r="B26" s="139" t="s">
        <v>53</v>
      </c>
      <c r="C26" s="139" t="s">
        <v>54</v>
      </c>
      <c r="D26" s="140">
        <f>SUMIF('A-1. 별도FS_19'!$B:$B,CFwp_US_local!B26,'A-1. 별도FS_19'!$E:$E)</f>
        <v>0</v>
      </c>
      <c r="E26" s="140">
        <f>SUMIF('A-1. 별도FS_20'!$B:$B,CFwp_US_local!B26,'A-1. 별도FS_20'!$E:$E)</f>
        <v>0</v>
      </c>
      <c r="F26" s="146">
        <f t="shared" si="0"/>
        <v>0</v>
      </c>
      <c r="G26" s="344">
        <f t="shared" si="1"/>
        <v>0</v>
      </c>
      <c r="H26" s="143"/>
      <c r="I26" s="144"/>
      <c r="J26" s="140"/>
      <c r="K26" s="140"/>
      <c r="L26" s="140"/>
      <c r="M26" s="140"/>
      <c r="N26" s="145"/>
      <c r="O26" s="145"/>
      <c r="P26" s="145"/>
      <c r="Q26" s="145"/>
      <c r="R26" s="145"/>
      <c r="S26" s="140"/>
      <c r="T26" s="145"/>
      <c r="U26" s="145"/>
      <c r="V26" s="145"/>
      <c r="W26" s="145"/>
      <c r="X26" s="145"/>
    </row>
    <row r="27" spans="2:24">
      <c r="B27" s="139" t="s">
        <v>57</v>
      </c>
      <c r="C27" s="139" t="s">
        <v>58</v>
      </c>
      <c r="D27" s="140">
        <f>SUMIF('A-1. 별도FS_19'!$B:$B,CFwp_US_local!B27,'A-1. 별도FS_19'!$E:$E)</f>
        <v>0</v>
      </c>
      <c r="E27" s="140">
        <f>SUMIF('A-1. 별도FS_20'!$B:$B,CFwp_US_local!B27,'A-1. 별도FS_20'!$E:$E)</f>
        <v>0</v>
      </c>
      <c r="F27" s="146">
        <f t="shared" si="0"/>
        <v>0</v>
      </c>
      <c r="G27" s="344">
        <f t="shared" si="1"/>
        <v>0</v>
      </c>
      <c r="H27" s="143"/>
      <c r="I27" s="144"/>
      <c r="J27" s="140"/>
      <c r="K27" s="140"/>
      <c r="L27" s="140"/>
      <c r="M27" s="140"/>
      <c r="N27" s="145"/>
      <c r="O27" s="145"/>
      <c r="P27" s="145"/>
      <c r="Q27" s="145"/>
      <c r="R27" s="145"/>
      <c r="S27" s="140"/>
      <c r="T27" s="145"/>
      <c r="U27" s="145"/>
      <c r="V27" s="145"/>
      <c r="W27" s="145"/>
      <c r="X27" s="145"/>
    </row>
    <row r="28" spans="2:24">
      <c r="B28" s="139" t="s">
        <v>837</v>
      </c>
      <c r="C28" s="139" t="s">
        <v>838</v>
      </c>
      <c r="D28" s="140">
        <f>SUMIF('A-1. 별도FS_19'!$B:$B,CFwp_US_local!B28,'A-1. 별도FS_19'!$E:$E)</f>
        <v>0</v>
      </c>
      <c r="E28" s="140">
        <f>SUMIF('A-1. 별도FS_20'!$B:$B,CFwp_US_local!B28,'A-1. 별도FS_20'!$E:$E)</f>
        <v>0</v>
      </c>
      <c r="F28" s="146">
        <f t="shared" ref="F28:F32" si="2">E28-D28</f>
        <v>0</v>
      </c>
      <c r="G28" s="344">
        <f t="shared" ref="G28:G32" si="3">J28-K28+N28+O28-P28+Q28-R28-T28+V28+F28-W28+X28</f>
        <v>0</v>
      </c>
      <c r="H28" s="143"/>
      <c r="I28" s="144"/>
      <c r="J28" s="140"/>
      <c r="K28" s="140"/>
      <c r="L28" s="140"/>
      <c r="M28" s="140"/>
      <c r="N28" s="145"/>
      <c r="O28" s="145"/>
      <c r="P28" s="145"/>
      <c r="Q28" s="145"/>
      <c r="R28" s="145"/>
      <c r="S28" s="140"/>
      <c r="T28" s="145"/>
      <c r="U28" s="145"/>
      <c r="V28" s="145"/>
      <c r="W28" s="145"/>
      <c r="X28" s="145"/>
    </row>
    <row r="29" spans="2:24">
      <c r="B29" s="139" t="s">
        <v>59</v>
      </c>
      <c r="C29" s="139" t="s">
        <v>60</v>
      </c>
      <c r="D29" s="140">
        <f>SUMIF('A-1. 별도FS_19'!$B:$B,CFwp_US_local!B29,'A-1. 별도FS_19'!$E:$E)</f>
        <v>0</v>
      </c>
      <c r="E29" s="140">
        <f>SUMIF('A-1. 별도FS_20'!$B:$B,CFwp_US_local!B29,'A-1. 별도FS_20'!$E:$E)</f>
        <v>0</v>
      </c>
      <c r="F29" s="146">
        <f t="shared" si="2"/>
        <v>0</v>
      </c>
      <c r="G29" s="344">
        <f t="shared" si="3"/>
        <v>0</v>
      </c>
      <c r="H29" s="143" t="s">
        <v>573</v>
      </c>
      <c r="I29" s="144"/>
      <c r="J29" s="140"/>
      <c r="K29" s="140"/>
      <c r="L29" s="140"/>
      <c r="M29" s="140"/>
      <c r="N29" s="145"/>
      <c r="O29" s="145"/>
      <c r="P29" s="145"/>
      <c r="Q29" s="145"/>
      <c r="R29" s="145"/>
      <c r="S29" s="140"/>
      <c r="T29" s="145"/>
      <c r="U29" s="145"/>
      <c r="V29" s="145"/>
      <c r="W29" s="145"/>
      <c r="X29" s="145"/>
    </row>
    <row r="30" spans="2:24">
      <c r="B30" s="139" t="s">
        <v>62</v>
      </c>
      <c r="C30" s="139" t="s">
        <v>63</v>
      </c>
      <c r="D30" s="140">
        <f>SUMIF('A-1. 별도FS_19'!$B:$B,CFwp_US_local!B30,'A-1. 별도FS_19'!$E:$E)</f>
        <v>0</v>
      </c>
      <c r="E30" s="140">
        <f>SUMIF('A-1. 별도FS_20'!$B:$B,CFwp_US_local!B30,'A-1. 별도FS_20'!$E:$E)</f>
        <v>0</v>
      </c>
      <c r="F30" s="146">
        <f t="shared" si="2"/>
        <v>0</v>
      </c>
      <c r="G30" s="344">
        <f t="shared" si="3"/>
        <v>0</v>
      </c>
      <c r="H30" s="143"/>
      <c r="I30" s="144"/>
      <c r="J30" s="140"/>
      <c r="K30" s="140"/>
      <c r="L30" s="140"/>
      <c r="M30" s="140"/>
      <c r="N30" s="145"/>
      <c r="O30" s="145"/>
      <c r="P30" s="145"/>
      <c r="Q30" s="145"/>
      <c r="R30" s="145"/>
      <c r="S30" s="140"/>
      <c r="T30" s="145"/>
      <c r="U30" s="145"/>
      <c r="V30" s="145"/>
      <c r="W30" s="145"/>
      <c r="X30" s="145"/>
    </row>
    <row r="31" spans="2:24">
      <c r="B31" s="50" t="s">
        <v>505</v>
      </c>
      <c r="C31" s="2" t="s">
        <v>506</v>
      </c>
      <c r="D31" s="140">
        <f>SUMIF('A-1. 별도FS_19'!$B:$B,CFwp_US_local!B31,'A-1. 별도FS_19'!$E:$E)</f>
        <v>0</v>
      </c>
      <c r="E31" s="140">
        <f>SUMIF('A-1. 별도FS_20'!$B:$B,CFwp_US_local!B31,'A-1. 별도FS_20'!$E:$E)</f>
        <v>0</v>
      </c>
      <c r="F31" s="146">
        <f t="shared" si="2"/>
        <v>0</v>
      </c>
      <c r="G31" s="344">
        <f t="shared" si="3"/>
        <v>0</v>
      </c>
      <c r="H31" s="143"/>
      <c r="I31" s="144"/>
      <c r="J31" s="140"/>
      <c r="K31" s="140"/>
      <c r="L31" s="140"/>
      <c r="M31" s="140"/>
      <c r="N31" s="145"/>
      <c r="O31" s="145"/>
      <c r="P31" s="145"/>
      <c r="Q31" s="145"/>
      <c r="R31" s="145"/>
      <c r="S31" s="140"/>
      <c r="T31" s="145"/>
      <c r="U31" s="145"/>
      <c r="V31" s="145"/>
      <c r="W31" s="145"/>
      <c r="X31" s="145"/>
    </row>
    <row r="32" spans="2:24">
      <c r="B32" s="139" t="s">
        <v>839</v>
      </c>
      <c r="C32" s="139" t="s">
        <v>840</v>
      </c>
      <c r="D32" s="140">
        <f>SUMIF('A-1. 별도FS_19'!$B:$B,CFwp_US_local!B32,'A-1. 별도FS_19'!$E:$E)</f>
        <v>0</v>
      </c>
      <c r="E32" s="140">
        <f>SUMIF('A-1. 별도FS_20'!$B:$B,CFwp_US_local!B32,'A-1. 별도FS_20'!$E:$E)</f>
        <v>0</v>
      </c>
      <c r="F32" s="146">
        <f t="shared" si="2"/>
        <v>0</v>
      </c>
      <c r="G32" s="344">
        <f t="shared" si="3"/>
        <v>0</v>
      </c>
      <c r="H32" s="143"/>
      <c r="I32" s="144"/>
      <c r="J32" s="140"/>
      <c r="K32" s="140"/>
      <c r="L32" s="140"/>
      <c r="M32" s="140"/>
      <c r="N32" s="145"/>
      <c r="O32" s="145"/>
      <c r="P32" s="145"/>
      <c r="Q32" s="145"/>
      <c r="R32" s="145"/>
      <c r="S32" s="140"/>
      <c r="T32" s="145"/>
      <c r="U32" s="145"/>
      <c r="V32" s="145"/>
      <c r="W32" s="145"/>
      <c r="X32" s="145"/>
    </row>
    <row r="33" spans="2:24">
      <c r="B33" s="139"/>
      <c r="C33" s="139"/>
      <c r="D33" s="140"/>
      <c r="E33" s="140"/>
      <c r="F33" s="146">
        <f t="shared" si="0"/>
        <v>0</v>
      </c>
      <c r="G33" s="344">
        <f t="shared" si="1"/>
        <v>0</v>
      </c>
      <c r="H33" s="143"/>
      <c r="I33" s="144"/>
      <c r="J33" s="140"/>
      <c r="K33" s="140"/>
      <c r="L33" s="140"/>
      <c r="M33" s="140"/>
      <c r="N33" s="145"/>
      <c r="O33" s="145"/>
      <c r="P33" s="145"/>
      <c r="Q33" s="145"/>
      <c r="R33" s="145"/>
      <c r="S33" s="140"/>
      <c r="T33" s="145"/>
      <c r="U33" s="145"/>
      <c r="V33" s="145"/>
      <c r="W33" s="145"/>
      <c r="X33" s="145"/>
    </row>
    <row r="34" spans="2:24">
      <c r="B34" s="137"/>
      <c r="C34" s="137" t="s">
        <v>574</v>
      </c>
      <c r="D34" s="138">
        <f>SUM(D35:D47)</f>
        <v>0</v>
      </c>
      <c r="E34" s="138">
        <f>SUM(E35:E47)</f>
        <v>43718</v>
      </c>
      <c r="F34" s="138">
        <f t="shared" si="0"/>
        <v>43718</v>
      </c>
      <c r="G34" s="345">
        <f t="shared" si="1"/>
        <v>0</v>
      </c>
      <c r="H34" s="138"/>
      <c r="I34" s="149"/>
      <c r="J34" s="138"/>
      <c r="K34" s="138"/>
      <c r="L34" s="150">
        <v>-43718</v>
      </c>
      <c r="M34" s="151"/>
      <c r="N34" s="151">
        <f>L34</f>
        <v>-43718</v>
      </c>
      <c r="O34" s="138"/>
      <c r="P34" s="138"/>
      <c r="Q34" s="138"/>
      <c r="R34" s="138"/>
      <c r="S34" s="138"/>
      <c r="T34" s="138"/>
      <c r="U34" s="138"/>
      <c r="V34" s="138"/>
      <c r="W34" s="138"/>
      <c r="X34" s="138"/>
    </row>
    <row r="35" spans="2:24">
      <c r="B35" s="139" t="s">
        <v>67</v>
      </c>
      <c r="C35" s="139" t="s">
        <v>68</v>
      </c>
      <c r="D35" s="140">
        <f>SUMIF('A-1. 별도FS_19'!$B:$B,CFwp_US_local!B35,'A-1. 별도FS_19'!$E:$E)</f>
        <v>0</v>
      </c>
      <c r="E35" s="140">
        <f>SUMIF('A-1. 별도FS_20'!$B:$B,CFwp_US_local!B35,'A-1. 별도FS_20'!$E:$E)</f>
        <v>43718</v>
      </c>
      <c r="F35" s="146"/>
      <c r="G35" s="344"/>
      <c r="H35" s="143"/>
      <c r="I35" s="144"/>
      <c r="J35" s="140"/>
      <c r="K35" s="140"/>
      <c r="L35" s="140"/>
      <c r="M35" s="140"/>
      <c r="N35" s="145"/>
      <c r="O35" s="145"/>
      <c r="P35" s="145"/>
      <c r="Q35" s="145"/>
      <c r="R35" s="145"/>
      <c r="S35" s="140"/>
      <c r="T35" s="145"/>
      <c r="U35" s="145"/>
      <c r="V35" s="145"/>
      <c r="W35" s="145"/>
      <c r="X35" s="145"/>
    </row>
    <row r="36" spans="2:24">
      <c r="B36" s="139" t="s">
        <v>71</v>
      </c>
      <c r="C36" s="139" t="s">
        <v>72</v>
      </c>
      <c r="D36" s="140">
        <f>SUMIF('A-1. 별도FS_19'!$B:$B,CFwp_US_local!B36,'A-1. 별도FS_19'!$E:$E)</f>
        <v>0</v>
      </c>
      <c r="E36" s="140">
        <f>SUMIF('A-1. 별도FS_20'!$B:$B,CFwp_US_local!B36,'A-1. 별도FS_20'!$E:$E)</f>
        <v>0</v>
      </c>
      <c r="F36" s="146"/>
      <c r="G36" s="344"/>
      <c r="H36" s="143"/>
      <c r="I36" s="144"/>
      <c r="J36" s="140"/>
      <c r="K36" s="140"/>
      <c r="L36" s="140"/>
      <c r="M36" s="140"/>
      <c r="N36" s="145"/>
      <c r="O36" s="145"/>
      <c r="P36" s="145"/>
      <c r="Q36" s="145"/>
      <c r="R36" s="145"/>
      <c r="S36" s="140"/>
      <c r="T36" s="145"/>
      <c r="U36" s="145"/>
      <c r="V36" s="145"/>
      <c r="W36" s="145"/>
      <c r="X36" s="145"/>
    </row>
    <row r="37" spans="2:24">
      <c r="B37" s="139" t="s">
        <v>73</v>
      </c>
      <c r="C37" s="139" t="s">
        <v>74</v>
      </c>
      <c r="D37" s="140">
        <f>SUMIF('A-1. 별도FS_19'!$B:$B,CFwp_US_local!B37,'A-1. 별도FS_19'!$E:$E)</f>
        <v>0</v>
      </c>
      <c r="E37" s="140">
        <f>SUMIF('A-1. 별도FS_20'!$B:$B,CFwp_US_local!B37,'A-1. 별도FS_20'!$E:$E)</f>
        <v>0</v>
      </c>
      <c r="F37" s="146"/>
      <c r="G37" s="344"/>
      <c r="H37" s="143"/>
      <c r="I37" s="144"/>
      <c r="J37" s="140"/>
      <c r="K37" s="140"/>
      <c r="L37" s="140"/>
      <c r="M37" s="140"/>
      <c r="N37" s="145"/>
      <c r="O37" s="145"/>
      <c r="P37" s="145"/>
      <c r="Q37" s="145"/>
      <c r="R37" s="145"/>
      <c r="S37" s="140"/>
      <c r="T37" s="145"/>
      <c r="U37" s="145"/>
      <c r="V37" s="145"/>
      <c r="W37" s="145"/>
      <c r="X37" s="145"/>
    </row>
    <row r="38" spans="2:24">
      <c r="B38" s="139" t="s">
        <v>75</v>
      </c>
      <c r="C38" s="139" t="s">
        <v>76</v>
      </c>
      <c r="D38" s="140">
        <f>SUMIF('A-1. 별도FS_19'!$B:$B,CFwp_US_local!B38,'A-1. 별도FS_19'!$E:$E)</f>
        <v>0</v>
      </c>
      <c r="E38" s="140">
        <f>SUMIF('A-1. 별도FS_20'!$B:$B,CFwp_US_local!B38,'A-1. 별도FS_20'!$E:$E)</f>
        <v>0</v>
      </c>
      <c r="F38" s="146"/>
      <c r="G38" s="344"/>
      <c r="H38" s="143"/>
      <c r="I38" s="144"/>
      <c r="J38" s="140"/>
      <c r="K38" s="140"/>
      <c r="L38" s="140"/>
      <c r="M38" s="140"/>
      <c r="N38" s="145"/>
      <c r="O38" s="145"/>
      <c r="P38" s="145"/>
      <c r="Q38" s="145"/>
      <c r="R38" s="145"/>
      <c r="S38" s="140"/>
      <c r="T38" s="145"/>
      <c r="U38" s="145"/>
      <c r="V38" s="145"/>
      <c r="W38" s="145"/>
      <c r="X38" s="145"/>
    </row>
    <row r="39" spans="2:24">
      <c r="B39" s="139" t="s">
        <v>77</v>
      </c>
      <c r="C39" s="139" t="s">
        <v>78</v>
      </c>
      <c r="D39" s="140">
        <f>SUMIF('A-1. 별도FS_19'!$B:$B,CFwp_US_local!B39,'A-1. 별도FS_19'!$E:$E)</f>
        <v>0</v>
      </c>
      <c r="E39" s="140">
        <f>SUMIF('A-1. 별도FS_20'!$B:$B,CFwp_US_local!B39,'A-1. 별도FS_20'!$E:$E)</f>
        <v>0</v>
      </c>
      <c r="F39" s="146"/>
      <c r="G39" s="344"/>
      <c r="H39" s="143"/>
      <c r="I39" s="144"/>
      <c r="J39" s="140"/>
      <c r="K39" s="140"/>
      <c r="L39" s="140"/>
      <c r="M39" s="140"/>
      <c r="N39" s="145"/>
      <c r="O39" s="145"/>
      <c r="P39" s="145"/>
      <c r="Q39" s="145"/>
      <c r="R39" s="145"/>
      <c r="S39" s="140"/>
      <c r="T39" s="145"/>
      <c r="U39" s="145"/>
      <c r="V39" s="145"/>
      <c r="W39" s="145"/>
      <c r="X39" s="145"/>
    </row>
    <row r="40" spans="2:24">
      <c r="B40" s="139" t="s">
        <v>79</v>
      </c>
      <c r="C40" s="139" t="s">
        <v>80</v>
      </c>
      <c r="D40" s="140">
        <f>SUMIF('A-1. 별도FS_19'!$B:$B,CFwp_US_local!B40,'A-1. 별도FS_19'!$E:$E)</f>
        <v>0</v>
      </c>
      <c r="E40" s="140">
        <f>SUMIF('A-1. 별도FS_20'!$B:$B,CFwp_US_local!B40,'A-1. 별도FS_20'!$E:$E)</f>
        <v>0</v>
      </c>
      <c r="F40" s="146"/>
      <c r="G40" s="344"/>
      <c r="H40" s="143"/>
      <c r="I40" s="144"/>
      <c r="J40" s="140"/>
      <c r="K40" s="140"/>
      <c r="L40" s="140"/>
      <c r="M40" s="140"/>
      <c r="N40" s="145"/>
      <c r="O40" s="145"/>
      <c r="P40" s="145"/>
      <c r="Q40" s="145"/>
      <c r="R40" s="145"/>
      <c r="S40" s="140"/>
      <c r="T40" s="145"/>
      <c r="U40" s="145"/>
      <c r="V40" s="145"/>
      <c r="W40" s="145"/>
      <c r="X40" s="145"/>
    </row>
    <row r="41" spans="2:24">
      <c r="B41" s="139" t="s">
        <v>81</v>
      </c>
      <c r="C41" s="139" t="s">
        <v>82</v>
      </c>
      <c r="D41" s="140">
        <f>SUMIF('A-1. 별도FS_19'!$B:$B,CFwp_US_local!B41,'A-1. 별도FS_19'!$E:$E)</f>
        <v>0</v>
      </c>
      <c r="E41" s="140">
        <f>SUMIF('A-1. 별도FS_20'!$B:$B,CFwp_US_local!B41,'A-1. 별도FS_20'!$E:$E)</f>
        <v>0</v>
      </c>
      <c r="F41" s="146"/>
      <c r="G41" s="344"/>
      <c r="H41" s="143"/>
      <c r="I41" s="144"/>
      <c r="J41" s="140"/>
      <c r="K41" s="140"/>
      <c r="L41" s="140"/>
      <c r="M41" s="140"/>
      <c r="N41" s="145"/>
      <c r="O41" s="145"/>
      <c r="P41" s="145"/>
      <c r="Q41" s="145"/>
      <c r="R41" s="145"/>
      <c r="S41" s="140"/>
      <c r="T41" s="145"/>
      <c r="U41" s="145"/>
      <c r="V41" s="145"/>
      <c r="W41" s="145"/>
      <c r="X41" s="145"/>
    </row>
    <row r="42" spans="2:24">
      <c r="B42" s="139" t="s">
        <v>83</v>
      </c>
      <c r="C42" s="139" t="s">
        <v>84</v>
      </c>
      <c r="D42" s="140">
        <f>SUMIF('A-1. 별도FS_19'!$B:$B,CFwp_US_local!B42,'A-1. 별도FS_19'!$E:$E)</f>
        <v>0</v>
      </c>
      <c r="E42" s="140">
        <f>SUMIF('A-1. 별도FS_20'!$B:$B,CFwp_US_local!B42,'A-1. 별도FS_20'!$E:$E)</f>
        <v>0</v>
      </c>
      <c r="F42" s="146"/>
      <c r="G42" s="344"/>
      <c r="H42" s="143"/>
      <c r="I42" s="144"/>
      <c r="J42" s="140"/>
      <c r="K42" s="140"/>
      <c r="L42" s="140"/>
      <c r="M42" s="140"/>
      <c r="N42" s="145"/>
      <c r="O42" s="145"/>
      <c r="P42" s="145"/>
      <c r="Q42" s="145"/>
      <c r="R42" s="145"/>
      <c r="S42" s="140"/>
      <c r="T42" s="145"/>
      <c r="U42" s="145"/>
      <c r="V42" s="145"/>
      <c r="W42" s="145"/>
      <c r="X42" s="145"/>
    </row>
    <row r="43" spans="2:24">
      <c r="B43" s="139" t="s">
        <v>85</v>
      </c>
      <c r="C43" s="139" t="s">
        <v>86</v>
      </c>
      <c r="D43" s="140">
        <f>SUMIF('A-1. 별도FS_19'!$B:$B,CFwp_US_local!B43,'A-1. 별도FS_19'!$E:$E)</f>
        <v>0</v>
      </c>
      <c r="E43" s="140">
        <f>SUMIF('A-1. 별도FS_20'!$B:$B,CFwp_US_local!B43,'A-1. 별도FS_20'!$E:$E)</f>
        <v>0</v>
      </c>
      <c r="F43" s="146"/>
      <c r="G43" s="344"/>
      <c r="H43" s="143"/>
      <c r="I43" s="144"/>
      <c r="J43" s="140"/>
      <c r="K43" s="140"/>
      <c r="L43" s="140"/>
      <c r="M43" s="140"/>
      <c r="N43" s="145"/>
      <c r="O43" s="145"/>
      <c r="P43" s="145"/>
      <c r="Q43" s="145"/>
      <c r="R43" s="145"/>
      <c r="S43" s="140"/>
      <c r="T43" s="145"/>
      <c r="U43" s="145"/>
      <c r="V43" s="145"/>
      <c r="W43" s="145"/>
      <c r="X43" s="145"/>
    </row>
    <row r="44" spans="2:24">
      <c r="B44" s="139" t="s">
        <v>87</v>
      </c>
      <c r="C44" s="139" t="s">
        <v>88</v>
      </c>
      <c r="D44" s="140">
        <f>SUMIF('A-1. 별도FS_19'!$B:$B,CFwp_US_local!B44,'A-1. 별도FS_19'!$E:$E)</f>
        <v>0</v>
      </c>
      <c r="E44" s="140">
        <f>SUMIF('A-1. 별도FS_20'!$B:$B,CFwp_US_local!B44,'A-1. 별도FS_20'!$E:$E)</f>
        <v>0</v>
      </c>
      <c r="F44" s="146"/>
      <c r="G44" s="344"/>
      <c r="H44" s="143"/>
      <c r="I44" s="144"/>
      <c r="J44" s="140"/>
      <c r="K44" s="140"/>
      <c r="L44" s="140"/>
      <c r="M44" s="140"/>
      <c r="N44" s="145"/>
      <c r="O44" s="145"/>
      <c r="P44" s="145"/>
      <c r="Q44" s="145"/>
      <c r="R44" s="145"/>
      <c r="S44" s="140"/>
      <c r="T44" s="145"/>
      <c r="U44" s="145"/>
      <c r="V44" s="145"/>
      <c r="W44" s="145"/>
      <c r="X44" s="145"/>
    </row>
    <row r="45" spans="2:24">
      <c r="B45" s="139" t="s">
        <v>89</v>
      </c>
      <c r="C45" s="139" t="s">
        <v>90</v>
      </c>
      <c r="D45" s="140">
        <f>SUMIF('A-1. 별도FS_19'!$B:$B,CFwp_US_local!B45,'A-1. 별도FS_19'!$E:$E)</f>
        <v>0</v>
      </c>
      <c r="E45" s="140">
        <f>SUMIF('A-1. 별도FS_20'!$B:$B,CFwp_US_local!B45,'A-1. 별도FS_20'!$E:$E)</f>
        <v>0</v>
      </c>
      <c r="F45" s="146"/>
      <c r="G45" s="344"/>
      <c r="H45" s="143"/>
      <c r="I45" s="144"/>
      <c r="J45" s="140"/>
      <c r="K45" s="140"/>
      <c r="L45" s="140"/>
      <c r="M45" s="140"/>
      <c r="N45" s="145"/>
      <c r="O45" s="145"/>
      <c r="P45" s="145"/>
      <c r="Q45" s="145"/>
      <c r="R45" s="145"/>
      <c r="S45" s="140"/>
      <c r="T45" s="145"/>
      <c r="U45" s="145"/>
      <c r="V45" s="145"/>
      <c r="W45" s="145"/>
      <c r="X45" s="145"/>
    </row>
    <row r="46" spans="2:24">
      <c r="B46" s="139" t="s">
        <v>66</v>
      </c>
      <c r="C46" s="139"/>
      <c r="D46" s="140"/>
      <c r="E46" s="140"/>
      <c r="F46" s="146"/>
      <c r="G46" s="344"/>
      <c r="H46" s="143"/>
      <c r="I46" s="144"/>
      <c r="J46" s="140"/>
      <c r="K46" s="140"/>
      <c r="L46" s="140"/>
      <c r="M46" s="140"/>
      <c r="N46" s="145"/>
      <c r="O46" s="145"/>
      <c r="P46" s="145"/>
      <c r="Q46" s="145"/>
      <c r="R46" s="145"/>
      <c r="S46" s="140"/>
      <c r="T46" s="145"/>
      <c r="U46" s="145"/>
      <c r="V46" s="145"/>
      <c r="W46" s="145"/>
      <c r="X46" s="145"/>
    </row>
    <row r="47" spans="2:24">
      <c r="B47" s="139" t="s">
        <v>66</v>
      </c>
      <c r="C47" s="139"/>
      <c r="D47" s="140"/>
      <c r="E47" s="140"/>
      <c r="F47" s="146"/>
      <c r="G47" s="344"/>
      <c r="H47" s="143"/>
      <c r="I47" s="144"/>
      <c r="J47" s="140"/>
      <c r="K47" s="140"/>
      <c r="L47" s="140"/>
      <c r="M47" s="140"/>
      <c r="N47" s="145"/>
      <c r="O47" s="145"/>
      <c r="P47" s="145"/>
      <c r="Q47" s="145"/>
      <c r="R47" s="145"/>
      <c r="S47" s="140"/>
      <c r="T47" s="145"/>
      <c r="U47" s="145"/>
      <c r="V47" s="145"/>
      <c r="W47" s="145"/>
      <c r="X47" s="145"/>
    </row>
    <row r="48" spans="2:24">
      <c r="B48" s="134"/>
      <c r="C48" s="134" t="s">
        <v>575</v>
      </c>
      <c r="D48" s="136">
        <f>D49+D59+D82+D90</f>
        <v>7486</v>
      </c>
      <c r="E48" s="136">
        <f>E49+E59+E82+E90</f>
        <v>11047.35</v>
      </c>
      <c r="F48" s="152"/>
      <c r="G48" s="346"/>
      <c r="H48" s="136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</row>
    <row r="49" spans="2:24">
      <c r="B49" s="137"/>
      <c r="C49" s="137" t="s">
        <v>576</v>
      </c>
      <c r="D49" s="138">
        <f>SUM(D50:D57)</f>
        <v>0</v>
      </c>
      <c r="E49" s="138">
        <f>SUM(E50:E57)</f>
        <v>0</v>
      </c>
      <c r="F49" s="154"/>
      <c r="G49" s="347"/>
      <c r="H49" s="138"/>
      <c r="I49" s="149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</row>
    <row r="50" spans="2:24">
      <c r="B50" s="139" t="s">
        <v>92</v>
      </c>
      <c r="C50" s="139" t="s">
        <v>93</v>
      </c>
      <c r="D50" s="140">
        <f>SUMIF('A-1. 별도FS_19'!$B:$B,CFwp_US_local!B50,'A-1. 별도FS_19'!$E:$E)</f>
        <v>0</v>
      </c>
      <c r="E50" s="140">
        <f>SUMIF('A-1. 별도FS_20'!$B:$B,CFwp_US_local!B50,'A-1. 별도FS_20'!$E:$E)</f>
        <v>0</v>
      </c>
      <c r="F50" s="146">
        <f>E50-D50</f>
        <v>0</v>
      </c>
      <c r="G50" s="344">
        <f t="shared" ref="G50:G55" si="4">J50-K50+N50+O50-P50+Q50-R50-T50+V50+F50-W50+X50</f>
        <v>0</v>
      </c>
      <c r="H50" s="143"/>
      <c r="I50" s="144"/>
      <c r="J50" s="140"/>
      <c r="K50" s="140"/>
      <c r="L50" s="140"/>
      <c r="M50" s="140"/>
      <c r="N50" s="145"/>
      <c r="O50" s="145"/>
      <c r="P50" s="145"/>
      <c r="Q50" s="145"/>
      <c r="R50" s="145"/>
      <c r="S50" s="140"/>
      <c r="T50" s="145"/>
      <c r="U50" s="145"/>
      <c r="V50" s="145"/>
      <c r="W50" s="145"/>
      <c r="X50" s="145"/>
    </row>
    <row r="51" spans="2:24">
      <c r="B51" s="139" t="s">
        <v>96</v>
      </c>
      <c r="C51" s="139" t="s">
        <v>97</v>
      </c>
      <c r="D51" s="140">
        <f>SUMIF('A-1. 별도FS_19'!$B:$B,CFwp_US_local!B51,'A-1. 별도FS_19'!$E:$E)</f>
        <v>0</v>
      </c>
      <c r="E51" s="140">
        <f>SUMIF('A-1. 별도FS_20'!$B:$B,CFwp_US_local!B51,'A-1. 별도FS_20'!$E:$E)</f>
        <v>0</v>
      </c>
      <c r="F51" s="146">
        <f>E51-D51</f>
        <v>0</v>
      </c>
      <c r="G51" s="344">
        <f t="shared" si="4"/>
        <v>0</v>
      </c>
      <c r="H51" s="143" t="s">
        <v>572</v>
      </c>
      <c r="I51" s="144"/>
      <c r="J51" s="140"/>
      <c r="K51" s="140"/>
      <c r="L51" s="140"/>
      <c r="M51" s="140"/>
      <c r="N51" s="145"/>
      <c r="O51" s="145"/>
      <c r="P51" s="145"/>
      <c r="Q51" s="145"/>
      <c r="R51" s="145"/>
      <c r="S51" s="140"/>
      <c r="T51" s="145"/>
      <c r="U51" s="145"/>
      <c r="V51" s="145"/>
      <c r="W51" s="145"/>
      <c r="X51" s="145"/>
    </row>
    <row r="52" spans="2:24">
      <c r="B52" s="139" t="s">
        <v>100</v>
      </c>
      <c r="C52" s="139" t="s">
        <v>101</v>
      </c>
      <c r="D52" s="140">
        <f>SUMIF('A-1. 별도FS_19'!$B:$B,CFwp_US_local!B52,'A-1. 별도FS_19'!$E:$E)</f>
        <v>0</v>
      </c>
      <c r="E52" s="140">
        <f>SUMIF('A-1. 별도FS_20'!$B:$B,CFwp_US_local!B52,'A-1. 별도FS_20'!$E:$E)</f>
        <v>0</v>
      </c>
      <c r="F52" s="146">
        <f>E52-D52</f>
        <v>0</v>
      </c>
      <c r="G52" s="344">
        <f t="shared" si="4"/>
        <v>0</v>
      </c>
      <c r="H52" s="143"/>
      <c r="I52" s="144"/>
      <c r="J52" s="140"/>
      <c r="K52" s="140"/>
      <c r="L52" s="140"/>
      <c r="M52" s="140"/>
      <c r="N52" s="145"/>
      <c r="O52" s="145"/>
      <c r="P52" s="145"/>
      <c r="Q52" s="145"/>
      <c r="R52" s="145"/>
      <c r="S52" s="140"/>
      <c r="T52" s="145"/>
      <c r="U52" s="145"/>
      <c r="V52" s="145"/>
      <c r="W52" s="145"/>
      <c r="X52" s="145"/>
    </row>
    <row r="53" spans="2:24">
      <c r="B53" s="139" t="s">
        <v>98</v>
      </c>
      <c r="C53" s="139" t="s">
        <v>99</v>
      </c>
      <c r="D53" s="140">
        <f>SUMIF('A-1. 별도FS_19'!$B:$B,CFwp_US_local!B53,'A-1. 별도FS_19'!$E:$E)</f>
        <v>0</v>
      </c>
      <c r="E53" s="140">
        <f>SUMIF('A-1. 별도FS_20'!$B:$B,CFwp_US_local!B53,'A-1. 별도FS_20'!$E:$E)</f>
        <v>0</v>
      </c>
      <c r="F53" s="146">
        <f>E53-D53</f>
        <v>0</v>
      </c>
      <c r="G53" s="344">
        <f t="shared" si="4"/>
        <v>0</v>
      </c>
      <c r="H53" s="143" t="s">
        <v>577</v>
      </c>
      <c r="I53" s="144"/>
      <c r="J53" s="140"/>
      <c r="K53" s="140"/>
      <c r="L53" s="140"/>
      <c r="M53" s="140"/>
      <c r="N53" s="145"/>
      <c r="O53" s="145"/>
      <c r="P53" s="145"/>
      <c r="Q53" s="145"/>
      <c r="R53" s="145"/>
      <c r="S53" s="140"/>
      <c r="T53" s="145"/>
      <c r="U53" s="145"/>
      <c r="V53" s="145"/>
      <c r="W53" s="145"/>
      <c r="X53" s="145"/>
    </row>
    <row r="54" spans="2:24">
      <c r="B54" s="139"/>
      <c r="C54" s="139"/>
      <c r="D54" s="140">
        <f>SUMIF('A-1. 별도FS_19'!$B:$B,CFwp_US_local!B54,'A-1. 별도FS_19'!$E:$E)</f>
        <v>0</v>
      </c>
      <c r="E54" s="140">
        <f>SUMIF('A-1. 별도FS_20'!$B:$B,CFwp_US_local!B54,'A-1. 별도FS_20'!$E:$E)</f>
        <v>0</v>
      </c>
      <c r="F54" s="146"/>
      <c r="G54" s="344"/>
      <c r="H54" s="143"/>
      <c r="I54" s="144"/>
      <c r="J54" s="140"/>
      <c r="K54" s="140"/>
      <c r="L54" s="140"/>
      <c r="M54" s="140"/>
      <c r="N54" s="145"/>
      <c r="O54" s="145"/>
      <c r="P54" s="145"/>
      <c r="Q54" s="145"/>
      <c r="R54" s="145"/>
      <c r="S54" s="140"/>
      <c r="T54" s="145"/>
      <c r="U54" s="145"/>
      <c r="V54" s="145"/>
      <c r="W54" s="145"/>
      <c r="X54" s="145"/>
    </row>
    <row r="55" spans="2:24">
      <c r="B55" s="139" t="s">
        <v>104</v>
      </c>
      <c r="C55" s="139" t="s">
        <v>105</v>
      </c>
      <c r="D55" s="140">
        <f>SUMIF('A-1. 별도FS_19'!$B:$B,CFwp_US_local!B55,'A-1. 별도FS_19'!$E:$E)</f>
        <v>0</v>
      </c>
      <c r="E55" s="140">
        <f>SUMIF('A-1. 별도FS_20'!$B:$B,CFwp_US_local!B55,'A-1. 별도FS_20'!$E:$E)</f>
        <v>0</v>
      </c>
      <c r="F55" s="146">
        <f t="shared" ref="F55" si="5">E55-D55</f>
        <v>0</v>
      </c>
      <c r="G55" s="344">
        <f t="shared" si="4"/>
        <v>0</v>
      </c>
      <c r="H55" s="143" t="s">
        <v>417</v>
      </c>
      <c r="I55" s="144"/>
      <c r="J55" s="140"/>
      <c r="K55" s="140"/>
      <c r="L55" s="140"/>
      <c r="M55" s="140"/>
      <c r="N55" s="145"/>
      <c r="O55" s="145"/>
      <c r="P55" s="145"/>
      <c r="Q55" s="145"/>
      <c r="R55" s="145"/>
      <c r="S55" s="140"/>
      <c r="T55" s="145"/>
      <c r="U55" s="145"/>
      <c r="V55" s="145"/>
      <c r="W55" s="145"/>
      <c r="X55" s="145"/>
    </row>
    <row r="56" spans="2:24">
      <c r="B56" s="139"/>
      <c r="C56" s="139"/>
      <c r="D56" s="140">
        <f>SUMIF('A-1. 별도FS_19'!$B:$B,CFwp_US_local!B56,'A-1. 별도FS_19'!$E:$E)</f>
        <v>0</v>
      </c>
      <c r="E56" s="140">
        <f>SUMIF('A-1. 별도FS_20'!$B:$B,CFwp_US_local!B56,'A-1. 별도FS_20'!$E:$E)</f>
        <v>0</v>
      </c>
      <c r="F56" s="146"/>
      <c r="G56" s="344"/>
      <c r="H56" s="143"/>
      <c r="I56" s="144"/>
      <c r="J56" s="140"/>
      <c r="K56" s="140"/>
      <c r="L56" s="140"/>
      <c r="M56" s="140"/>
      <c r="N56" s="145"/>
      <c r="O56" s="145"/>
      <c r="P56" s="145"/>
      <c r="Q56" s="145"/>
      <c r="R56" s="145"/>
      <c r="S56" s="140"/>
      <c r="T56" s="145"/>
      <c r="U56" s="145"/>
      <c r="V56" s="145"/>
      <c r="W56" s="145"/>
      <c r="X56" s="145"/>
    </row>
    <row r="57" spans="2:24">
      <c r="B57" s="139" t="s">
        <v>108</v>
      </c>
      <c r="C57" s="139" t="s">
        <v>109</v>
      </c>
      <c r="D57" s="140">
        <f>SUMIF('A-1. 별도FS_19'!$B:$B,CFwp_US_local!B57,'A-1. 별도FS_19'!$E:$E)</f>
        <v>0</v>
      </c>
      <c r="E57" s="140">
        <f>SUMIF('A-1. 별도FS_20'!$B:$B,CFwp_US_local!B57,'A-1. 별도FS_20'!$E:$E)</f>
        <v>0</v>
      </c>
      <c r="F57" s="146">
        <f t="shared" ref="F57" si="6">E57-D57</f>
        <v>0</v>
      </c>
      <c r="G57" s="344">
        <f>J57-K57+N57+O57-P57+Q57-R57-T57+V57+F57-W57+X57</f>
        <v>0</v>
      </c>
      <c r="H57" s="143" t="s">
        <v>417</v>
      </c>
      <c r="I57" s="144"/>
      <c r="J57" s="140"/>
      <c r="K57" s="140"/>
      <c r="L57" s="140"/>
      <c r="M57" s="140"/>
      <c r="N57" s="145"/>
      <c r="O57" s="145"/>
      <c r="P57" s="145"/>
      <c r="Q57" s="145"/>
      <c r="R57" s="145"/>
      <c r="S57" s="140"/>
      <c r="T57" s="145"/>
      <c r="U57" s="145"/>
      <c r="V57" s="145"/>
      <c r="W57" s="145"/>
      <c r="X57" s="145"/>
    </row>
    <row r="58" spans="2:24">
      <c r="B58" s="139"/>
      <c r="C58" s="139"/>
      <c r="D58" s="140"/>
      <c r="E58" s="140"/>
      <c r="F58" s="146"/>
      <c r="G58" s="344"/>
      <c r="H58" s="143" t="s">
        <v>578</v>
      </c>
      <c r="I58" s="144"/>
      <c r="J58" s="140"/>
      <c r="K58" s="140"/>
      <c r="L58" s="140"/>
      <c r="M58" s="140"/>
      <c r="N58" s="145"/>
      <c r="O58" s="145"/>
      <c r="P58" s="145"/>
      <c r="Q58" s="145"/>
      <c r="R58" s="145"/>
      <c r="S58" s="140"/>
      <c r="T58" s="145"/>
      <c r="U58" s="145"/>
      <c r="V58" s="145"/>
      <c r="W58" s="145"/>
      <c r="X58" s="145"/>
    </row>
    <row r="59" spans="2:24">
      <c r="B59" s="137"/>
      <c r="C59" s="137" t="s">
        <v>129</v>
      </c>
      <c r="D59" s="138">
        <f>SUM(D60:D80)</f>
        <v>7486</v>
      </c>
      <c r="E59" s="138">
        <f>SUM(E60:E80)</f>
        <v>11047.35</v>
      </c>
      <c r="F59" s="154"/>
      <c r="G59" s="347"/>
      <c r="H59" s="138"/>
      <c r="I59" s="149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</row>
    <row r="60" spans="2:24">
      <c r="B60" s="139" t="s">
        <v>126</v>
      </c>
      <c r="C60" s="139" t="s">
        <v>127</v>
      </c>
      <c r="D60" s="140">
        <f>SUMIF('A-1. 별도FS_19'!$B:$B,CFwp_US_local!B60,'A-1. 별도FS_19'!$E:$E)</f>
        <v>0</v>
      </c>
      <c r="E60" s="140">
        <f>SUMIF('A-1. 별도FS_20'!$B:$B,CFwp_US_local!B60,'A-1. 별도FS_20'!$E:$E)</f>
        <v>0</v>
      </c>
      <c r="F60" s="146">
        <f>E60-D60</f>
        <v>0</v>
      </c>
      <c r="G60" s="344">
        <f t="shared" ref="G60:G80" si="7">J60-K60+N60+O60-P60+Q60-R60-T60+V60+F60-W60+X60</f>
        <v>0</v>
      </c>
      <c r="H60" s="143"/>
      <c r="I60" s="144"/>
      <c r="J60" s="140"/>
      <c r="K60" s="140"/>
      <c r="L60" s="140"/>
      <c r="M60" s="140"/>
      <c r="N60" s="145"/>
      <c r="O60" s="145"/>
      <c r="P60" s="145"/>
      <c r="Q60" s="145"/>
      <c r="R60" s="145"/>
      <c r="S60" s="140"/>
      <c r="T60" s="145"/>
      <c r="U60" s="145"/>
      <c r="V60" s="145"/>
      <c r="W60" s="145"/>
      <c r="X60" s="145"/>
    </row>
    <row r="61" spans="2:24">
      <c r="B61" s="139" t="s">
        <v>130</v>
      </c>
      <c r="C61" s="139" t="s">
        <v>131</v>
      </c>
      <c r="D61" s="140">
        <f>SUMIF('A-1. 별도FS_19'!$B:$B,CFwp_US_local!B61,'A-1. 별도FS_19'!$E:$E)</f>
        <v>0</v>
      </c>
      <c r="E61" s="140">
        <f>SUMIF('A-1. 별도FS_20'!$B:$B,CFwp_US_local!B61,'A-1. 별도FS_20'!$E:$E)</f>
        <v>0</v>
      </c>
      <c r="F61" s="146">
        <f t="shared" ref="F61:F80" si="8">E61-D61</f>
        <v>0</v>
      </c>
      <c r="G61" s="344">
        <f t="shared" si="7"/>
        <v>0</v>
      </c>
      <c r="H61" s="143"/>
      <c r="I61" s="144"/>
      <c r="J61" s="140"/>
      <c r="K61" s="140"/>
      <c r="L61" s="140"/>
      <c r="M61" s="140"/>
      <c r="N61" s="145"/>
      <c r="O61" s="145"/>
      <c r="P61" s="145"/>
      <c r="Q61" s="145"/>
      <c r="R61" s="145"/>
      <c r="S61" s="140"/>
      <c r="T61" s="145"/>
      <c r="U61" s="145"/>
      <c r="V61" s="145"/>
      <c r="W61" s="145"/>
      <c r="X61" s="145"/>
    </row>
    <row r="62" spans="2:24">
      <c r="B62" s="139" t="s">
        <v>132</v>
      </c>
      <c r="C62" s="139" t="s">
        <v>133</v>
      </c>
      <c r="D62" s="140">
        <f>SUMIF('A-1. 별도FS_19'!$B:$B,CFwp_US_local!B62,'A-1. 별도FS_19'!$E:$E)</f>
        <v>0</v>
      </c>
      <c r="E62" s="140">
        <f>SUMIF('A-1. 별도FS_20'!$B:$B,CFwp_US_local!B62,'A-1. 별도FS_20'!$E:$E)</f>
        <v>0</v>
      </c>
      <c r="F62" s="146">
        <f t="shared" si="8"/>
        <v>0</v>
      </c>
      <c r="G62" s="344">
        <f t="shared" si="7"/>
        <v>0</v>
      </c>
      <c r="H62" s="143" t="s">
        <v>579</v>
      </c>
      <c r="I62" s="144"/>
      <c r="J62" s="140"/>
      <c r="K62" s="140"/>
      <c r="L62" s="140"/>
      <c r="M62" s="140"/>
      <c r="N62" s="145"/>
      <c r="O62" s="145"/>
      <c r="P62" s="145"/>
      <c r="Q62" s="145"/>
      <c r="R62" s="145"/>
      <c r="S62" s="140"/>
      <c r="T62" s="145"/>
      <c r="U62" s="145"/>
      <c r="V62" s="145"/>
      <c r="W62" s="145"/>
      <c r="X62" s="145"/>
    </row>
    <row r="63" spans="2:24">
      <c r="B63" s="139" t="s">
        <v>134</v>
      </c>
      <c r="C63" s="139" t="s">
        <v>135</v>
      </c>
      <c r="D63" s="140">
        <f>SUMIF('A-1. 별도FS_19'!$B:$B,CFwp_US_local!B63,'A-1. 별도FS_19'!$E:$E)</f>
        <v>0</v>
      </c>
      <c r="E63" s="140">
        <f>SUMIF('A-1. 별도FS_20'!$B:$B,CFwp_US_local!B63,'A-1. 별도FS_20'!$E:$E)</f>
        <v>0</v>
      </c>
      <c r="F63" s="146">
        <f t="shared" si="8"/>
        <v>0</v>
      </c>
      <c r="G63" s="344">
        <f t="shared" si="7"/>
        <v>0</v>
      </c>
      <c r="H63" s="143"/>
      <c r="I63" s="144"/>
      <c r="J63" s="140"/>
      <c r="K63" s="140"/>
      <c r="L63" s="140"/>
      <c r="M63" s="140"/>
      <c r="N63" s="145"/>
      <c r="O63" s="145"/>
      <c r="P63" s="145"/>
      <c r="Q63" s="145"/>
      <c r="R63" s="145"/>
      <c r="S63" s="140"/>
      <c r="T63" s="145"/>
      <c r="U63" s="145"/>
      <c r="V63" s="145"/>
      <c r="W63" s="145"/>
      <c r="X63" s="145"/>
    </row>
    <row r="64" spans="2:24">
      <c r="B64" s="139" t="s">
        <v>136</v>
      </c>
      <c r="C64" s="139" t="s">
        <v>137</v>
      </c>
      <c r="D64" s="140">
        <f>SUMIF('A-1. 별도FS_19'!$B:$B,CFwp_US_local!B64,'A-1. 별도FS_19'!$E:$E)</f>
        <v>0</v>
      </c>
      <c r="E64" s="140">
        <f>SUMIF('A-1. 별도FS_20'!$B:$B,CFwp_US_local!B64,'A-1. 별도FS_20'!$E:$E)</f>
        <v>0</v>
      </c>
      <c r="F64" s="146">
        <f t="shared" si="8"/>
        <v>0</v>
      </c>
      <c r="G64" s="344">
        <f t="shared" si="7"/>
        <v>0</v>
      </c>
      <c r="H64" s="143" t="s">
        <v>579</v>
      </c>
      <c r="I64" s="144"/>
      <c r="J64" s="140"/>
      <c r="K64" s="140"/>
      <c r="L64" s="140"/>
      <c r="M64" s="140"/>
      <c r="N64" s="145"/>
      <c r="O64" s="145"/>
      <c r="P64" s="145"/>
      <c r="Q64" s="145"/>
      <c r="R64" s="145"/>
      <c r="S64" s="140"/>
      <c r="T64" s="145"/>
      <c r="U64" s="145"/>
      <c r="V64" s="145"/>
      <c r="W64" s="145"/>
      <c r="X64" s="145"/>
    </row>
    <row r="65" spans="2:24">
      <c r="B65" s="139" t="s">
        <v>138</v>
      </c>
      <c r="C65" s="139" t="s">
        <v>139</v>
      </c>
      <c r="D65" s="140">
        <f>SUMIF('A-1. 별도FS_19'!$B:$B,CFwp_US_local!B65,'A-1. 별도FS_19'!$E:$E)</f>
        <v>0</v>
      </c>
      <c r="E65" s="140">
        <f>SUMIF('A-1. 별도FS_20'!$B:$B,CFwp_US_local!B65,'A-1. 별도FS_20'!$E:$E)</f>
        <v>0</v>
      </c>
      <c r="F65" s="146">
        <f t="shared" si="8"/>
        <v>0</v>
      </c>
      <c r="G65" s="344">
        <f t="shared" si="7"/>
        <v>0</v>
      </c>
      <c r="H65" s="143" t="s">
        <v>580</v>
      </c>
      <c r="I65" s="144"/>
      <c r="J65" s="140"/>
      <c r="K65" s="140"/>
      <c r="L65" s="140"/>
      <c r="M65" s="140"/>
      <c r="N65" s="145"/>
      <c r="O65" s="145"/>
      <c r="P65" s="145"/>
      <c r="Q65" s="145"/>
      <c r="R65" s="145"/>
      <c r="S65" s="140"/>
      <c r="T65" s="145"/>
      <c r="U65" s="145"/>
      <c r="V65" s="145"/>
      <c r="W65" s="145"/>
      <c r="X65" s="145"/>
    </row>
    <row r="66" spans="2:24">
      <c r="B66" s="139"/>
      <c r="C66" s="139"/>
      <c r="D66" s="140">
        <f>SUMIF('A-1. 별도FS_19'!$B:$B,CFwp_US_local!B66,'A-1. 별도FS_19'!$E:$E)</f>
        <v>0</v>
      </c>
      <c r="E66" s="140">
        <f>SUMIF('A-1. 별도FS_20'!$B:$B,CFwp_US_local!B66,'A-1. 별도FS_20'!$E:$E)</f>
        <v>0</v>
      </c>
      <c r="F66" s="146"/>
      <c r="G66" s="344"/>
      <c r="H66" s="143" t="s">
        <v>581</v>
      </c>
      <c r="I66" s="144"/>
      <c r="J66" s="140"/>
      <c r="K66" s="140"/>
      <c r="L66" s="140"/>
      <c r="M66" s="140"/>
      <c r="N66" s="145"/>
      <c r="O66" s="145"/>
      <c r="P66" s="145"/>
      <c r="Q66" s="145"/>
      <c r="R66" s="145"/>
      <c r="S66" s="140"/>
      <c r="T66" s="145"/>
      <c r="U66" s="145"/>
      <c r="V66" s="145"/>
      <c r="W66" s="145"/>
      <c r="X66" s="145"/>
    </row>
    <row r="67" spans="2:24">
      <c r="B67" s="139" t="s">
        <v>140</v>
      </c>
      <c r="C67" s="139" t="s">
        <v>141</v>
      </c>
      <c r="D67" s="140">
        <f>SUMIF('A-1. 별도FS_19'!$B:$B,CFwp_US_local!B67,'A-1. 별도FS_19'!$E:$E)</f>
        <v>0</v>
      </c>
      <c r="E67" s="140">
        <f>SUMIF('A-1. 별도FS_20'!$B:$B,CFwp_US_local!B67,'A-1. 별도FS_20'!$E:$E)</f>
        <v>0</v>
      </c>
      <c r="F67" s="146">
        <f t="shared" si="8"/>
        <v>0</v>
      </c>
      <c r="G67" s="344">
        <f t="shared" si="7"/>
        <v>0</v>
      </c>
      <c r="H67" s="143" t="s">
        <v>579</v>
      </c>
      <c r="I67" s="144"/>
      <c r="J67" s="140"/>
      <c r="K67" s="140"/>
      <c r="L67" s="140"/>
      <c r="M67" s="140"/>
      <c r="N67" s="145"/>
      <c r="O67" s="145"/>
      <c r="P67" s="145"/>
      <c r="Q67" s="145"/>
      <c r="R67" s="145"/>
      <c r="S67" s="140"/>
      <c r="T67" s="145"/>
      <c r="U67" s="145"/>
      <c r="V67" s="145"/>
      <c r="W67" s="145"/>
      <c r="X67" s="145"/>
    </row>
    <row r="68" spans="2:24">
      <c r="B68" s="139" t="s">
        <v>142</v>
      </c>
      <c r="C68" s="139" t="s">
        <v>143</v>
      </c>
      <c r="D68" s="140">
        <f>SUMIF('A-1. 별도FS_19'!$B:$B,CFwp_US_local!B68,'A-1. 별도FS_19'!$E:$E)</f>
        <v>0</v>
      </c>
      <c r="E68" s="140">
        <f>SUMIF('A-1. 별도FS_20'!$B:$B,CFwp_US_local!B68,'A-1. 별도FS_20'!$E:$E)</f>
        <v>0</v>
      </c>
      <c r="F68" s="146">
        <f t="shared" si="8"/>
        <v>0</v>
      </c>
      <c r="G68" s="344">
        <f t="shared" si="7"/>
        <v>0</v>
      </c>
      <c r="H68" s="143"/>
      <c r="I68" s="144"/>
      <c r="J68" s="140"/>
      <c r="K68" s="140"/>
      <c r="L68" s="140"/>
      <c r="M68" s="140"/>
      <c r="N68" s="145"/>
      <c r="O68" s="145"/>
      <c r="P68" s="145"/>
      <c r="Q68" s="145"/>
      <c r="R68" s="145"/>
      <c r="S68" s="140"/>
      <c r="T68" s="145"/>
      <c r="U68" s="145"/>
      <c r="V68" s="145"/>
      <c r="W68" s="145"/>
      <c r="X68" s="145"/>
    </row>
    <row r="69" spans="2:24">
      <c r="B69" s="139" t="s">
        <v>144</v>
      </c>
      <c r="C69" s="139" t="s">
        <v>145</v>
      </c>
      <c r="D69" s="140">
        <f>SUMIF('A-1. 별도FS_19'!$B:$B,CFwp_US_local!B69,'A-1. 별도FS_19'!$E:$E)</f>
        <v>0</v>
      </c>
      <c r="E69" s="140">
        <f>SUMIF('A-1. 별도FS_20'!$B:$B,CFwp_US_local!B69,'A-1. 별도FS_20'!$E:$E)</f>
        <v>0</v>
      </c>
      <c r="F69" s="146">
        <f t="shared" si="8"/>
        <v>0</v>
      </c>
      <c r="G69" s="344">
        <f t="shared" si="7"/>
        <v>0</v>
      </c>
      <c r="H69" s="143"/>
      <c r="I69" s="144"/>
      <c r="J69" s="140"/>
      <c r="K69" s="140"/>
      <c r="L69" s="140"/>
      <c r="M69" s="140"/>
      <c r="N69" s="145"/>
      <c r="O69" s="145"/>
      <c r="P69" s="145"/>
      <c r="Q69" s="145"/>
      <c r="R69" s="145"/>
      <c r="S69" s="140"/>
      <c r="T69" s="145"/>
      <c r="U69" s="145"/>
      <c r="V69" s="145"/>
      <c r="W69" s="145"/>
      <c r="X69" s="145"/>
    </row>
    <row r="70" spans="2:24">
      <c r="B70" s="139" t="s">
        <v>146</v>
      </c>
      <c r="C70" s="139" t="s">
        <v>147</v>
      </c>
      <c r="D70" s="140">
        <f>SUMIF('A-1. 별도FS_19'!$B:$B,CFwp_US_local!B70,'A-1. 별도FS_19'!$E:$E)</f>
        <v>0</v>
      </c>
      <c r="E70" s="140">
        <f>SUMIF('A-1. 별도FS_20'!$B:$B,CFwp_US_local!B70,'A-1. 별도FS_20'!$E:$E)</f>
        <v>0</v>
      </c>
      <c r="F70" s="146">
        <f t="shared" si="8"/>
        <v>0</v>
      </c>
      <c r="G70" s="344">
        <f t="shared" si="7"/>
        <v>0</v>
      </c>
      <c r="H70" s="143" t="s">
        <v>579</v>
      </c>
      <c r="I70" s="144"/>
      <c r="J70" s="140"/>
      <c r="K70" s="140"/>
      <c r="L70" s="140"/>
      <c r="M70" s="140"/>
      <c r="N70" s="145"/>
      <c r="O70" s="145"/>
      <c r="P70" s="145"/>
      <c r="Q70" s="145"/>
      <c r="R70" s="145"/>
      <c r="S70" s="140"/>
      <c r="T70" s="145"/>
      <c r="U70" s="145"/>
      <c r="V70" s="145"/>
      <c r="W70" s="145"/>
      <c r="X70" s="145"/>
    </row>
    <row r="71" spans="2:24">
      <c r="B71" s="139" t="s">
        <v>148</v>
      </c>
      <c r="C71" s="139" t="s">
        <v>149</v>
      </c>
      <c r="D71" s="140">
        <f>SUMIF('A-1. 별도FS_19'!$B:$B,CFwp_US_local!B71,'A-1. 별도FS_19'!$E:$E)</f>
        <v>0</v>
      </c>
      <c r="E71" s="140">
        <f>SUMIF('A-1. 별도FS_20'!$B:$B,CFwp_US_local!B71,'A-1. 별도FS_20'!$E:$E)</f>
        <v>0</v>
      </c>
      <c r="F71" s="146">
        <f t="shared" si="8"/>
        <v>0</v>
      </c>
      <c r="G71" s="344">
        <f t="shared" si="7"/>
        <v>0</v>
      </c>
      <c r="H71" s="143"/>
      <c r="I71" s="144"/>
      <c r="J71" s="140"/>
      <c r="K71" s="140"/>
      <c r="L71" s="140"/>
      <c r="M71" s="140"/>
      <c r="N71" s="145"/>
      <c r="O71" s="145"/>
      <c r="P71" s="145"/>
      <c r="Q71" s="145"/>
      <c r="R71" s="145"/>
      <c r="S71" s="140"/>
      <c r="T71" s="145"/>
      <c r="U71" s="145"/>
      <c r="V71" s="145"/>
      <c r="W71" s="145"/>
      <c r="X71" s="145"/>
    </row>
    <row r="72" spans="2:24">
      <c r="B72" s="139" t="s">
        <v>150</v>
      </c>
      <c r="C72" s="139" t="s">
        <v>151</v>
      </c>
      <c r="D72" s="140">
        <f>SUMIF('A-1. 별도FS_19'!$B:$B,CFwp_US_local!B72,'A-1. 별도FS_19'!$E:$E)</f>
        <v>0</v>
      </c>
      <c r="E72" s="140">
        <f>SUMIF('A-1. 별도FS_20'!$B:$B,CFwp_US_local!B72,'A-1. 별도FS_20'!$E:$E)</f>
        <v>0</v>
      </c>
      <c r="F72" s="146">
        <f t="shared" si="8"/>
        <v>0</v>
      </c>
      <c r="G72" s="344">
        <f t="shared" si="7"/>
        <v>0</v>
      </c>
      <c r="H72" s="143" t="s">
        <v>579</v>
      </c>
      <c r="I72" s="144"/>
      <c r="J72" s="140"/>
      <c r="K72" s="140"/>
      <c r="L72" s="140"/>
      <c r="M72" s="140"/>
      <c r="N72" s="145"/>
      <c r="O72" s="145"/>
      <c r="P72" s="145"/>
      <c r="Q72" s="145"/>
      <c r="R72" s="145"/>
      <c r="S72" s="140"/>
      <c r="T72" s="145"/>
      <c r="U72" s="145"/>
      <c r="V72" s="145"/>
      <c r="W72" s="145"/>
      <c r="X72" s="145"/>
    </row>
    <row r="73" spans="2:24">
      <c r="B73" s="139" t="s">
        <v>152</v>
      </c>
      <c r="C73" s="139" t="s">
        <v>153</v>
      </c>
      <c r="D73" s="140">
        <f>SUMIF('A-1. 별도FS_19'!$B:$B,CFwp_US_local!B73,'A-1. 별도FS_19'!$E:$E)</f>
        <v>0</v>
      </c>
      <c r="E73" s="140">
        <f>SUMIF('A-1. 별도FS_20'!$B:$B,CFwp_US_local!B73,'A-1. 별도FS_20'!$E:$E)</f>
        <v>0</v>
      </c>
      <c r="F73" s="146">
        <f t="shared" si="8"/>
        <v>0</v>
      </c>
      <c r="G73" s="344">
        <f t="shared" si="7"/>
        <v>0</v>
      </c>
      <c r="H73" s="143"/>
      <c r="I73" s="144"/>
      <c r="J73" s="140"/>
      <c r="K73" s="140"/>
      <c r="L73" s="140"/>
      <c r="M73" s="140"/>
      <c r="N73" s="145"/>
      <c r="O73" s="145"/>
      <c r="P73" s="145"/>
      <c r="Q73" s="145"/>
      <c r="R73" s="145"/>
      <c r="S73" s="140"/>
      <c r="T73" s="145"/>
      <c r="U73" s="145"/>
      <c r="V73" s="145"/>
      <c r="W73" s="145"/>
      <c r="X73" s="145"/>
    </row>
    <row r="74" spans="2:24">
      <c r="B74" s="139" t="s">
        <v>154</v>
      </c>
      <c r="C74" s="139" t="s">
        <v>155</v>
      </c>
      <c r="D74" s="140">
        <f>SUMIF('A-1. 별도FS_19'!$B:$B,CFwp_US_local!B74,'A-1. 별도FS_19'!$E:$E)</f>
        <v>7613</v>
      </c>
      <c r="E74" s="140">
        <f>SUMIF('A-1. 별도FS_20'!$B:$B,CFwp_US_local!B74,'A-1. 별도FS_20'!$E:$E)</f>
        <v>15261.35</v>
      </c>
      <c r="F74" s="146">
        <f t="shared" si="8"/>
        <v>7648.35</v>
      </c>
      <c r="G74" s="344">
        <f t="shared" si="7"/>
        <v>0</v>
      </c>
      <c r="H74" s="143"/>
      <c r="I74" s="144"/>
      <c r="J74" s="140"/>
      <c r="K74" s="140"/>
      <c r="L74" s="140"/>
      <c r="M74" s="140"/>
      <c r="N74" s="145"/>
      <c r="O74" s="145"/>
      <c r="P74" s="145">
        <v>7648.35</v>
      </c>
      <c r="Q74" s="145"/>
      <c r="R74" s="145"/>
      <c r="S74" s="140"/>
      <c r="T74" s="145"/>
      <c r="U74" s="145"/>
      <c r="V74" s="145"/>
      <c r="W74" s="145"/>
      <c r="X74" s="145"/>
    </row>
    <row r="75" spans="2:24">
      <c r="B75" s="139" t="s">
        <v>156</v>
      </c>
      <c r="C75" s="139" t="s">
        <v>157</v>
      </c>
      <c r="D75" s="140">
        <f>SUMIF('A-1. 별도FS_19'!$B:$B,CFwp_US_local!B75,'A-1. 별도FS_19'!$E:$E)</f>
        <v>-127</v>
      </c>
      <c r="E75" s="140">
        <f>SUMIF('A-1. 별도FS_20'!$B:$B,CFwp_US_local!B75,'A-1. 별도FS_20'!$E:$E)</f>
        <v>-4214</v>
      </c>
      <c r="F75" s="146">
        <f t="shared" si="8"/>
        <v>-4087</v>
      </c>
      <c r="G75" s="344">
        <f t="shared" si="7"/>
        <v>0</v>
      </c>
      <c r="H75" s="143" t="s">
        <v>579</v>
      </c>
      <c r="I75" s="144">
        <f>'A-1. 별도FS_20'!E183</f>
        <v>4087</v>
      </c>
      <c r="J75" s="140">
        <f>I75</f>
        <v>4087</v>
      </c>
      <c r="K75" s="140"/>
      <c r="L75" s="140"/>
      <c r="M75" s="140"/>
      <c r="N75" s="145"/>
      <c r="O75" s="145"/>
      <c r="P75" s="145"/>
      <c r="Q75" s="145"/>
      <c r="R75" s="145"/>
      <c r="S75" s="140"/>
      <c r="T75" s="145"/>
      <c r="U75" s="145"/>
      <c r="V75" s="145"/>
      <c r="W75" s="145"/>
      <c r="X75" s="145"/>
    </row>
    <row r="76" spans="2:24">
      <c r="B76" s="139" t="s">
        <v>158</v>
      </c>
      <c r="C76" s="139" t="s">
        <v>159</v>
      </c>
      <c r="D76" s="140">
        <f>SUMIF('A-1. 별도FS_19'!$B:$B,CFwp_US_local!B76,'A-1. 별도FS_19'!$E:$E)</f>
        <v>0</v>
      </c>
      <c r="E76" s="140">
        <f>SUMIF('A-1. 별도FS_20'!$B:$B,CFwp_US_local!B76,'A-1. 별도FS_20'!$E:$E)</f>
        <v>0</v>
      </c>
      <c r="F76" s="146">
        <f t="shared" si="8"/>
        <v>0</v>
      </c>
      <c r="G76" s="344">
        <f t="shared" si="7"/>
        <v>0</v>
      </c>
      <c r="H76" s="143"/>
      <c r="I76" s="144"/>
      <c r="J76" s="140"/>
      <c r="K76" s="140"/>
      <c r="L76" s="140"/>
      <c r="M76" s="140"/>
      <c r="N76" s="145"/>
      <c r="O76" s="145"/>
      <c r="P76" s="145"/>
      <c r="Q76" s="145"/>
      <c r="R76" s="145"/>
      <c r="S76" s="140"/>
      <c r="T76" s="145"/>
      <c r="U76" s="145"/>
      <c r="V76" s="145"/>
      <c r="W76" s="145"/>
      <c r="X76" s="145"/>
    </row>
    <row r="77" spans="2:24">
      <c r="B77" s="139" t="s">
        <v>160</v>
      </c>
      <c r="C77" s="139" t="s">
        <v>161</v>
      </c>
      <c r="D77" s="140">
        <f>SUMIF('A-1. 별도FS_19'!$B:$B,CFwp_US_local!B77,'A-1. 별도FS_19'!$E:$E)</f>
        <v>0</v>
      </c>
      <c r="E77" s="140">
        <f>SUMIF('A-1. 별도FS_20'!$B:$B,CFwp_US_local!B77,'A-1. 별도FS_20'!$E:$E)</f>
        <v>0</v>
      </c>
      <c r="F77" s="146">
        <f t="shared" si="8"/>
        <v>0</v>
      </c>
      <c r="G77" s="344">
        <f t="shared" si="7"/>
        <v>0</v>
      </c>
      <c r="H77" s="143"/>
      <c r="I77" s="144"/>
      <c r="J77" s="140"/>
      <c r="K77" s="140"/>
      <c r="L77" s="140"/>
      <c r="M77" s="140"/>
      <c r="N77" s="145"/>
      <c r="O77" s="145"/>
      <c r="P77" s="145"/>
      <c r="Q77" s="145"/>
      <c r="R77" s="145"/>
      <c r="S77" s="140"/>
      <c r="T77" s="145"/>
      <c r="U77" s="145"/>
      <c r="V77" s="145"/>
      <c r="W77" s="145"/>
      <c r="X77" s="145"/>
    </row>
    <row r="78" spans="2:24">
      <c r="B78" s="139" t="s">
        <v>162</v>
      </c>
      <c r="C78" s="139" t="s">
        <v>163</v>
      </c>
      <c r="D78" s="140">
        <f>SUMIF('A-1. 별도FS_19'!$B:$B,CFwp_US_local!B78,'A-1. 별도FS_19'!$E:$E)</f>
        <v>0</v>
      </c>
      <c r="E78" s="140">
        <f>SUMIF('A-1. 별도FS_20'!$B:$B,CFwp_US_local!B78,'A-1. 별도FS_20'!$E:$E)</f>
        <v>0</v>
      </c>
      <c r="F78" s="146">
        <f t="shared" si="8"/>
        <v>0</v>
      </c>
      <c r="G78" s="344">
        <f t="shared" si="7"/>
        <v>0</v>
      </c>
      <c r="H78" s="143" t="s">
        <v>579</v>
      </c>
      <c r="I78" s="144"/>
      <c r="J78" s="140"/>
      <c r="K78" s="140"/>
      <c r="L78" s="140"/>
      <c r="M78" s="140"/>
      <c r="N78" s="145"/>
      <c r="O78" s="145"/>
      <c r="P78" s="145"/>
      <c r="Q78" s="145"/>
      <c r="R78" s="145"/>
      <c r="S78" s="140"/>
      <c r="T78" s="145"/>
      <c r="U78" s="145"/>
      <c r="V78" s="145"/>
      <c r="W78" s="145"/>
      <c r="X78" s="145"/>
    </row>
    <row r="79" spans="2:24">
      <c r="B79" s="139" t="s">
        <v>164</v>
      </c>
      <c r="C79" s="139" t="s">
        <v>165</v>
      </c>
      <c r="D79" s="140">
        <f>SUMIF('A-1. 별도FS_19'!$B:$B,CFwp_US_local!B79,'A-1. 별도FS_19'!$E:$E)</f>
        <v>0</v>
      </c>
      <c r="E79" s="140">
        <f>SUMIF('A-1. 별도FS_20'!$B:$B,CFwp_US_local!B79,'A-1. 별도FS_20'!$E:$E)</f>
        <v>0</v>
      </c>
      <c r="F79" s="146">
        <f t="shared" si="8"/>
        <v>0</v>
      </c>
      <c r="G79" s="344">
        <f t="shared" si="7"/>
        <v>0</v>
      </c>
      <c r="H79" s="143"/>
      <c r="I79" s="144"/>
      <c r="J79" s="140"/>
      <c r="K79" s="140"/>
      <c r="L79" s="140"/>
      <c r="M79" s="140"/>
      <c r="N79" s="145"/>
      <c r="O79" s="145"/>
      <c r="P79" s="145"/>
      <c r="Q79" s="145"/>
      <c r="R79" s="145"/>
      <c r="S79" s="140"/>
      <c r="T79" s="145"/>
      <c r="U79" s="145"/>
      <c r="V79" s="145"/>
      <c r="W79" s="145"/>
      <c r="X79" s="145"/>
    </row>
    <row r="80" spans="2:24">
      <c r="B80" s="139" t="s">
        <v>166</v>
      </c>
      <c r="C80" s="139" t="s">
        <v>167</v>
      </c>
      <c r="D80" s="140">
        <f>SUMIF('A-1. 별도FS_19'!$B:$B,CFwp_US_local!B80,'A-1. 별도FS_19'!$E:$E)</f>
        <v>0</v>
      </c>
      <c r="E80" s="140">
        <f>SUMIF('A-1. 별도FS_20'!$B:$B,CFwp_US_local!B80,'A-1. 별도FS_20'!$E:$E)</f>
        <v>0</v>
      </c>
      <c r="F80" s="146">
        <f t="shared" si="8"/>
        <v>0</v>
      </c>
      <c r="G80" s="344">
        <f t="shared" si="7"/>
        <v>0</v>
      </c>
      <c r="H80" s="143" t="s">
        <v>579</v>
      </c>
      <c r="I80" s="144"/>
      <c r="J80" s="140"/>
      <c r="K80" s="140"/>
      <c r="L80" s="140"/>
      <c r="M80" s="140"/>
      <c r="N80" s="145"/>
      <c r="O80" s="145"/>
      <c r="P80" s="145"/>
      <c r="Q80" s="145"/>
      <c r="R80" s="145"/>
      <c r="S80" s="140"/>
      <c r="T80" s="145"/>
      <c r="U80" s="145"/>
      <c r="V80" s="145"/>
      <c r="W80" s="145"/>
      <c r="X80" s="145"/>
    </row>
    <row r="81" spans="2:24">
      <c r="B81" s="139"/>
      <c r="C81" s="139"/>
      <c r="D81" s="140"/>
      <c r="E81" s="140"/>
      <c r="F81" s="146"/>
      <c r="G81" s="344"/>
      <c r="H81" s="143"/>
      <c r="I81" s="144"/>
      <c r="J81" s="140"/>
      <c r="K81" s="140"/>
      <c r="L81" s="140"/>
      <c r="M81" s="140"/>
      <c r="N81" s="145"/>
      <c r="O81" s="145"/>
      <c r="P81" s="145"/>
      <c r="Q81" s="145"/>
      <c r="R81" s="145"/>
      <c r="S81" s="140"/>
      <c r="T81" s="145"/>
      <c r="U81" s="145"/>
      <c r="V81" s="145"/>
      <c r="W81" s="145"/>
      <c r="X81" s="145"/>
    </row>
    <row r="82" spans="2:24">
      <c r="B82" s="137"/>
      <c r="C82" s="137" t="s">
        <v>172</v>
      </c>
      <c r="D82" s="138">
        <f>SUM(D83:D89)</f>
        <v>0</v>
      </c>
      <c r="E82" s="138">
        <f>SUM(E83:E89)</f>
        <v>0</v>
      </c>
      <c r="F82" s="154"/>
      <c r="G82" s="347"/>
      <c r="H82" s="138"/>
      <c r="I82" s="149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</row>
    <row r="83" spans="2:24">
      <c r="B83" s="139" t="s">
        <v>169</v>
      </c>
      <c r="C83" s="139" t="s">
        <v>170</v>
      </c>
      <c r="D83" s="140">
        <f>SUMIF('A-1. 별도FS_19'!$B:$B,CFwp_US_local!B83,'A-1. 별도FS_19'!$E:$E)</f>
        <v>0</v>
      </c>
      <c r="E83" s="140">
        <f>SUMIF('A-1. 별도FS_20'!$B:$B,CFwp_US_local!B83,'A-1. 별도FS_20'!$E:$E)</f>
        <v>0</v>
      </c>
      <c r="F83" s="146">
        <f>E83-D83</f>
        <v>0</v>
      </c>
      <c r="G83" s="344">
        <f t="shared" ref="G83:G99" si="9">J83-K83+N83+O83-P83+Q83-R83-T83+V83+F83-W83+X83</f>
        <v>0</v>
      </c>
      <c r="H83" s="143"/>
      <c r="I83" s="144"/>
      <c r="J83" s="140"/>
      <c r="K83" s="140"/>
      <c r="L83" s="140"/>
      <c r="M83" s="140"/>
      <c r="N83" s="145"/>
      <c r="O83" s="145"/>
      <c r="P83" s="145"/>
      <c r="Q83" s="145"/>
      <c r="R83" s="145"/>
      <c r="S83" s="140"/>
      <c r="T83" s="145"/>
      <c r="U83" s="145"/>
      <c r="V83" s="145"/>
      <c r="W83" s="145"/>
      <c r="X83" s="145"/>
    </row>
    <row r="84" spans="2:24">
      <c r="B84" s="139" t="s">
        <v>173</v>
      </c>
      <c r="C84" s="139" t="s">
        <v>174</v>
      </c>
      <c r="D84" s="140">
        <f>SUMIF('A-1. 별도FS_19'!$B:$B,CFwp_US_local!B84,'A-1. 별도FS_19'!$E:$E)</f>
        <v>0</v>
      </c>
      <c r="E84" s="140">
        <f>SUMIF('A-1. 별도FS_20'!$B:$B,CFwp_US_local!B84,'A-1. 별도FS_20'!$E:$E)</f>
        <v>0</v>
      </c>
      <c r="F84" s="146">
        <f t="shared" ref="F84:F89" si="10">E84-D84</f>
        <v>0</v>
      </c>
      <c r="G84" s="344">
        <f t="shared" si="9"/>
        <v>0</v>
      </c>
      <c r="H84" s="143" t="s">
        <v>582</v>
      </c>
      <c r="I84" s="144"/>
      <c r="J84" s="140"/>
      <c r="K84" s="140"/>
      <c r="L84" s="140"/>
      <c r="M84" s="140"/>
      <c r="N84" s="145"/>
      <c r="O84" s="145"/>
      <c r="P84" s="145"/>
      <c r="Q84" s="145"/>
      <c r="R84" s="145"/>
      <c r="S84" s="140"/>
      <c r="T84" s="145"/>
      <c r="U84" s="145"/>
      <c r="V84" s="145"/>
      <c r="W84" s="145"/>
      <c r="X84" s="145"/>
    </row>
    <row r="85" spans="2:24">
      <c r="B85" s="139" t="s">
        <v>847</v>
      </c>
      <c r="C85" s="139" t="s">
        <v>848</v>
      </c>
      <c r="D85" s="140">
        <f>SUMIF('A-1. 별도FS_19'!$B:$B,CFwp_US_local!B85,'A-1. 별도FS_19'!$E:$E)</f>
        <v>0</v>
      </c>
      <c r="E85" s="140">
        <f>SUMIF('A-1. 별도FS_20'!$B:$B,CFwp_US_local!B85,'A-1. 별도FS_20'!$E:$E)</f>
        <v>0</v>
      </c>
      <c r="F85" s="146"/>
      <c r="G85" s="344"/>
      <c r="H85" s="143"/>
      <c r="I85" s="144"/>
      <c r="J85" s="140"/>
      <c r="K85" s="140"/>
      <c r="L85" s="140"/>
      <c r="M85" s="140"/>
      <c r="N85" s="145"/>
      <c r="O85" s="145"/>
      <c r="P85" s="145"/>
      <c r="Q85" s="145"/>
      <c r="R85" s="145"/>
      <c r="S85" s="140"/>
      <c r="T85" s="145"/>
      <c r="U85" s="145"/>
      <c r="V85" s="145"/>
      <c r="W85" s="145"/>
      <c r="X85" s="145"/>
    </row>
    <row r="86" spans="2:24">
      <c r="B86" s="139" t="s">
        <v>175</v>
      </c>
      <c r="C86" s="139" t="s">
        <v>176</v>
      </c>
      <c r="D86" s="140">
        <f>SUMIF('A-1. 별도FS_19'!$B:$B,CFwp_US_local!B86,'A-1. 별도FS_19'!$E:$E)</f>
        <v>0</v>
      </c>
      <c r="E86" s="140">
        <f>SUMIF('A-1. 별도FS_20'!$B:$B,CFwp_US_local!B86,'A-1. 별도FS_20'!$E:$E)</f>
        <v>0</v>
      </c>
      <c r="F86" s="146">
        <f t="shared" si="10"/>
        <v>0</v>
      </c>
      <c r="G86" s="344">
        <f t="shared" si="9"/>
        <v>0</v>
      </c>
      <c r="H86" s="143"/>
      <c r="I86" s="144"/>
      <c r="J86" s="140"/>
      <c r="K86" s="140"/>
      <c r="L86" s="140"/>
      <c r="M86" s="140"/>
      <c r="N86" s="145"/>
      <c r="O86" s="145"/>
      <c r="P86" s="145"/>
      <c r="Q86" s="145"/>
      <c r="R86" s="145"/>
      <c r="S86" s="140"/>
      <c r="T86" s="145"/>
      <c r="U86" s="145"/>
      <c r="V86" s="145"/>
      <c r="W86" s="145"/>
      <c r="X86" s="145"/>
    </row>
    <row r="87" spans="2:24">
      <c r="B87" s="139" t="s">
        <v>849</v>
      </c>
      <c r="C87" s="139" t="s">
        <v>850</v>
      </c>
      <c r="D87" s="140">
        <f>SUMIF('A-1. 별도FS_19'!$B:$B,CFwp_US_local!B87,'A-1. 별도FS_19'!$E:$E)</f>
        <v>0</v>
      </c>
      <c r="E87" s="140">
        <f>SUMIF('A-1. 별도FS_20'!$B:$B,CFwp_US_local!B87,'A-1. 별도FS_20'!$E:$E)</f>
        <v>0</v>
      </c>
      <c r="F87" s="146"/>
      <c r="G87" s="344"/>
      <c r="H87" s="143"/>
      <c r="I87" s="144"/>
      <c r="J87" s="140"/>
      <c r="K87" s="140"/>
      <c r="L87" s="140"/>
      <c r="M87" s="140"/>
      <c r="N87" s="145"/>
      <c r="O87" s="145"/>
      <c r="P87" s="145"/>
      <c r="Q87" s="145"/>
      <c r="R87" s="145"/>
      <c r="S87" s="140"/>
      <c r="T87" s="145"/>
      <c r="U87" s="145"/>
      <c r="V87" s="145"/>
      <c r="W87" s="145"/>
      <c r="X87" s="145"/>
    </row>
    <row r="88" spans="2:24">
      <c r="B88" s="139" t="s">
        <v>177</v>
      </c>
      <c r="C88" s="139" t="s">
        <v>583</v>
      </c>
      <c r="D88" s="140">
        <f>SUMIF('A-1. 별도FS_19'!$B:$B,CFwp_US_local!B88,'A-1. 별도FS_19'!$E:$E)</f>
        <v>0</v>
      </c>
      <c r="E88" s="140">
        <f>SUMIF('A-1. 별도FS_20'!$B:$B,CFwp_US_local!B88,'A-1. 별도FS_20'!$E:$E)</f>
        <v>0</v>
      </c>
      <c r="F88" s="146">
        <f t="shared" si="10"/>
        <v>0</v>
      </c>
      <c r="G88" s="344">
        <f t="shared" si="9"/>
        <v>0</v>
      </c>
      <c r="H88" s="143"/>
      <c r="I88" s="144"/>
      <c r="J88" s="140"/>
      <c r="K88" s="140"/>
      <c r="L88" s="140"/>
      <c r="M88" s="140"/>
      <c r="N88" s="145"/>
      <c r="O88" s="145"/>
      <c r="P88" s="145"/>
      <c r="Q88" s="145"/>
      <c r="R88" s="145"/>
      <c r="S88" s="140"/>
      <c r="T88" s="145"/>
      <c r="U88" s="145"/>
      <c r="V88" s="145"/>
      <c r="W88" s="145"/>
      <c r="X88" s="145"/>
    </row>
    <row r="89" spans="2:24">
      <c r="B89" s="139" t="s">
        <v>179</v>
      </c>
      <c r="C89" s="139" t="s">
        <v>180</v>
      </c>
      <c r="D89" s="140">
        <f>SUMIF('A-1. 별도FS_19'!$B:$B,CFwp_US_local!B89,'A-1. 별도FS_19'!$E:$E)</f>
        <v>0</v>
      </c>
      <c r="E89" s="140">
        <f>SUMIF('A-1. 별도FS_20'!$B:$B,CFwp_US_local!B89,'A-1. 별도FS_20'!$E:$E)</f>
        <v>0</v>
      </c>
      <c r="F89" s="146">
        <f t="shared" si="10"/>
        <v>0</v>
      </c>
      <c r="G89" s="344">
        <f t="shared" si="9"/>
        <v>0</v>
      </c>
      <c r="H89" s="143"/>
      <c r="I89" s="144"/>
      <c r="J89" s="140"/>
      <c r="K89" s="140"/>
      <c r="L89" s="140"/>
      <c r="M89" s="140"/>
      <c r="N89" s="145"/>
      <c r="O89" s="145"/>
      <c r="P89" s="145"/>
      <c r="Q89" s="145"/>
      <c r="R89" s="145"/>
      <c r="S89" s="140"/>
      <c r="T89" s="145"/>
      <c r="U89" s="145"/>
      <c r="V89" s="145"/>
      <c r="W89" s="145"/>
      <c r="X89" s="145"/>
    </row>
    <row r="90" spans="2:24">
      <c r="B90" s="137"/>
      <c r="C90" s="137" t="s">
        <v>584</v>
      </c>
      <c r="D90" s="138">
        <f>SUM(D91:D99)</f>
        <v>0</v>
      </c>
      <c r="E90" s="138">
        <f>SUM(E91:E99)</f>
        <v>0</v>
      </c>
      <c r="F90" s="154"/>
      <c r="G90" s="347"/>
      <c r="H90" s="138"/>
      <c r="I90" s="149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</row>
    <row r="91" spans="2:24">
      <c r="B91" s="139" t="s">
        <v>183</v>
      </c>
      <c r="C91" s="139" t="s">
        <v>65</v>
      </c>
      <c r="D91" s="140">
        <f>SUMIF('A-1. 별도FS_19'!$B:$B,CFwp_US_local!B91,'A-1. 별도FS_19'!$E:$E)</f>
        <v>0</v>
      </c>
      <c r="E91" s="140">
        <f>SUMIF('A-1. 별도FS_20'!$B:$B,CFwp_US_local!B91,'A-1. 별도FS_20'!$E:$E)</f>
        <v>0</v>
      </c>
      <c r="F91" s="146">
        <f t="shared" ref="F91:F99" si="11">E91-D91</f>
        <v>0</v>
      </c>
      <c r="G91" s="344">
        <f t="shared" ref="G91" si="12">J91-K91+N91+O91-P91+Q91-R91-T91+V91+F91-W91+X91</f>
        <v>0</v>
      </c>
      <c r="H91" s="143" t="s">
        <v>585</v>
      </c>
      <c r="I91" s="144"/>
      <c r="J91" s="140"/>
      <c r="K91" s="140"/>
      <c r="L91" s="140"/>
      <c r="M91" s="140"/>
      <c r="N91" s="145"/>
      <c r="O91" s="145"/>
      <c r="P91" s="145"/>
      <c r="Q91" s="145"/>
      <c r="R91" s="145"/>
      <c r="S91" s="140"/>
      <c r="T91" s="145"/>
      <c r="U91" s="145"/>
      <c r="V91" s="145"/>
      <c r="W91" s="145"/>
      <c r="X91" s="145"/>
    </row>
    <row r="92" spans="2:24">
      <c r="B92" s="139" t="s">
        <v>116</v>
      </c>
      <c r="C92" s="139" t="s">
        <v>117</v>
      </c>
      <c r="D92" s="140">
        <f>SUMIF('A-1. 별도FS_19'!$B:$B,CFwp_US_local!B92,'A-1. 별도FS_19'!$E:$E)</f>
        <v>0</v>
      </c>
      <c r="E92" s="140">
        <f>SUMIF('A-1. 별도FS_20'!$B:$B,CFwp_US_local!B92,'A-1. 별도FS_20'!$E:$E)</f>
        <v>0</v>
      </c>
      <c r="F92" s="146">
        <f t="shared" si="11"/>
        <v>0</v>
      </c>
      <c r="G92" s="344">
        <f t="shared" si="9"/>
        <v>0</v>
      </c>
      <c r="H92" s="143"/>
      <c r="I92" s="144"/>
      <c r="J92" s="140"/>
      <c r="K92" s="140"/>
      <c r="L92" s="140"/>
      <c r="M92" s="140"/>
      <c r="N92" s="145"/>
      <c r="O92" s="145"/>
      <c r="P92" s="145"/>
      <c r="Q92" s="145"/>
      <c r="R92" s="145"/>
      <c r="S92" s="140"/>
      <c r="T92" s="145"/>
      <c r="U92" s="145"/>
      <c r="V92" s="145"/>
      <c r="W92" s="145"/>
      <c r="X92" s="145"/>
    </row>
    <row r="93" spans="2:24">
      <c r="B93" s="139" t="s">
        <v>119</v>
      </c>
      <c r="C93" s="139" t="s">
        <v>120</v>
      </c>
      <c r="D93" s="140">
        <f>SUMIF('A-1. 별도FS_19'!$B:$B,CFwp_US_local!B93,'A-1. 별도FS_19'!$E:$E)</f>
        <v>0</v>
      </c>
      <c r="E93" s="140">
        <f>SUMIF('A-1. 별도FS_20'!$B:$B,CFwp_US_local!B93,'A-1. 별도FS_20'!$E:$E)</f>
        <v>0</v>
      </c>
      <c r="F93" s="146">
        <f t="shared" si="11"/>
        <v>0</v>
      </c>
      <c r="G93" s="344">
        <f t="shared" si="9"/>
        <v>0</v>
      </c>
      <c r="H93" s="143"/>
      <c r="I93" s="144"/>
      <c r="J93" s="140"/>
      <c r="K93" s="140"/>
      <c r="L93" s="140"/>
      <c r="M93" s="140"/>
      <c r="N93" s="145"/>
      <c r="O93" s="145"/>
      <c r="P93" s="145"/>
      <c r="Q93" s="145"/>
      <c r="R93" s="145"/>
      <c r="S93" s="140"/>
      <c r="T93" s="145"/>
      <c r="U93" s="145"/>
      <c r="V93" s="145"/>
      <c r="W93" s="145"/>
      <c r="X93" s="145"/>
    </row>
    <row r="94" spans="2:24">
      <c r="B94" s="139" t="s">
        <v>121</v>
      </c>
      <c r="C94" s="139" t="s">
        <v>122</v>
      </c>
      <c r="D94" s="140">
        <f>SUMIF('A-1. 별도FS_19'!$B:$B,CFwp_US_local!B94,'A-1. 별도FS_19'!$E:$E)</f>
        <v>0</v>
      </c>
      <c r="E94" s="140">
        <f>SUMIF('A-1. 별도FS_20'!$B:$B,CFwp_US_local!B94,'A-1. 별도FS_20'!$E:$E)</f>
        <v>0</v>
      </c>
      <c r="F94" s="146">
        <f t="shared" si="11"/>
        <v>0</v>
      </c>
      <c r="G94" s="344">
        <f t="shared" si="9"/>
        <v>0</v>
      </c>
      <c r="H94" s="143" t="s">
        <v>572</v>
      </c>
      <c r="I94" s="144"/>
      <c r="J94" s="140"/>
      <c r="K94" s="140"/>
      <c r="L94" s="140"/>
      <c r="M94" s="140"/>
      <c r="N94" s="145"/>
      <c r="O94" s="145"/>
      <c r="P94" s="145"/>
      <c r="Q94" s="145"/>
      <c r="R94" s="145"/>
      <c r="S94" s="140"/>
      <c r="T94" s="145"/>
      <c r="U94" s="145"/>
      <c r="V94" s="145"/>
      <c r="W94" s="145"/>
      <c r="X94" s="145"/>
    </row>
    <row r="95" spans="2:24">
      <c r="B95" s="139" t="s">
        <v>123</v>
      </c>
      <c r="C95" s="139" t="s">
        <v>124</v>
      </c>
      <c r="D95" s="140">
        <f>SUMIF('A-1. 별도FS_19'!$B:$B,CFwp_US_local!B95,'A-1. 별도FS_19'!$E:$E)</f>
        <v>0</v>
      </c>
      <c r="E95" s="140">
        <f>SUMIF('A-1. 별도FS_20'!$B:$B,CFwp_US_local!B95,'A-1. 별도FS_20'!$E:$E)</f>
        <v>0</v>
      </c>
      <c r="F95" s="146">
        <f t="shared" si="11"/>
        <v>0</v>
      </c>
      <c r="G95" s="344">
        <f t="shared" si="9"/>
        <v>0</v>
      </c>
      <c r="H95" s="143" t="s">
        <v>571</v>
      </c>
      <c r="I95" s="144"/>
      <c r="J95" s="140"/>
      <c r="K95" s="140"/>
      <c r="L95" s="140"/>
      <c r="M95" s="140"/>
      <c r="N95" s="145"/>
      <c r="O95" s="145"/>
      <c r="P95" s="145"/>
      <c r="Q95" s="145"/>
      <c r="R95" s="145"/>
      <c r="S95" s="140"/>
      <c r="T95" s="145"/>
      <c r="U95" s="145"/>
      <c r="V95" s="145"/>
      <c r="W95" s="145"/>
      <c r="X95" s="145"/>
    </row>
    <row r="96" spans="2:24">
      <c r="B96" s="139" t="s">
        <v>110</v>
      </c>
      <c r="C96" s="139" t="s">
        <v>111</v>
      </c>
      <c r="D96" s="140">
        <f>SUMIF('A-1. 별도FS_19'!$B:$B,CFwp_US_local!B96,'A-1. 별도FS_19'!$E:$E)</f>
        <v>0</v>
      </c>
      <c r="E96" s="140">
        <f>SUMIF('A-1. 별도FS_20'!$B:$B,CFwp_US_local!B96,'A-1. 별도FS_20'!$E:$E)</f>
        <v>0</v>
      </c>
      <c r="F96" s="146">
        <f t="shared" si="11"/>
        <v>0</v>
      </c>
      <c r="G96" s="344">
        <f t="shared" si="9"/>
        <v>0</v>
      </c>
      <c r="H96" s="143"/>
      <c r="I96" s="144"/>
      <c r="J96" s="140"/>
      <c r="K96" s="140"/>
      <c r="L96" s="140"/>
      <c r="M96" s="140"/>
      <c r="N96" s="145"/>
      <c r="O96" s="145"/>
      <c r="P96" s="145"/>
      <c r="Q96" s="145"/>
      <c r="R96" s="145"/>
      <c r="S96" s="140"/>
      <c r="T96" s="145"/>
      <c r="U96" s="145"/>
      <c r="V96" s="145"/>
      <c r="W96" s="145"/>
      <c r="X96" s="145"/>
    </row>
    <row r="97" spans="2:24">
      <c r="B97" s="139" t="s">
        <v>112</v>
      </c>
      <c r="C97" s="139" t="s">
        <v>113</v>
      </c>
      <c r="D97" s="140">
        <f>SUMIF('A-1. 별도FS_19'!$B:$B,CFwp_US_local!B97,'A-1. 별도FS_19'!$E:$E)</f>
        <v>0</v>
      </c>
      <c r="E97" s="140">
        <f>SUMIF('A-1. 별도FS_20'!$B:$B,CFwp_US_local!B97,'A-1. 별도FS_20'!$E:$E)</f>
        <v>0</v>
      </c>
      <c r="F97" s="146">
        <f t="shared" si="11"/>
        <v>0</v>
      </c>
      <c r="G97" s="344">
        <f t="shared" si="9"/>
        <v>0</v>
      </c>
      <c r="H97" s="143" t="s">
        <v>572</v>
      </c>
      <c r="I97" s="144"/>
      <c r="J97" s="140"/>
      <c r="K97" s="140"/>
      <c r="L97" s="140"/>
      <c r="M97" s="140"/>
      <c r="N97" s="145"/>
      <c r="O97" s="145"/>
      <c r="P97" s="145"/>
      <c r="Q97" s="145"/>
      <c r="R97" s="145"/>
      <c r="S97" s="140"/>
      <c r="T97" s="145"/>
      <c r="U97" s="145"/>
      <c r="V97" s="145"/>
      <c r="W97" s="145"/>
      <c r="X97" s="145"/>
    </row>
    <row r="98" spans="2:24">
      <c r="B98" s="139"/>
      <c r="C98" s="139"/>
      <c r="D98" s="140">
        <f>SUMIF('A-1. 별도FS_19'!$B:$B,CFwp_US_local!B98,'A-1. 별도FS_19'!$E:$E)</f>
        <v>0</v>
      </c>
      <c r="E98" s="140">
        <f>SUMIF('A-1. 별도FS_20'!$B:$B,CFwp_US_local!B98,'A-1. 별도FS_20'!$E:$E)</f>
        <v>0</v>
      </c>
      <c r="F98" s="146"/>
      <c r="G98" s="344"/>
      <c r="H98" s="143"/>
      <c r="I98" s="144"/>
      <c r="J98" s="140"/>
      <c r="K98" s="140"/>
      <c r="L98" s="140"/>
      <c r="M98" s="140"/>
      <c r="N98" s="145"/>
      <c r="O98" s="145"/>
      <c r="P98" s="145"/>
      <c r="Q98" s="145"/>
      <c r="R98" s="145"/>
      <c r="S98" s="140"/>
      <c r="T98" s="145"/>
      <c r="U98" s="145"/>
      <c r="V98" s="145"/>
      <c r="W98" s="145"/>
      <c r="X98" s="145"/>
    </row>
    <row r="99" spans="2:24">
      <c r="B99" s="139" t="s">
        <v>114</v>
      </c>
      <c r="C99" s="139" t="s">
        <v>115</v>
      </c>
      <c r="D99" s="140">
        <f>SUMIF('A-1. 별도FS_19'!$B:$B,CFwp_US_local!B99,'A-1. 별도FS_19'!$E:$E)</f>
        <v>0</v>
      </c>
      <c r="E99" s="140">
        <f>SUMIF('A-1. 별도FS_20'!$B:$B,CFwp_US_local!B99,'A-1. 별도FS_20'!$E:$E)</f>
        <v>0</v>
      </c>
      <c r="F99" s="146">
        <f t="shared" si="11"/>
        <v>0</v>
      </c>
      <c r="G99" s="344">
        <f t="shared" si="9"/>
        <v>0</v>
      </c>
      <c r="H99" s="143"/>
      <c r="I99" s="144"/>
      <c r="J99" s="140"/>
      <c r="K99" s="140"/>
      <c r="L99" s="140"/>
      <c r="M99" s="140"/>
      <c r="N99" s="145"/>
      <c r="O99" s="145"/>
      <c r="P99" s="145"/>
      <c r="Q99" s="145"/>
      <c r="R99" s="145"/>
      <c r="S99" s="140"/>
      <c r="T99" s="145"/>
      <c r="U99" s="145"/>
      <c r="V99" s="145"/>
      <c r="W99" s="145"/>
      <c r="X99" s="145"/>
    </row>
    <row r="100" spans="2:24">
      <c r="B100" s="134"/>
      <c r="C100" s="134" t="s">
        <v>185</v>
      </c>
      <c r="D100" s="136">
        <f>D48+D8</f>
        <v>914247</v>
      </c>
      <c r="E100" s="136">
        <f>E48+E8</f>
        <v>1146249.3800000001</v>
      </c>
      <c r="F100" s="152"/>
      <c r="G100" s="346"/>
      <c r="H100" s="136"/>
      <c r="I100" s="153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</row>
    <row r="101" spans="2:24">
      <c r="B101" s="137"/>
      <c r="C101" s="137" t="s">
        <v>586</v>
      </c>
      <c r="D101" s="138">
        <f>SUM(D102:D120)</f>
        <v>5693</v>
      </c>
      <c r="E101" s="138">
        <f>SUM(E102:E120)</f>
        <v>41299.43</v>
      </c>
      <c r="F101" s="154"/>
      <c r="G101" s="347"/>
      <c r="H101" s="138"/>
      <c r="I101" s="149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</row>
    <row r="102" spans="2:24">
      <c r="B102" s="139" t="s">
        <v>188</v>
      </c>
      <c r="C102" s="139" t="s">
        <v>189</v>
      </c>
      <c r="D102" s="140">
        <f>SUMIF('A-1. 별도FS_19'!$B:$B,CFwp_US_local!B102,'A-1. 별도FS_19'!$E:$E)</f>
        <v>0</v>
      </c>
      <c r="E102" s="140">
        <f>SUMIF('A-1. 별도FS_20'!$B:$B,CFwp_US_local!B102,'A-1. 별도FS_20'!$E:$E)</f>
        <v>0</v>
      </c>
      <c r="F102" s="146">
        <f t="shared" ref="F102:F120" si="13">E102-D102</f>
        <v>0</v>
      </c>
      <c r="G102" s="344">
        <f>J102-K102+N102+O102-P102+Q102-R102-T102+V102-F102-W102+X102</f>
        <v>0</v>
      </c>
      <c r="H102" s="143" t="s">
        <v>587</v>
      </c>
      <c r="I102" s="144"/>
      <c r="J102" s="140"/>
      <c r="K102" s="140"/>
      <c r="L102" s="140"/>
      <c r="M102" s="140"/>
      <c r="N102" s="145"/>
      <c r="O102" s="145"/>
      <c r="P102" s="145"/>
      <c r="Q102" s="145"/>
      <c r="R102" s="145"/>
      <c r="S102" s="140"/>
      <c r="T102" s="145"/>
      <c r="U102" s="145"/>
      <c r="V102" s="145"/>
      <c r="W102" s="145"/>
      <c r="X102" s="145"/>
    </row>
    <row r="103" spans="2:24">
      <c r="B103" s="139" t="s">
        <v>192</v>
      </c>
      <c r="C103" s="139" t="s">
        <v>193</v>
      </c>
      <c r="D103" s="140">
        <f>SUMIF('A-1. 별도FS_19'!$B:$B,CFwp_US_local!B103,'A-1. 별도FS_19'!$E:$E)</f>
        <v>0</v>
      </c>
      <c r="E103" s="140">
        <f>SUMIF('A-1. 별도FS_20'!$B:$B,CFwp_US_local!B103,'A-1. 별도FS_20'!$E:$E)</f>
        <v>0</v>
      </c>
      <c r="F103" s="146">
        <f t="shared" si="13"/>
        <v>0</v>
      </c>
      <c r="G103" s="344">
        <f t="shared" ref="G103:G120" si="14">J103-K103+N103+O103-P103+Q103-R103-T103+V103-F103-W103+X103</f>
        <v>0</v>
      </c>
      <c r="H103" s="143" t="s">
        <v>588</v>
      </c>
      <c r="I103" s="144"/>
      <c r="J103" s="140"/>
      <c r="K103" s="140"/>
      <c r="L103" s="140"/>
      <c r="M103" s="140"/>
      <c r="N103" s="145"/>
      <c r="O103" s="145"/>
      <c r="P103" s="145"/>
      <c r="Q103" s="145"/>
      <c r="R103" s="145"/>
      <c r="S103" s="140"/>
      <c r="T103" s="145"/>
      <c r="U103" s="145"/>
      <c r="V103" s="145"/>
      <c r="W103" s="145"/>
      <c r="X103" s="145"/>
    </row>
    <row r="104" spans="2:24">
      <c r="B104" s="139" t="s">
        <v>194</v>
      </c>
      <c r="C104" s="139" t="s">
        <v>195</v>
      </c>
      <c r="D104" s="140">
        <f>SUMIF('A-1. 별도FS_19'!$B:$B,CFwp_US_local!B104,'A-1. 별도FS_19'!$E:$E)</f>
        <v>5693</v>
      </c>
      <c r="E104" s="140">
        <f>SUMIF('A-1. 별도FS_20'!$B:$B,CFwp_US_local!B104,'A-1. 별도FS_20'!$E:$E)</f>
        <v>41299.43</v>
      </c>
      <c r="F104" s="146">
        <f t="shared" si="13"/>
        <v>35606.43</v>
      </c>
      <c r="G104" s="344">
        <f t="shared" si="14"/>
        <v>0</v>
      </c>
      <c r="H104" s="143"/>
      <c r="I104" s="144"/>
      <c r="J104" s="140"/>
      <c r="K104" s="140"/>
      <c r="L104" s="140">
        <v>35606.43</v>
      </c>
      <c r="M104" s="140"/>
      <c r="N104" s="145">
        <f>L104</f>
        <v>35606.43</v>
      </c>
      <c r="O104" s="145"/>
      <c r="P104" s="145"/>
      <c r="Q104" s="145"/>
      <c r="R104" s="145"/>
      <c r="S104" s="140"/>
      <c r="T104" s="145"/>
      <c r="U104" s="145"/>
      <c r="V104" s="145"/>
      <c r="W104" s="145"/>
      <c r="X104" s="145"/>
    </row>
    <row r="105" spans="2:24">
      <c r="B105" s="139" t="s">
        <v>198</v>
      </c>
      <c r="C105" s="139" t="s">
        <v>199</v>
      </c>
      <c r="D105" s="140">
        <f>SUMIF('A-1. 별도FS_19'!$B:$B,CFwp_US_local!B105,'A-1. 별도FS_19'!$E:$E)</f>
        <v>0</v>
      </c>
      <c r="E105" s="140">
        <f>SUMIF('A-1. 별도FS_20'!$B:$B,CFwp_US_local!B105,'A-1. 별도FS_20'!$E:$E)</f>
        <v>0</v>
      </c>
      <c r="F105" s="146">
        <f t="shared" si="13"/>
        <v>0</v>
      </c>
      <c r="G105" s="344">
        <f t="shared" si="14"/>
        <v>0</v>
      </c>
      <c r="H105" s="143"/>
      <c r="I105" s="144"/>
      <c r="J105" s="140"/>
      <c r="K105" s="140"/>
      <c r="L105" s="140"/>
      <c r="M105" s="140"/>
      <c r="N105" s="145"/>
      <c r="O105" s="145"/>
      <c r="P105" s="145"/>
      <c r="Q105" s="145"/>
      <c r="R105" s="145"/>
      <c r="S105" s="140"/>
      <c r="T105" s="145"/>
      <c r="U105" s="145"/>
      <c r="V105" s="145"/>
      <c r="W105" s="145"/>
      <c r="X105" s="145"/>
    </row>
    <row r="106" spans="2:24">
      <c r="B106" s="139" t="s">
        <v>200</v>
      </c>
      <c r="C106" s="139" t="s">
        <v>201</v>
      </c>
      <c r="D106" s="140">
        <f>SUMIF('A-1. 별도FS_19'!$B:$B,CFwp_US_local!B106,'A-1. 별도FS_19'!$E:$E)</f>
        <v>0</v>
      </c>
      <c r="E106" s="140">
        <f>SUMIF('A-1. 별도FS_20'!$B:$B,CFwp_US_local!B106,'A-1. 별도FS_20'!$E:$E)</f>
        <v>0</v>
      </c>
      <c r="F106" s="146">
        <f t="shared" si="13"/>
        <v>0</v>
      </c>
      <c r="G106" s="344">
        <f t="shared" si="14"/>
        <v>0</v>
      </c>
      <c r="H106" s="143"/>
      <c r="I106" s="144"/>
      <c r="J106" s="140"/>
      <c r="K106" s="140"/>
      <c r="L106" s="140"/>
      <c r="M106" s="140"/>
      <c r="N106" s="145"/>
      <c r="O106" s="145"/>
      <c r="P106" s="145"/>
      <c r="Q106" s="145"/>
      <c r="R106" s="145"/>
      <c r="S106" s="140"/>
      <c r="T106" s="145"/>
      <c r="U106" s="145"/>
      <c r="V106" s="145"/>
      <c r="W106" s="145"/>
      <c r="X106" s="145"/>
    </row>
    <row r="107" spans="2:24">
      <c r="B107" s="139"/>
      <c r="C107" s="139"/>
      <c r="D107" s="140"/>
      <c r="E107" s="140"/>
      <c r="F107" s="146">
        <f t="shared" si="13"/>
        <v>0</v>
      </c>
      <c r="G107" s="344">
        <f t="shared" si="14"/>
        <v>0</v>
      </c>
      <c r="H107" s="143"/>
      <c r="I107" s="144"/>
      <c r="J107" s="140"/>
      <c r="K107" s="140"/>
      <c r="L107" s="140"/>
      <c r="M107" s="140"/>
      <c r="N107" s="145"/>
      <c r="O107" s="145"/>
      <c r="P107" s="145"/>
      <c r="Q107" s="145"/>
      <c r="R107" s="145"/>
      <c r="S107" s="140"/>
      <c r="T107" s="145"/>
      <c r="U107" s="145"/>
      <c r="V107" s="145"/>
      <c r="W107" s="145"/>
      <c r="X107" s="145"/>
    </row>
    <row r="108" spans="2:24">
      <c r="B108" s="139"/>
      <c r="C108" s="139"/>
      <c r="D108" s="140"/>
      <c r="E108" s="140"/>
      <c r="F108" s="146"/>
      <c r="G108" s="344"/>
      <c r="H108" s="143"/>
      <c r="I108" s="144"/>
      <c r="J108" s="140"/>
      <c r="K108" s="140"/>
      <c r="L108" s="140"/>
      <c r="M108" s="140"/>
      <c r="N108" s="145"/>
      <c r="O108" s="145"/>
      <c r="P108" s="145"/>
      <c r="Q108" s="145"/>
      <c r="R108" s="145"/>
      <c r="S108" s="140"/>
      <c r="T108" s="145"/>
      <c r="U108" s="145"/>
      <c r="V108" s="145"/>
      <c r="W108" s="145"/>
      <c r="X108" s="145"/>
    </row>
    <row r="109" spans="2:24">
      <c r="B109" s="139"/>
      <c r="C109" s="139"/>
      <c r="D109" s="140"/>
      <c r="E109" s="140"/>
      <c r="F109" s="146"/>
      <c r="G109" s="344"/>
      <c r="H109" s="143"/>
      <c r="I109" s="144"/>
      <c r="J109" s="140"/>
      <c r="K109" s="140"/>
      <c r="L109" s="140"/>
      <c r="M109" s="140"/>
      <c r="N109" s="145"/>
      <c r="O109" s="145"/>
      <c r="P109" s="145"/>
      <c r="Q109" s="145"/>
      <c r="R109" s="145"/>
      <c r="S109" s="140"/>
      <c r="T109" s="145"/>
      <c r="U109" s="145"/>
      <c r="V109" s="145"/>
      <c r="W109" s="145"/>
      <c r="X109" s="145"/>
    </row>
    <row r="110" spans="2:24">
      <c r="B110" s="139" t="s">
        <v>204</v>
      </c>
      <c r="C110" s="139" t="s">
        <v>205</v>
      </c>
      <c r="D110" s="140">
        <f>SUMIF('A-1. 별도FS_19'!$B:$B,CFwp_US_local!B110,'A-1. 별도FS_19'!$E:$E)</f>
        <v>0</v>
      </c>
      <c r="E110" s="140">
        <f>SUMIF('A-1. 별도FS_20'!$B:$B,CFwp_US_local!B110,'A-1. 별도FS_20'!$E:$E)</f>
        <v>0</v>
      </c>
      <c r="F110" s="146">
        <f t="shared" si="13"/>
        <v>0</v>
      </c>
      <c r="G110" s="344">
        <f t="shared" si="14"/>
        <v>0</v>
      </c>
      <c r="H110" s="143"/>
      <c r="I110" s="144"/>
      <c r="J110" s="140"/>
      <c r="K110" s="140"/>
      <c r="L110" s="140"/>
      <c r="M110" s="140"/>
      <c r="N110" s="145"/>
      <c r="O110" s="145"/>
      <c r="P110" s="145"/>
      <c r="Q110" s="145"/>
      <c r="R110" s="145"/>
      <c r="S110" s="140"/>
      <c r="T110" s="145"/>
      <c r="U110" s="145"/>
      <c r="V110" s="145"/>
      <c r="W110" s="145"/>
      <c r="X110" s="145"/>
    </row>
    <row r="111" spans="2:24">
      <c r="B111" s="139"/>
      <c r="C111" s="139"/>
      <c r="D111" s="140"/>
      <c r="E111" s="140"/>
      <c r="F111" s="146"/>
      <c r="G111" s="344"/>
      <c r="H111" s="143"/>
      <c r="I111" s="144"/>
      <c r="J111" s="140"/>
      <c r="K111" s="140"/>
      <c r="L111" s="140"/>
      <c r="M111" s="140"/>
      <c r="N111" s="145"/>
      <c r="O111" s="145"/>
      <c r="P111" s="145"/>
      <c r="Q111" s="145"/>
      <c r="R111" s="145"/>
      <c r="S111" s="140"/>
      <c r="T111" s="145"/>
      <c r="U111" s="145"/>
      <c r="V111" s="145"/>
      <c r="W111" s="145"/>
      <c r="X111" s="145"/>
    </row>
    <row r="112" spans="2:24">
      <c r="B112" s="139" t="s">
        <v>206</v>
      </c>
      <c r="C112" s="139" t="s">
        <v>589</v>
      </c>
      <c r="D112" s="140">
        <f>SUMIF('A-1. 별도FS_19'!$B:$B,CFwp_US_local!B112,'A-1. 별도FS_19'!$E:$E)</f>
        <v>0</v>
      </c>
      <c r="E112" s="140">
        <f>SUMIF('A-1. 별도FS_20'!$B:$B,CFwp_US_local!B112,'A-1. 별도FS_20'!$E:$E)</f>
        <v>0</v>
      </c>
      <c r="F112" s="146">
        <f t="shared" si="13"/>
        <v>0</v>
      </c>
      <c r="G112" s="344">
        <f t="shared" si="14"/>
        <v>0</v>
      </c>
      <c r="H112" s="143"/>
      <c r="I112" s="144"/>
      <c r="J112" s="140"/>
      <c r="K112" s="140"/>
      <c r="L112" s="140"/>
      <c r="M112" s="140"/>
      <c r="N112" s="145"/>
      <c r="O112" s="145"/>
      <c r="P112" s="145"/>
      <c r="Q112" s="145"/>
      <c r="R112" s="145"/>
      <c r="S112" s="140"/>
      <c r="T112" s="145"/>
      <c r="U112" s="145"/>
      <c r="V112" s="145"/>
      <c r="W112" s="145"/>
      <c r="X112" s="145"/>
    </row>
    <row r="113" spans="2:24">
      <c r="B113" s="139" t="s">
        <v>209</v>
      </c>
      <c r="C113" s="139" t="s">
        <v>210</v>
      </c>
      <c r="D113" s="140">
        <f>SUMIF('A-1. 별도FS_19'!$B:$B,CFwp_US_local!B113,'A-1. 별도FS_19'!$E:$E)</f>
        <v>0</v>
      </c>
      <c r="E113" s="140">
        <f>SUMIF('A-1. 별도FS_20'!$B:$B,CFwp_US_local!B113,'A-1. 별도FS_20'!$E:$E)</f>
        <v>0</v>
      </c>
      <c r="F113" s="146">
        <f t="shared" si="13"/>
        <v>0</v>
      </c>
      <c r="G113" s="344">
        <f t="shared" si="14"/>
        <v>0</v>
      </c>
      <c r="H113" s="143"/>
      <c r="I113" s="144"/>
      <c r="J113" s="140"/>
      <c r="K113" s="140"/>
      <c r="L113" s="140"/>
      <c r="M113" s="140"/>
      <c r="N113" s="145"/>
      <c r="O113" s="145"/>
      <c r="P113" s="145"/>
      <c r="Q113" s="145"/>
      <c r="R113" s="145"/>
      <c r="S113" s="140"/>
      <c r="T113" s="145"/>
      <c r="U113" s="145"/>
      <c r="V113" s="145"/>
      <c r="W113" s="145"/>
      <c r="X113" s="145"/>
    </row>
    <row r="114" spans="2:24">
      <c r="B114" s="139" t="s">
        <v>213</v>
      </c>
      <c r="C114" s="139" t="s">
        <v>214</v>
      </c>
      <c r="D114" s="140">
        <f>SUMIF('A-1. 별도FS_19'!$B:$B,CFwp_US_local!B114,'A-1. 별도FS_19'!$E:$E)</f>
        <v>0</v>
      </c>
      <c r="E114" s="140">
        <f>SUMIF('A-1. 별도FS_20'!$B:$B,CFwp_US_local!B114,'A-1. 별도FS_20'!$E:$E)</f>
        <v>0</v>
      </c>
      <c r="F114" s="146">
        <f t="shared" si="13"/>
        <v>0</v>
      </c>
      <c r="G114" s="344">
        <f t="shared" si="14"/>
        <v>0</v>
      </c>
      <c r="H114" s="143" t="s">
        <v>573</v>
      </c>
      <c r="I114" s="144"/>
      <c r="J114" s="140"/>
      <c r="K114" s="140"/>
      <c r="L114" s="140"/>
      <c r="M114" s="140"/>
      <c r="N114" s="145"/>
      <c r="O114" s="145"/>
      <c r="P114" s="145"/>
      <c r="Q114" s="145"/>
      <c r="R114" s="145"/>
      <c r="S114" s="140"/>
      <c r="T114" s="145"/>
      <c r="U114" s="145"/>
      <c r="V114" s="145"/>
      <c r="W114" s="145"/>
      <c r="X114" s="145"/>
    </row>
    <row r="115" spans="2:24">
      <c r="B115" s="139" t="s">
        <v>217</v>
      </c>
      <c r="C115" s="139" t="s">
        <v>218</v>
      </c>
      <c r="D115" s="140">
        <f>SUMIF('A-1. 별도FS_19'!$B:$B,CFwp_US_local!B115,'A-1. 별도FS_19'!$E:$E)</f>
        <v>0</v>
      </c>
      <c r="E115" s="140">
        <f>SUMIF('A-1. 별도FS_20'!$B:$B,CFwp_US_local!B115,'A-1. 별도FS_20'!$E:$E)</f>
        <v>0</v>
      </c>
      <c r="F115" s="146">
        <f t="shared" si="13"/>
        <v>0</v>
      </c>
      <c r="G115" s="344">
        <f t="shared" si="14"/>
        <v>0</v>
      </c>
      <c r="H115" s="143" t="s">
        <v>590</v>
      </c>
      <c r="I115" s="144"/>
      <c r="J115" s="140"/>
      <c r="K115" s="140"/>
      <c r="L115" s="140"/>
      <c r="M115" s="140"/>
      <c r="N115" s="145"/>
      <c r="O115" s="145"/>
      <c r="P115" s="145"/>
      <c r="Q115" s="145"/>
      <c r="R115" s="145"/>
      <c r="S115" s="140"/>
      <c r="T115" s="145"/>
      <c r="U115" s="145"/>
      <c r="V115" s="145"/>
      <c r="W115" s="145"/>
      <c r="X115" s="145"/>
    </row>
    <row r="116" spans="2:24">
      <c r="B116" s="139" t="s">
        <v>219</v>
      </c>
      <c r="C116" s="139" t="s">
        <v>220</v>
      </c>
      <c r="D116" s="140">
        <f>SUMIF('A-1. 별도FS_19'!$B:$B,CFwp_US_local!B116,'A-1. 별도FS_19'!$E:$E)</f>
        <v>0</v>
      </c>
      <c r="E116" s="140">
        <f>SUMIF('A-1. 별도FS_20'!$B:$B,CFwp_US_local!B116,'A-1. 별도FS_20'!$E:$E)</f>
        <v>0</v>
      </c>
      <c r="F116" s="146">
        <f t="shared" si="13"/>
        <v>0</v>
      </c>
      <c r="G116" s="344">
        <f t="shared" si="14"/>
        <v>0</v>
      </c>
      <c r="H116" s="143"/>
      <c r="I116" s="144"/>
      <c r="J116" s="140"/>
      <c r="K116" s="140"/>
      <c r="L116" s="140"/>
      <c r="M116" s="140"/>
      <c r="N116" s="145"/>
      <c r="O116" s="145"/>
      <c r="P116" s="145"/>
      <c r="Q116" s="145"/>
      <c r="R116" s="145"/>
      <c r="S116" s="140"/>
      <c r="T116" s="145"/>
      <c r="U116" s="145"/>
      <c r="V116" s="145"/>
      <c r="W116" s="145"/>
      <c r="X116" s="145"/>
    </row>
    <row r="117" spans="2:24">
      <c r="B117" s="139" t="s">
        <v>221</v>
      </c>
      <c r="C117" s="139" t="s">
        <v>222</v>
      </c>
      <c r="D117" s="140">
        <f>SUMIF('A-1. 별도FS_19'!$B:$B,CFwp_US_local!B117,'A-1. 별도FS_19'!$E:$E)</f>
        <v>0</v>
      </c>
      <c r="E117" s="140">
        <f>SUMIF('A-1. 별도FS_20'!$B:$B,CFwp_US_local!B117,'A-1. 별도FS_20'!$E:$E)</f>
        <v>0</v>
      </c>
      <c r="F117" s="146">
        <f t="shared" si="13"/>
        <v>0</v>
      </c>
      <c r="G117" s="344">
        <f t="shared" si="14"/>
        <v>0</v>
      </c>
      <c r="H117" s="143" t="s">
        <v>591</v>
      </c>
      <c r="I117" s="144"/>
      <c r="J117" s="140"/>
      <c r="K117" s="140"/>
      <c r="L117" s="140"/>
      <c r="M117" s="140"/>
      <c r="N117" s="145"/>
      <c r="O117" s="145"/>
      <c r="P117" s="145"/>
      <c r="Q117" s="145"/>
      <c r="R117" s="145"/>
      <c r="S117" s="140"/>
      <c r="T117" s="145"/>
      <c r="U117" s="145"/>
      <c r="V117" s="145"/>
      <c r="W117" s="145"/>
      <c r="X117" s="145"/>
    </row>
    <row r="118" spans="2:24">
      <c r="B118" s="139" t="s">
        <v>223</v>
      </c>
      <c r="C118" s="139" t="s">
        <v>224</v>
      </c>
      <c r="D118" s="140">
        <f>SUMIF('A-1. 별도FS_19'!$B:$B,CFwp_US_local!B118,'A-1. 별도FS_19'!$E:$E)</f>
        <v>0</v>
      </c>
      <c r="E118" s="140">
        <f>SUMIF('A-1. 별도FS_20'!$B:$B,CFwp_US_local!B118,'A-1. 별도FS_20'!$E:$E)</f>
        <v>0</v>
      </c>
      <c r="F118" s="146">
        <f t="shared" si="13"/>
        <v>0</v>
      </c>
      <c r="G118" s="344">
        <f t="shared" si="14"/>
        <v>0</v>
      </c>
      <c r="H118" s="143"/>
      <c r="I118" s="144"/>
      <c r="J118" s="140"/>
      <c r="K118" s="140"/>
      <c r="L118" s="140"/>
      <c r="M118" s="140"/>
      <c r="N118" s="145"/>
      <c r="O118" s="145"/>
      <c r="P118" s="145"/>
      <c r="Q118" s="145"/>
      <c r="R118" s="145"/>
      <c r="S118" s="140"/>
      <c r="T118" s="145"/>
      <c r="U118" s="145"/>
      <c r="V118" s="145"/>
      <c r="W118" s="145"/>
      <c r="X118" s="145"/>
    </row>
    <row r="119" spans="2:24">
      <c r="B119" s="139" t="s">
        <v>226</v>
      </c>
      <c r="C119" s="139" t="s">
        <v>227</v>
      </c>
      <c r="D119" s="140">
        <f>SUMIF('A-1. 별도FS_19'!$B:$B,CFwp_US_local!B119,'A-1. 별도FS_19'!$E:$E)</f>
        <v>0</v>
      </c>
      <c r="E119" s="140">
        <f>SUMIF('A-1. 별도FS_20'!$B:$B,CFwp_US_local!B119,'A-1. 별도FS_20'!$E:$E)</f>
        <v>0</v>
      </c>
      <c r="F119" s="146">
        <f t="shared" si="13"/>
        <v>0</v>
      </c>
      <c r="G119" s="344">
        <f t="shared" si="14"/>
        <v>0</v>
      </c>
      <c r="H119" s="143"/>
      <c r="I119" s="144"/>
      <c r="J119" s="140"/>
      <c r="K119" s="140"/>
      <c r="L119" s="140"/>
      <c r="M119" s="140"/>
      <c r="N119" s="145"/>
      <c r="O119" s="145"/>
      <c r="P119" s="145"/>
      <c r="Q119" s="145"/>
      <c r="R119" s="145"/>
      <c r="S119" s="140"/>
      <c r="T119" s="145"/>
      <c r="U119" s="145"/>
      <c r="V119" s="145"/>
      <c r="W119" s="145"/>
      <c r="X119" s="145"/>
    </row>
    <row r="120" spans="2:24">
      <c r="B120" s="50" t="s">
        <v>508</v>
      </c>
      <c r="C120" s="2" t="s">
        <v>509</v>
      </c>
      <c r="D120" s="140">
        <f>SUMIF('A-1. 별도FS_19'!$B:$B,CFwp_US_local!B120,'A-1. 별도FS_19'!$E:$E)</f>
        <v>0</v>
      </c>
      <c r="E120" s="140">
        <f>SUMIF('A-1. 별도FS_20'!$B:$B,CFwp_US_local!B120,'A-1. 별도FS_20'!$E:$E)</f>
        <v>0</v>
      </c>
      <c r="F120" s="146">
        <f t="shared" si="13"/>
        <v>0</v>
      </c>
      <c r="G120" s="344">
        <f t="shared" si="14"/>
        <v>0</v>
      </c>
      <c r="H120" s="143"/>
      <c r="I120" s="144"/>
      <c r="J120" s="140"/>
      <c r="K120" s="140"/>
      <c r="L120" s="140"/>
      <c r="M120" s="140"/>
      <c r="N120" s="145"/>
      <c r="O120" s="145"/>
      <c r="P120" s="145"/>
      <c r="Q120" s="145"/>
      <c r="R120" s="145"/>
      <c r="S120" s="140"/>
      <c r="T120" s="145"/>
      <c r="U120" s="145"/>
      <c r="V120" s="145"/>
      <c r="W120" s="145"/>
      <c r="X120" s="145"/>
    </row>
    <row r="121" spans="2:24">
      <c r="B121" s="137"/>
      <c r="C121" s="137" t="s">
        <v>592</v>
      </c>
      <c r="D121" s="138">
        <f>SUM(D122:D129)</f>
        <v>0</v>
      </c>
      <c r="E121" s="138">
        <f>SUM(E122:E129)</f>
        <v>0</v>
      </c>
      <c r="F121" s="154"/>
      <c r="G121" s="347"/>
      <c r="H121" s="138"/>
      <c r="I121" s="149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</row>
    <row r="122" spans="2:24">
      <c r="B122" s="139" t="s">
        <v>229</v>
      </c>
      <c r="C122" s="139" t="s">
        <v>230</v>
      </c>
      <c r="D122" s="140">
        <f>SUMIF('A-1. 별도FS_19'!$B:$B,CFwp_US_local!B122,'A-1. 별도FS_19'!$E:$E)</f>
        <v>0</v>
      </c>
      <c r="E122" s="140">
        <f>SUMIF('A-1. 별도FS_20'!$B:$B,CFwp_US_local!B122,'A-1. 별도FS_20'!$E:$E)</f>
        <v>0</v>
      </c>
      <c r="F122" s="146">
        <f t="shared" ref="F122:F129" si="15">E122-D122</f>
        <v>0</v>
      </c>
      <c r="G122" s="344">
        <f t="shared" ref="G122:G129" si="16">J122-K122+N122+O122-P122+Q122-R122-T122+V122-F122-W122+X122</f>
        <v>0</v>
      </c>
      <c r="H122" s="143"/>
      <c r="I122" s="144"/>
      <c r="J122" s="140"/>
      <c r="K122" s="140"/>
      <c r="L122" s="140"/>
      <c r="M122" s="140"/>
      <c r="N122" s="145"/>
      <c r="O122" s="145"/>
      <c r="P122" s="145"/>
      <c r="Q122" s="145"/>
      <c r="R122" s="145"/>
      <c r="S122" s="140"/>
      <c r="T122" s="145"/>
      <c r="U122" s="145"/>
      <c r="V122" s="145"/>
      <c r="W122" s="145"/>
      <c r="X122" s="145"/>
    </row>
    <row r="123" spans="2:24">
      <c r="B123" s="139" t="s">
        <v>233</v>
      </c>
      <c r="C123" s="139" t="s">
        <v>234</v>
      </c>
      <c r="D123" s="140">
        <f>SUMIF('A-1. 별도FS_19'!$B:$B,CFwp_US_local!B123,'A-1. 별도FS_19'!$E:$E)</f>
        <v>0</v>
      </c>
      <c r="E123" s="140">
        <f>SUMIF('A-1. 별도FS_20'!$B:$B,CFwp_US_local!B123,'A-1. 별도FS_20'!$E:$E)</f>
        <v>0</v>
      </c>
      <c r="F123" s="146">
        <f t="shared" si="15"/>
        <v>0</v>
      </c>
      <c r="G123" s="344">
        <f t="shared" si="16"/>
        <v>0</v>
      </c>
      <c r="H123" s="143"/>
      <c r="I123" s="144"/>
      <c r="J123" s="140"/>
      <c r="K123" s="140"/>
      <c r="L123" s="140"/>
      <c r="M123" s="140"/>
      <c r="N123" s="145"/>
      <c r="O123" s="145"/>
      <c r="P123" s="145"/>
      <c r="Q123" s="145"/>
      <c r="R123" s="145"/>
      <c r="S123" s="140"/>
      <c r="T123" s="145"/>
      <c r="U123" s="145"/>
      <c r="V123" s="145"/>
      <c r="W123" s="145"/>
      <c r="X123" s="145"/>
    </row>
    <row r="124" spans="2:24">
      <c r="B124" s="139" t="s">
        <v>237</v>
      </c>
      <c r="C124" s="139" t="s">
        <v>238</v>
      </c>
      <c r="D124" s="140">
        <f>SUMIF('A-1. 별도FS_19'!$B:$B,CFwp_US_local!B124,'A-1. 별도FS_19'!$E:$E)</f>
        <v>0</v>
      </c>
      <c r="E124" s="140">
        <f>SUMIF('A-1. 별도FS_20'!$B:$B,CFwp_US_local!B124,'A-1. 별도FS_20'!$E:$E)</f>
        <v>0</v>
      </c>
      <c r="F124" s="146">
        <f t="shared" si="15"/>
        <v>0</v>
      </c>
      <c r="G124" s="344">
        <f t="shared" si="16"/>
        <v>0</v>
      </c>
      <c r="H124" s="143"/>
      <c r="I124" s="144"/>
      <c r="J124" s="140"/>
      <c r="K124" s="140"/>
      <c r="L124" s="140"/>
      <c r="M124" s="140"/>
      <c r="N124" s="145"/>
      <c r="O124" s="145"/>
      <c r="P124" s="145"/>
      <c r="Q124" s="145"/>
      <c r="R124" s="145"/>
      <c r="S124" s="140"/>
      <c r="T124" s="145"/>
      <c r="U124" s="145"/>
      <c r="V124" s="145"/>
      <c r="W124" s="145"/>
      <c r="X124" s="145"/>
    </row>
    <row r="125" spans="2:24">
      <c r="B125" s="37" t="s">
        <v>510</v>
      </c>
      <c r="C125" s="2" t="s">
        <v>511</v>
      </c>
      <c r="D125" s="140">
        <f>SUMIF('A-1. 별도FS_19'!$B:$B,CFwp_US_local!B125,'A-1. 별도FS_19'!$E:$E)</f>
        <v>0</v>
      </c>
      <c r="E125" s="140">
        <f>SUMIF('A-1. 별도FS_20'!$B:$B,CFwp_US_local!B125,'A-1. 별도FS_20'!$E:$E)</f>
        <v>0</v>
      </c>
      <c r="F125" s="146">
        <f t="shared" si="15"/>
        <v>0</v>
      </c>
      <c r="G125" s="344">
        <f t="shared" si="16"/>
        <v>0</v>
      </c>
      <c r="H125" s="143"/>
      <c r="I125" s="144"/>
      <c r="J125" s="140"/>
      <c r="K125" s="140"/>
      <c r="L125" s="140"/>
      <c r="M125" s="140"/>
      <c r="N125" s="145"/>
      <c r="O125" s="145"/>
      <c r="P125" s="145"/>
      <c r="Q125" s="145"/>
      <c r="R125" s="145"/>
      <c r="S125" s="140"/>
      <c r="T125" s="145"/>
      <c r="U125" s="145"/>
      <c r="V125" s="145"/>
      <c r="W125" s="145"/>
      <c r="X125" s="145"/>
    </row>
    <row r="126" spans="2:24">
      <c r="B126" s="139" t="s">
        <v>241</v>
      </c>
      <c r="C126" s="139" t="s">
        <v>593</v>
      </c>
      <c r="D126" s="140">
        <f>SUMIF('A-1. 별도FS_19'!$B:$B,CFwp_US_local!B126,'A-1. 별도FS_19'!$E:$E)</f>
        <v>0</v>
      </c>
      <c r="E126" s="140">
        <f>SUMIF('A-1. 별도FS_20'!$B:$B,CFwp_US_local!B126,'A-1. 별도FS_20'!$E:$E)</f>
        <v>0</v>
      </c>
      <c r="F126" s="146">
        <f t="shared" si="15"/>
        <v>0</v>
      </c>
      <c r="G126" s="344">
        <f t="shared" si="16"/>
        <v>0</v>
      </c>
      <c r="H126" s="143"/>
      <c r="I126" s="144"/>
      <c r="J126" s="140"/>
      <c r="K126" s="140"/>
      <c r="L126" s="140"/>
      <c r="M126" s="140"/>
      <c r="N126" s="145"/>
      <c r="O126" s="145"/>
      <c r="P126" s="145"/>
      <c r="Q126" s="145"/>
      <c r="R126" s="145"/>
      <c r="S126" s="140"/>
      <c r="T126" s="145"/>
      <c r="U126" s="145"/>
      <c r="V126" s="145"/>
      <c r="W126" s="145"/>
      <c r="X126" s="145"/>
    </row>
    <row r="127" spans="2:24">
      <c r="B127" s="139" t="s">
        <v>243</v>
      </c>
      <c r="C127" s="139" t="s">
        <v>244</v>
      </c>
      <c r="D127" s="140">
        <f>SUMIF('A-1. 별도FS_19'!$B:$B,CFwp_US_local!B127,'A-1. 별도FS_19'!$E:$E)</f>
        <v>0</v>
      </c>
      <c r="E127" s="140">
        <f>SUMIF('A-1. 별도FS_20'!$B:$B,CFwp_US_local!B127,'A-1. 별도FS_20'!$E:$E)</f>
        <v>0</v>
      </c>
      <c r="F127" s="146">
        <f t="shared" si="15"/>
        <v>0</v>
      </c>
      <c r="G127" s="344">
        <f t="shared" si="16"/>
        <v>0</v>
      </c>
      <c r="H127" s="143"/>
      <c r="I127" s="144"/>
      <c r="J127" s="140"/>
      <c r="K127" s="140"/>
      <c r="L127" s="140"/>
      <c r="M127" s="140"/>
      <c r="N127" s="145"/>
      <c r="O127" s="145"/>
      <c r="P127" s="145"/>
      <c r="Q127" s="145"/>
      <c r="R127" s="145"/>
      <c r="S127" s="140"/>
      <c r="T127" s="145"/>
      <c r="U127" s="145"/>
      <c r="V127" s="145"/>
      <c r="W127" s="145"/>
      <c r="X127" s="145"/>
    </row>
    <row r="128" spans="2:24">
      <c r="B128" s="139" t="s">
        <v>247</v>
      </c>
      <c r="C128" s="139" t="s">
        <v>248</v>
      </c>
      <c r="D128" s="140">
        <f>SUMIF('A-1. 별도FS_19'!$B:$B,CFwp_US_local!B128,'A-1. 별도FS_19'!$E:$E)</f>
        <v>0</v>
      </c>
      <c r="E128" s="140">
        <f>SUMIF('A-1. 별도FS_20'!$B:$B,CFwp_US_local!B128,'A-1. 별도FS_20'!$E:$E)</f>
        <v>0</v>
      </c>
      <c r="F128" s="146">
        <f t="shared" si="15"/>
        <v>0</v>
      </c>
      <c r="G128" s="344">
        <f t="shared" si="16"/>
        <v>0</v>
      </c>
      <c r="H128" s="143"/>
      <c r="I128" s="144"/>
      <c r="J128" s="140"/>
      <c r="K128" s="140"/>
      <c r="L128" s="140"/>
      <c r="M128" s="140"/>
      <c r="N128" s="145"/>
      <c r="O128" s="145"/>
      <c r="P128" s="145"/>
      <c r="Q128" s="145"/>
      <c r="R128" s="145"/>
      <c r="S128" s="140"/>
      <c r="T128" s="145"/>
      <c r="U128" s="145"/>
      <c r="V128" s="145"/>
      <c r="W128" s="145"/>
      <c r="X128" s="145"/>
    </row>
    <row r="129" spans="2:24">
      <c r="B129" s="139" t="s">
        <v>250</v>
      </c>
      <c r="C129" s="139" t="s">
        <v>251</v>
      </c>
      <c r="D129" s="140">
        <f>SUMIF('A-1. 별도FS_19'!$B:$B,CFwp_US_local!B129,'A-1. 별도FS_19'!$E:$E)</f>
        <v>0</v>
      </c>
      <c r="E129" s="140">
        <f>SUMIF('A-1. 별도FS_20'!$B:$B,CFwp_US_local!B129,'A-1. 별도FS_20'!$E:$E)</f>
        <v>0</v>
      </c>
      <c r="F129" s="146">
        <f t="shared" si="15"/>
        <v>0</v>
      </c>
      <c r="G129" s="344">
        <f t="shared" si="16"/>
        <v>0</v>
      </c>
      <c r="H129" s="143"/>
      <c r="I129" s="144"/>
      <c r="J129" s="140"/>
      <c r="K129" s="140"/>
      <c r="L129" s="140"/>
      <c r="M129" s="140"/>
      <c r="N129" s="145"/>
      <c r="O129" s="145"/>
      <c r="P129" s="145"/>
      <c r="Q129" s="145"/>
      <c r="R129" s="145"/>
      <c r="S129" s="140"/>
      <c r="T129" s="145"/>
      <c r="U129" s="145"/>
      <c r="V129" s="145"/>
      <c r="W129" s="145"/>
      <c r="X129" s="145"/>
    </row>
    <row r="130" spans="2:24">
      <c r="B130" s="139"/>
      <c r="C130" s="139"/>
      <c r="D130" s="140"/>
      <c r="E130" s="140"/>
      <c r="F130" s="146"/>
      <c r="G130" s="344"/>
      <c r="H130" s="143"/>
      <c r="I130" s="144"/>
      <c r="J130" s="140"/>
      <c r="K130" s="140"/>
      <c r="L130" s="140"/>
      <c r="M130" s="140"/>
      <c r="N130" s="145"/>
      <c r="O130" s="145"/>
      <c r="P130" s="145"/>
      <c r="Q130" s="145"/>
      <c r="R130" s="145"/>
      <c r="S130" s="140"/>
      <c r="T130" s="145"/>
      <c r="U130" s="145"/>
      <c r="V130" s="145"/>
      <c r="W130" s="145"/>
      <c r="X130" s="145"/>
    </row>
    <row r="131" spans="2:24">
      <c r="B131" s="134"/>
      <c r="C131" s="134" t="s">
        <v>252</v>
      </c>
      <c r="D131" s="136">
        <f>D121+D101</f>
        <v>5693</v>
      </c>
      <c r="E131" s="136">
        <f>E121+E101</f>
        <v>41299.43</v>
      </c>
      <c r="F131" s="152"/>
      <c r="G131" s="346"/>
      <c r="H131" s="136"/>
      <c r="I131" s="153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</row>
    <row r="132" spans="2:24">
      <c r="B132" s="134"/>
      <c r="C132" s="134" t="s">
        <v>253</v>
      </c>
      <c r="D132" s="136"/>
      <c r="E132" s="136"/>
      <c r="F132" s="152"/>
      <c r="G132" s="346"/>
      <c r="H132" s="136"/>
      <c r="I132" s="153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</row>
    <row r="133" spans="2:24">
      <c r="B133" s="137"/>
      <c r="C133" s="137" t="s">
        <v>259</v>
      </c>
      <c r="D133" s="138">
        <f>SUM(D134:D135)</f>
        <v>5000</v>
      </c>
      <c r="E133" s="138">
        <f>SUM(E134:E135)</f>
        <v>5000</v>
      </c>
      <c r="F133" s="154"/>
      <c r="G133" s="347"/>
      <c r="H133" s="138"/>
      <c r="I133" s="149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</row>
    <row r="134" spans="2:24">
      <c r="B134" s="139" t="s">
        <v>256</v>
      </c>
      <c r="C134" s="139" t="s">
        <v>257</v>
      </c>
      <c r="D134" s="140">
        <f>SUMIF('A-1. 별도FS_19'!$B:$B,CFwp_US_local!B134,'A-1. 별도FS_19'!$E:$E)</f>
        <v>5000</v>
      </c>
      <c r="E134" s="140">
        <f>SUMIF('A-1. 별도FS_20'!$B:$B,CFwp_US_local!B134,'A-1. 별도FS_20'!$E:$E)</f>
        <v>5000</v>
      </c>
      <c r="F134" s="146">
        <f>E134-D134</f>
        <v>0</v>
      </c>
      <c r="G134" s="344">
        <f t="shared" ref="G134:G135" si="17">J134-K134+N134+O134-P134+Q134-R134-T134+V134-F134-W134+X134</f>
        <v>0</v>
      </c>
      <c r="H134" s="143"/>
      <c r="I134" s="144"/>
      <c r="J134" s="140"/>
      <c r="K134" s="140"/>
      <c r="L134" s="140"/>
      <c r="M134" s="140"/>
      <c r="N134" s="145"/>
      <c r="O134" s="145"/>
      <c r="P134" s="145"/>
      <c r="Q134" s="145"/>
      <c r="R134" s="145"/>
      <c r="S134" s="140"/>
      <c r="T134" s="145"/>
      <c r="U134" s="145"/>
      <c r="V134" s="145"/>
      <c r="W134" s="145"/>
      <c r="X134" s="145"/>
    </row>
    <row r="135" spans="2:24">
      <c r="B135" s="139" t="s">
        <v>909</v>
      </c>
      <c r="C135" s="139" t="s">
        <v>594</v>
      </c>
      <c r="D135" s="140">
        <f>SUMIF('A-1. 별도FS_19'!$B:$B,CFwp_US_local!B135,'A-1. 별도FS_19'!$E:$E)</f>
        <v>0</v>
      </c>
      <c r="E135" s="140">
        <f>SUMIF('A-1. 별도FS_20'!$B:$B,CFwp_US_local!B135,'A-1. 별도FS_20'!$E:$E)</f>
        <v>0</v>
      </c>
      <c r="F135" s="146">
        <f>E135-D135</f>
        <v>0</v>
      </c>
      <c r="G135" s="344">
        <f t="shared" si="17"/>
        <v>0</v>
      </c>
      <c r="H135" s="143"/>
      <c r="I135" s="144"/>
      <c r="J135" s="140"/>
      <c r="K135" s="140"/>
      <c r="L135" s="140"/>
      <c r="M135" s="140"/>
      <c r="N135" s="145"/>
      <c r="O135" s="145"/>
      <c r="P135" s="145"/>
      <c r="Q135" s="145"/>
      <c r="R135" s="145"/>
      <c r="S135" s="140"/>
      <c r="T135" s="145"/>
      <c r="U135" s="145"/>
      <c r="V135" s="145"/>
      <c r="W135" s="145"/>
      <c r="X135" s="145"/>
    </row>
    <row r="136" spans="2:24">
      <c r="B136" s="137"/>
      <c r="C136" s="137" t="s">
        <v>264</v>
      </c>
      <c r="D136" s="138">
        <f>SUM(D137:D139)</f>
        <v>995000</v>
      </c>
      <c r="E136" s="138">
        <f>SUM(E137:E139)</f>
        <v>1995000</v>
      </c>
      <c r="F136" s="154"/>
      <c r="G136" s="347"/>
      <c r="H136" s="138"/>
      <c r="I136" s="149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</row>
    <row r="137" spans="2:24">
      <c r="B137" s="139" t="s">
        <v>261</v>
      </c>
      <c r="C137" s="139" t="s">
        <v>262</v>
      </c>
      <c r="D137" s="140">
        <f>SUMIF('A-1. 별도FS_19'!$B:$B,CFwp_US_local!B137,'A-1. 별도FS_19'!$E:$E)</f>
        <v>995000</v>
      </c>
      <c r="E137" s="140">
        <f>SUMIF('A-1. 별도FS_20'!$B:$B,CFwp_US_local!B137,'A-1. 별도FS_20'!$E:$E)</f>
        <v>1995000</v>
      </c>
      <c r="F137" s="146">
        <f>E137-D137</f>
        <v>1000000</v>
      </c>
      <c r="G137" s="344">
        <f>J137-K137+N137+O137-P137+Q137-R137-T137+V137-F137-W137+X137</f>
        <v>-500000</v>
      </c>
      <c r="H137" s="143"/>
      <c r="I137" s="144"/>
      <c r="J137" s="140"/>
      <c r="K137" s="140"/>
      <c r="L137" s="140"/>
      <c r="M137" s="140"/>
      <c r="N137" s="145"/>
      <c r="O137" s="145"/>
      <c r="P137" s="145"/>
      <c r="Q137" s="145">
        <v>500000</v>
      </c>
      <c r="R137" s="145"/>
      <c r="S137" s="140"/>
      <c r="T137" s="145"/>
      <c r="U137" s="145"/>
      <c r="V137" s="145"/>
      <c r="W137" s="145"/>
      <c r="X137" s="145"/>
    </row>
    <row r="138" spans="2:24">
      <c r="B138" s="139" t="s">
        <v>265</v>
      </c>
      <c r="C138" s="139" t="s">
        <v>266</v>
      </c>
      <c r="D138" s="140">
        <f>SUMIF('A-1. 별도FS_19'!$B:$B,CFwp_US_local!B138,'A-1. 별도FS_19'!$E:$E)</f>
        <v>0</v>
      </c>
      <c r="E138" s="140">
        <f>SUMIF('A-1. 별도FS_20'!$B:$B,CFwp_US_local!B138,'A-1. 별도FS_20'!$E:$E)</f>
        <v>0</v>
      </c>
      <c r="F138" s="146">
        <f>E138-D138</f>
        <v>0</v>
      </c>
      <c r="G138" s="344">
        <f>J138-K138+N138+O138-P138+Q138-R138-T138+V138-F138-W138+X138</f>
        <v>0</v>
      </c>
      <c r="H138" s="143"/>
      <c r="I138" s="144"/>
      <c r="J138" s="140"/>
      <c r="K138" s="140"/>
      <c r="L138" s="140"/>
      <c r="M138" s="140"/>
      <c r="N138" s="145"/>
      <c r="O138" s="145"/>
      <c r="P138" s="145"/>
      <c r="Q138" s="145"/>
      <c r="R138" s="145"/>
      <c r="S138" s="140"/>
      <c r="T138" s="145"/>
      <c r="U138" s="145"/>
      <c r="V138" s="145"/>
      <c r="W138" s="145"/>
      <c r="X138" s="145"/>
    </row>
    <row r="139" spans="2:24">
      <c r="B139" s="139" t="s">
        <v>267</v>
      </c>
      <c r="C139" s="139" t="s">
        <v>268</v>
      </c>
      <c r="D139" s="140">
        <f>SUMIF('A-1. 별도FS_19'!$B:$B,CFwp_US_local!B139,'A-1. 별도FS_19'!$E:$E)</f>
        <v>0</v>
      </c>
      <c r="E139" s="140">
        <f>SUMIF('A-1. 별도FS_20'!$B:$B,CFwp_US_local!B139,'A-1. 별도FS_20'!$E:$E)</f>
        <v>0</v>
      </c>
      <c r="F139" s="146">
        <f>E139-D139</f>
        <v>0</v>
      </c>
      <c r="G139" s="344">
        <f>J139-K139+N139+O139-P139+Q139-R139-T139+V139-F139-W139+X139</f>
        <v>0</v>
      </c>
      <c r="H139" s="143"/>
      <c r="I139" s="144"/>
      <c r="J139" s="140"/>
      <c r="K139" s="140"/>
      <c r="L139" s="140"/>
      <c r="M139" s="140"/>
      <c r="N139" s="145"/>
      <c r="O139" s="145"/>
      <c r="P139" s="145"/>
      <c r="Q139" s="145"/>
      <c r="R139" s="145"/>
      <c r="S139" s="140"/>
      <c r="T139" s="145"/>
      <c r="U139" s="145"/>
      <c r="V139" s="145"/>
      <c r="W139" s="145"/>
      <c r="X139" s="145"/>
    </row>
    <row r="140" spans="2:24">
      <c r="B140" s="137"/>
      <c r="C140" s="137" t="s">
        <v>273</v>
      </c>
      <c r="D140" s="138">
        <f>SUM(D141)</f>
        <v>0</v>
      </c>
      <c r="E140" s="138">
        <f>SUM(E141)</f>
        <v>0</v>
      </c>
      <c r="F140" s="154"/>
      <c r="G140" s="347"/>
      <c r="H140" s="138"/>
      <c r="I140" s="149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</row>
    <row r="141" spans="2:24">
      <c r="B141" s="139" t="s">
        <v>270</v>
      </c>
      <c r="C141" s="139" t="s">
        <v>595</v>
      </c>
      <c r="D141" s="140">
        <f>SUMIF('A-1. 별도FS_19'!$B:$B,CFwp_US_local!B141,'A-1. 별도FS_19'!$E:$E)</f>
        <v>0</v>
      </c>
      <c r="E141" s="140">
        <f>SUMIF('A-1. 별도FS_20'!$B:$B,CFwp_US_local!B141,'A-1. 별도FS_20'!$E:$E)</f>
        <v>0</v>
      </c>
      <c r="F141" s="146">
        <f>E141-D141</f>
        <v>0</v>
      </c>
      <c r="G141" s="344">
        <f>J141-K141+N141+O141-P141+Q141-R141-T141+V141-F141-W141+X141</f>
        <v>0</v>
      </c>
      <c r="H141" s="143" t="s">
        <v>596</v>
      </c>
      <c r="I141" s="144"/>
      <c r="J141" s="140"/>
      <c r="K141" s="140"/>
      <c r="L141" s="140"/>
      <c r="M141" s="140"/>
      <c r="N141" s="145"/>
      <c r="O141" s="145"/>
      <c r="P141" s="145"/>
      <c r="Q141" s="145"/>
      <c r="R141" s="145"/>
      <c r="S141" s="140"/>
      <c r="T141" s="145"/>
      <c r="U141" s="145"/>
      <c r="V141" s="145"/>
      <c r="W141" s="145"/>
      <c r="X141" s="145"/>
    </row>
    <row r="142" spans="2:24">
      <c r="B142" s="137"/>
      <c r="C142" s="137" t="s">
        <v>597</v>
      </c>
      <c r="D142" s="138">
        <f>SUM(D143:D145)</f>
        <v>0</v>
      </c>
      <c r="E142" s="138">
        <f>SUM(E143:E145)</f>
        <v>0</v>
      </c>
      <c r="F142" s="154"/>
      <c r="G142" s="347"/>
      <c r="H142" s="138"/>
      <c r="I142" s="149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</row>
    <row r="143" spans="2:24">
      <c r="B143" s="139" t="s">
        <v>275</v>
      </c>
      <c r="C143" s="139" t="s">
        <v>276</v>
      </c>
      <c r="D143" s="140">
        <f>SUMIF('A-1. 별도FS_19'!$B:$B,CFwp_US_local!B143,'A-1. 별도FS_19'!$E:$E)</f>
        <v>0</v>
      </c>
      <c r="E143" s="140">
        <f>SUMIF('A-1. 별도FS_20'!$B:$B,CFwp_US_local!B143,'A-1. 별도FS_20'!$E:$E)</f>
        <v>0</v>
      </c>
      <c r="F143" s="146">
        <f>E143-D143</f>
        <v>0</v>
      </c>
      <c r="G143" s="344">
        <f t="shared" ref="G143:G145" si="18">J143-K143+N143+O143-P143+Q143-R143-T143+V143-F143-W143+X143</f>
        <v>0</v>
      </c>
      <c r="H143" s="143"/>
      <c r="I143" s="144"/>
      <c r="J143" s="140"/>
      <c r="K143" s="140"/>
      <c r="L143" s="140"/>
      <c r="M143" s="140"/>
      <c r="N143" s="145"/>
      <c r="O143" s="145"/>
      <c r="P143" s="145"/>
      <c r="Q143" s="145"/>
      <c r="R143" s="145"/>
      <c r="S143" s="140"/>
      <c r="T143" s="145"/>
      <c r="U143" s="145"/>
      <c r="V143" s="145"/>
      <c r="W143" s="145"/>
      <c r="X143" s="145"/>
    </row>
    <row r="144" spans="2:24">
      <c r="B144" s="139" t="s">
        <v>279</v>
      </c>
      <c r="C144" s="139" t="s">
        <v>280</v>
      </c>
      <c r="D144" s="140">
        <f>SUMIF('A-1. 별도FS_19'!$B:$B,CFwp_US_local!B144,'A-1. 별도FS_19'!$E:$E)</f>
        <v>0</v>
      </c>
      <c r="E144" s="140">
        <f>SUMIF('A-1. 별도FS_20'!$B:$B,CFwp_US_local!B144,'A-1. 별도FS_20'!$E:$E)</f>
        <v>0</v>
      </c>
      <c r="F144" s="146">
        <f t="shared" ref="F144:F145" si="19">E144-D144</f>
        <v>0</v>
      </c>
      <c r="G144" s="344">
        <f t="shared" si="18"/>
        <v>0</v>
      </c>
      <c r="H144" s="143"/>
      <c r="I144" s="144"/>
      <c r="J144" s="140"/>
      <c r="K144" s="140"/>
      <c r="L144" s="140"/>
      <c r="M144" s="140"/>
      <c r="N144" s="145"/>
      <c r="O144" s="145"/>
      <c r="P144" s="145"/>
      <c r="Q144" s="145"/>
      <c r="R144" s="145"/>
      <c r="S144" s="140"/>
      <c r="T144" s="145"/>
      <c r="U144" s="145"/>
      <c r="V144" s="145"/>
      <c r="W144" s="145"/>
      <c r="X144" s="145"/>
    </row>
    <row r="145" spans="2:24">
      <c r="B145" s="139" t="s">
        <v>281</v>
      </c>
      <c r="C145" s="139" t="s">
        <v>282</v>
      </c>
      <c r="D145" s="140">
        <f>SUMIF('A-1. 별도FS_19'!$B:$B,CFwp_US_local!B145,'A-1. 별도FS_19'!$E:$E)</f>
        <v>0</v>
      </c>
      <c r="E145" s="140">
        <f>SUMIF('A-1. 별도FS_20'!$B:$B,CFwp_US_local!B145,'A-1. 별도FS_20'!$E:$E)</f>
        <v>0</v>
      </c>
      <c r="F145" s="146">
        <f t="shared" si="19"/>
        <v>0</v>
      </c>
      <c r="G145" s="344">
        <f t="shared" si="18"/>
        <v>0</v>
      </c>
      <c r="H145" s="143"/>
      <c r="I145" s="144"/>
      <c r="J145" s="140"/>
      <c r="K145" s="140"/>
      <c r="L145" s="140"/>
      <c r="M145" s="140"/>
      <c r="N145" s="145"/>
      <c r="O145" s="145"/>
      <c r="P145" s="145"/>
      <c r="Q145" s="145"/>
      <c r="R145" s="145"/>
      <c r="S145" s="140"/>
      <c r="T145" s="145"/>
      <c r="U145" s="145"/>
      <c r="V145" s="145"/>
      <c r="W145" s="145"/>
      <c r="X145" s="145"/>
    </row>
    <row r="146" spans="2:24">
      <c r="B146" s="137"/>
      <c r="C146" s="137" t="s">
        <v>287</v>
      </c>
      <c r="D146" s="138">
        <f>SUM(D147:D152)</f>
        <v>-91446</v>
      </c>
      <c r="E146" s="138">
        <f>SUM(E147:E152)</f>
        <v>-895050.05</v>
      </c>
      <c r="F146" s="154"/>
      <c r="G146" s="347"/>
      <c r="H146" s="138"/>
      <c r="I146" s="149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</row>
    <row r="147" spans="2:24">
      <c r="B147" s="139" t="s">
        <v>284</v>
      </c>
      <c r="C147" s="139" t="s">
        <v>285</v>
      </c>
      <c r="D147" s="140">
        <f>SUMIF('A-1. 별도FS_19'!$B:$B,CFwp_US_local!B147,'A-1. 별도FS_19'!$E:$E)</f>
        <v>0</v>
      </c>
      <c r="E147" s="140">
        <f>SUMIF('A-1. 별도FS_20'!$B:$B,CFwp_US_local!B147,'A-1. 별도FS_20'!$E:$E)</f>
        <v>0</v>
      </c>
      <c r="F147" s="146">
        <f>E147-D147</f>
        <v>0</v>
      </c>
      <c r="G147" s="344">
        <f t="shared" ref="G147:G151" si="20">J147-K147+N147+O147-P147+Q147-R147-T147+V147-F147-W147+X147</f>
        <v>0</v>
      </c>
      <c r="H147" s="143"/>
      <c r="I147" s="144"/>
      <c r="J147" s="140"/>
      <c r="K147" s="140"/>
      <c r="L147" s="140"/>
      <c r="M147" s="140"/>
      <c r="N147" s="145"/>
      <c r="O147" s="145"/>
      <c r="P147" s="145"/>
      <c r="Q147" s="145"/>
      <c r="R147" s="145"/>
      <c r="S147" s="140"/>
      <c r="T147" s="145"/>
      <c r="U147" s="145"/>
      <c r="V147" s="145"/>
      <c r="W147" s="145"/>
      <c r="X147" s="145"/>
    </row>
    <row r="148" spans="2:24">
      <c r="B148" s="139" t="s">
        <v>514</v>
      </c>
      <c r="C148" s="139" t="s">
        <v>515</v>
      </c>
      <c r="D148" s="140">
        <f>SUMIF('A-1. 별도FS_19'!$B:$B,CFwp_US_local!B148,'A-1. 별도FS_19'!$E:$E)</f>
        <v>0</v>
      </c>
      <c r="E148" s="140">
        <f>SUMIF('A-1. 별도FS_20'!$B:$B,CFwp_US_local!B148,'A-1. 별도FS_20'!$E:$E)</f>
        <v>0</v>
      </c>
      <c r="F148" s="146">
        <f>E148-D148</f>
        <v>0</v>
      </c>
      <c r="G148" s="344">
        <f t="shared" si="20"/>
        <v>0</v>
      </c>
      <c r="H148" s="143"/>
      <c r="I148" s="144"/>
      <c r="J148" s="140"/>
      <c r="K148" s="140"/>
      <c r="L148" s="140"/>
      <c r="M148" s="140"/>
      <c r="N148" s="145"/>
      <c r="O148" s="145"/>
      <c r="P148" s="145"/>
      <c r="Q148" s="145"/>
      <c r="R148" s="145"/>
      <c r="S148" s="140"/>
      <c r="T148" s="145"/>
      <c r="U148" s="145"/>
      <c r="V148" s="145"/>
      <c r="W148" s="145"/>
      <c r="X148" s="145"/>
    </row>
    <row r="149" spans="2:24">
      <c r="B149" s="139" t="s">
        <v>288</v>
      </c>
      <c r="C149" s="139" t="s">
        <v>289</v>
      </c>
      <c r="D149" s="140">
        <f>SUMIF('A-1. 별도FS_19'!$B:$B,CFwp_US_local!B149,'A-1. 별도FS_19'!$E:$E)</f>
        <v>0</v>
      </c>
      <c r="E149" s="140">
        <f>SUMIF('A-1. 별도FS_20'!$B:$B,CFwp_US_local!B149,'A-1. 별도FS_20'!$E:$E)</f>
        <v>0</v>
      </c>
      <c r="F149" s="146">
        <f>E149-D149</f>
        <v>0</v>
      </c>
      <c r="G149" s="344">
        <f t="shared" si="20"/>
        <v>0</v>
      </c>
      <c r="H149" s="143"/>
      <c r="I149" s="144"/>
      <c r="J149" s="140"/>
      <c r="K149" s="140"/>
      <c r="L149" s="140"/>
      <c r="M149" s="140"/>
      <c r="N149" s="145"/>
      <c r="O149" s="145"/>
      <c r="P149" s="145"/>
      <c r="Q149" s="145"/>
      <c r="R149" s="145"/>
      <c r="S149" s="140"/>
      <c r="T149" s="145"/>
      <c r="U149" s="145"/>
      <c r="V149" s="145"/>
      <c r="W149" s="145"/>
      <c r="X149" s="145"/>
    </row>
    <row r="150" spans="2:24">
      <c r="B150" s="139" t="s">
        <v>290</v>
      </c>
      <c r="C150" s="139" t="s">
        <v>291</v>
      </c>
      <c r="D150" s="140">
        <f>SUMIF('A-1. 별도FS_19'!$B:$B,CFwp_US_local!B150,'A-1. 별도FS_19'!$E:$E)</f>
        <v>-91446</v>
      </c>
      <c r="E150" s="140">
        <f>SUMIF('A-1. 별도FS_20'!$B:$B,CFwp_US_local!B150,'A-1. 별도FS_20'!$E:$E)</f>
        <v>-803604.14</v>
      </c>
      <c r="F150" s="146">
        <f>E150-D150</f>
        <v>-712158.14</v>
      </c>
      <c r="G150" s="344">
        <f t="shared" si="20"/>
        <v>-91446</v>
      </c>
      <c r="H150" s="143" t="s">
        <v>291</v>
      </c>
      <c r="I150" s="144">
        <f>'A-1. 별도FS_20'!E242</f>
        <v>-803604.14</v>
      </c>
      <c r="J150" s="140">
        <f>I150</f>
        <v>-803604.14</v>
      </c>
      <c r="K150" s="140"/>
      <c r="L150" s="140"/>
      <c r="M150" s="140"/>
      <c r="N150" s="145"/>
      <c r="O150" s="145"/>
      <c r="P150" s="145"/>
      <c r="Q150" s="145"/>
      <c r="R150" s="145"/>
      <c r="S150" s="140"/>
      <c r="T150" s="145"/>
      <c r="U150" s="145"/>
      <c r="V150" s="145"/>
      <c r="W150" s="145"/>
      <c r="X150" s="145"/>
    </row>
    <row r="151" spans="2:24">
      <c r="B151" s="139" t="s">
        <v>292</v>
      </c>
      <c r="C151" s="139" t="s">
        <v>293</v>
      </c>
      <c r="D151" s="140">
        <f>SUMIF('A-1. 별도FS_19'!$B:$B,CFwp_US_local!B151,'A-1. 별도FS_19'!$E:$E)</f>
        <v>0</v>
      </c>
      <c r="E151" s="140">
        <f>SUMIF('A-1. 별도FS_20'!$B:$B,CFwp_US_local!B151,'A-1. 별도FS_20'!$E:$E)</f>
        <v>-91445.91</v>
      </c>
      <c r="F151" s="146">
        <f>E151-D151</f>
        <v>-91445.91</v>
      </c>
      <c r="G151" s="344">
        <f t="shared" si="20"/>
        <v>91445.91</v>
      </c>
      <c r="H151" s="143"/>
      <c r="I151" s="144"/>
      <c r="J151" s="140"/>
      <c r="K151" s="140"/>
      <c r="L151" s="140"/>
      <c r="M151" s="140"/>
      <c r="N151" s="145"/>
      <c r="O151" s="145"/>
      <c r="P151" s="145"/>
      <c r="Q151" s="145"/>
      <c r="R151" s="145"/>
      <c r="S151" s="140"/>
      <c r="T151" s="145"/>
      <c r="U151" s="145"/>
      <c r="V151" s="145"/>
      <c r="W151" s="145"/>
      <c r="X151" s="145"/>
    </row>
    <row r="152" spans="2:24">
      <c r="B152" s="139"/>
      <c r="C152" s="139"/>
      <c r="D152" s="140"/>
      <c r="E152" s="140"/>
      <c r="F152" s="146"/>
      <c r="G152" s="344"/>
      <c r="H152" s="143"/>
      <c r="I152" s="144"/>
      <c r="J152" s="140"/>
      <c r="K152" s="140"/>
      <c r="L152" s="140"/>
      <c r="M152" s="140"/>
      <c r="N152" s="145"/>
      <c r="O152" s="145"/>
      <c r="P152" s="145"/>
      <c r="Q152" s="145"/>
      <c r="R152" s="145"/>
      <c r="S152" s="140"/>
      <c r="T152" s="145"/>
      <c r="U152" s="145"/>
      <c r="V152" s="145"/>
      <c r="W152" s="145"/>
      <c r="X152" s="145"/>
    </row>
    <row r="153" spans="2:24">
      <c r="B153" s="134"/>
      <c r="C153" s="134" t="s">
        <v>304</v>
      </c>
      <c r="D153" s="136">
        <f>D133+D136+D140+D146+D142</f>
        <v>908554</v>
      </c>
      <c r="E153" s="136">
        <f>E133+E136+E140+E146+E142</f>
        <v>1104949.95</v>
      </c>
      <c r="F153" s="152"/>
      <c r="G153" s="152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</row>
    <row r="154" spans="2:24">
      <c r="B154" s="134"/>
      <c r="C154" s="134" t="s">
        <v>305</v>
      </c>
      <c r="D154" s="136">
        <f>D153+D131</f>
        <v>914247</v>
      </c>
      <c r="E154" s="136">
        <f>E153+E131</f>
        <v>1146249.3799999999</v>
      </c>
      <c r="F154" s="152"/>
      <c r="G154" s="152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</row>
    <row r="155" spans="2:24">
      <c r="D155" s="115" t="b">
        <f>D154=D100</f>
        <v>1</v>
      </c>
      <c r="E155" s="115" t="b">
        <f>E154=E100</f>
        <v>1</v>
      </c>
      <c r="I155" s="115"/>
      <c r="J155" s="115">
        <f t="shared" ref="J155:R155" si="21">SUM(J10:J152)</f>
        <v>-799517.14</v>
      </c>
      <c r="K155" s="115">
        <f t="shared" si="21"/>
        <v>0</v>
      </c>
      <c r="L155" s="115">
        <f t="shared" si="21"/>
        <v>-97711.210000000021</v>
      </c>
      <c r="M155" s="115">
        <f t="shared" si="21"/>
        <v>0</v>
      </c>
      <c r="N155" s="115">
        <f t="shared" si="21"/>
        <v>-97711.210000000021</v>
      </c>
      <c r="O155" s="115">
        <f t="shared" si="21"/>
        <v>0</v>
      </c>
      <c r="P155" s="115">
        <f>SUM(P10:P152)</f>
        <v>7648.35</v>
      </c>
      <c r="Q155" s="115">
        <f t="shared" si="21"/>
        <v>500000</v>
      </c>
      <c r="R155" s="115">
        <f t="shared" si="21"/>
        <v>0</v>
      </c>
      <c r="T155" s="115">
        <f>SUM(T10:T152)</f>
        <v>0</v>
      </c>
      <c r="V155" s="115">
        <f>SUM(V10:V152)</f>
        <v>0</v>
      </c>
      <c r="W155" s="115">
        <f>SUM(W10:W152)</f>
        <v>0</v>
      </c>
      <c r="X155" s="115">
        <f>SUM(X10:X152)</f>
        <v>0</v>
      </c>
    </row>
    <row r="156" spans="2:24">
      <c r="E156" s="164"/>
      <c r="I156" s="115"/>
      <c r="X156" s="115"/>
    </row>
    <row r="157" spans="2:24">
      <c r="I157" s="115"/>
      <c r="X157" s="115"/>
    </row>
    <row r="158" spans="2:24">
      <c r="B158" s="156"/>
      <c r="C158" s="156"/>
      <c r="D158" s="156" t="s">
        <v>599</v>
      </c>
      <c r="E158" s="157" t="s">
        <v>600</v>
      </c>
      <c r="H158" s="158" t="s">
        <v>601</v>
      </c>
      <c r="I158" s="159" t="s">
        <v>602</v>
      </c>
      <c r="J158" s="160" t="s">
        <v>603</v>
      </c>
      <c r="L158" s="114" t="s">
        <v>410</v>
      </c>
      <c r="M158" s="114" t="s">
        <v>428</v>
      </c>
      <c r="O158" s="114"/>
      <c r="P158" s="114" t="s">
        <v>604</v>
      </c>
      <c r="Q158" s="114" t="s">
        <v>605</v>
      </c>
      <c r="R158" s="114" t="s">
        <v>606</v>
      </c>
      <c r="X158" s="115"/>
    </row>
    <row r="159" spans="2:24">
      <c r="B159" s="114" t="s">
        <v>607</v>
      </c>
      <c r="D159" s="161">
        <f>D160+SUM(D164:D167)</f>
        <v>-897228.35000000009</v>
      </c>
      <c r="E159" s="162"/>
      <c r="H159" s="139" t="str">
        <f>C10</f>
        <v>현금시재</v>
      </c>
      <c r="I159" s="140">
        <f t="shared" ref="I159:J162" si="22">L159</f>
        <v>0</v>
      </c>
      <c r="J159" s="140">
        <f t="shared" si="22"/>
        <v>0</v>
      </c>
      <c r="K159" s="114" t="s">
        <v>608</v>
      </c>
      <c r="L159" s="163"/>
      <c r="M159" s="163"/>
      <c r="O159" s="114" t="s">
        <v>441</v>
      </c>
      <c r="P159" s="164">
        <f>SUMIF($H$10:$H$152,O159,$I$10:$I$152)</f>
        <v>0</v>
      </c>
      <c r="Q159" s="164">
        <f>[197]정산표!L220</f>
        <v>83347124</v>
      </c>
      <c r="R159" s="164">
        <f>P159-Q159</f>
        <v>-83347124</v>
      </c>
      <c r="X159" s="115"/>
    </row>
    <row r="160" spans="2:24">
      <c r="B160" s="114" t="s">
        <v>609</v>
      </c>
      <c r="D160" s="161">
        <f>SUM(D161:D163)</f>
        <v>-897228.35000000009</v>
      </c>
      <c r="E160" s="162"/>
      <c r="H160" s="139" t="s">
        <v>34</v>
      </c>
      <c r="I160" s="140">
        <f t="shared" si="22"/>
        <v>0</v>
      </c>
      <c r="J160" s="140">
        <f t="shared" si="22"/>
        <v>0</v>
      </c>
      <c r="K160" s="114" t="s">
        <v>34</v>
      </c>
      <c r="L160" s="163"/>
      <c r="M160" s="163"/>
      <c r="O160" s="114" t="s">
        <v>590</v>
      </c>
      <c r="P160" s="164">
        <f>SUMIF($H$10:$H$152,O160,$I$10:$I$152)</f>
        <v>0</v>
      </c>
      <c r="Q160" s="164">
        <f>[197]정산표!L227</f>
        <v>251878308</v>
      </c>
      <c r="R160" s="164">
        <f>P160-Q160</f>
        <v>-251878308</v>
      </c>
      <c r="X160" s="115"/>
    </row>
    <row r="161" spans="2:29">
      <c r="B161" s="114" t="s">
        <v>610</v>
      </c>
      <c r="D161" s="115">
        <f>I151</f>
        <v>0</v>
      </c>
      <c r="E161" s="162"/>
      <c r="H161" s="139" t="s">
        <v>52</v>
      </c>
      <c r="I161" s="140">
        <f t="shared" si="22"/>
        <v>0</v>
      </c>
      <c r="J161" s="140">
        <f t="shared" si="22"/>
        <v>0</v>
      </c>
      <c r="K161" s="114" t="s">
        <v>611</v>
      </c>
      <c r="L161" s="163"/>
      <c r="M161" s="163"/>
      <c r="X161" s="115"/>
    </row>
    <row r="162" spans="2:29">
      <c r="B162" s="114" t="s">
        <v>612</v>
      </c>
      <c r="D162" s="115">
        <f>J155-K155-J151</f>
        <v>-799517.14</v>
      </c>
      <c r="E162" s="162"/>
      <c r="H162" s="139" t="str">
        <f>C102</f>
        <v>외상매입금</v>
      </c>
      <c r="I162" s="140">
        <f t="shared" si="22"/>
        <v>0</v>
      </c>
      <c r="J162" s="140">
        <f t="shared" si="22"/>
        <v>0</v>
      </c>
      <c r="K162" s="114" t="s">
        <v>189</v>
      </c>
      <c r="L162" s="163"/>
      <c r="M162" s="163"/>
      <c r="X162" s="115"/>
    </row>
    <row r="163" spans="2:29">
      <c r="B163" s="114" t="s">
        <v>613</v>
      </c>
      <c r="D163" s="115">
        <f>N155-SUM(D164:D167)</f>
        <v>-97711.210000000021</v>
      </c>
      <c r="E163" s="162"/>
      <c r="H163" s="139"/>
      <c r="I163" s="140"/>
      <c r="J163" s="140">
        <f>M161</f>
        <v>0</v>
      </c>
      <c r="L163" s="163"/>
      <c r="M163" s="163"/>
    </row>
    <row r="164" spans="2:29">
      <c r="B164" s="114" t="s">
        <v>614</v>
      </c>
      <c r="D164" s="115">
        <f>M24</f>
        <v>0</v>
      </c>
      <c r="E164" s="162"/>
      <c r="H164" s="165" t="s">
        <v>615</v>
      </c>
      <c r="I164" s="166">
        <f>SUM(I159:I163)</f>
        <v>0</v>
      </c>
      <c r="J164" s="166">
        <f>SUM(J159:J163)</f>
        <v>0</v>
      </c>
      <c r="L164" s="161">
        <f>SUM(L159:L163)</f>
        <v>0</v>
      </c>
      <c r="M164" s="161">
        <f>SUM(M159:M163)</f>
        <v>0</v>
      </c>
    </row>
    <row r="165" spans="2:29">
      <c r="B165" s="114" t="s">
        <v>616</v>
      </c>
      <c r="D165" s="115">
        <f>M115</f>
        <v>0</v>
      </c>
      <c r="E165" s="162"/>
      <c r="H165" s="114" t="s">
        <v>617</v>
      </c>
      <c r="I165" s="115"/>
      <c r="J165" s="115"/>
      <c r="L165" s="164">
        <f>SUMIF($H$10:$H$152,L158,$I$10:$I$152)-L164</f>
        <v>0</v>
      </c>
      <c r="M165" s="164">
        <f>SUMIF($H$10:$H$152,M158,$I$10:$I$152)-M164</f>
        <v>0</v>
      </c>
    </row>
    <row r="166" spans="2:29">
      <c r="B166" s="114" t="s">
        <v>618</v>
      </c>
      <c r="D166" s="115"/>
      <c r="E166" s="162"/>
      <c r="H166" s="114" t="s">
        <v>619</v>
      </c>
      <c r="I166" s="167">
        <f>I164-I165</f>
        <v>0</v>
      </c>
      <c r="J166" s="167">
        <f>J164-J165</f>
        <v>0</v>
      </c>
    </row>
    <row r="167" spans="2:29">
      <c r="B167" s="114" t="s">
        <v>620</v>
      </c>
      <c r="D167" s="115">
        <f>M114</f>
        <v>0</v>
      </c>
      <c r="E167" s="162"/>
    </row>
    <row r="168" spans="2:29">
      <c r="D168" s="115"/>
      <c r="E168" s="162"/>
    </row>
    <row r="169" spans="2:29">
      <c r="B169" s="114" t="s">
        <v>621</v>
      </c>
      <c r="D169" s="115">
        <f>D170-D171</f>
        <v>-7648.35</v>
      </c>
      <c r="E169" s="162"/>
      <c r="H169" s="160" t="s">
        <v>622</v>
      </c>
      <c r="I169" s="160" t="s">
        <v>623</v>
      </c>
      <c r="J169" s="160" t="s">
        <v>624</v>
      </c>
      <c r="K169" s="160" t="s">
        <v>625</v>
      </c>
      <c r="L169" s="160" t="s">
        <v>626</v>
      </c>
    </row>
    <row r="170" spans="2:29">
      <c r="B170" s="114" t="s">
        <v>627</v>
      </c>
      <c r="D170" s="115">
        <f>O155+W10</f>
        <v>0</v>
      </c>
      <c r="E170" s="162"/>
      <c r="G170" s="168"/>
      <c r="H170" s="146" t="s">
        <v>131</v>
      </c>
      <c r="I170" s="140"/>
      <c r="J170" s="169"/>
      <c r="K170" s="169"/>
      <c r="L170" s="140">
        <f t="shared" ref="L170:L176" si="23">SUM(I170:K170)</f>
        <v>0</v>
      </c>
    </row>
    <row r="171" spans="2:29">
      <c r="B171" s="114" t="s">
        <v>628</v>
      </c>
      <c r="D171" s="115">
        <f>P155</f>
        <v>7648.35</v>
      </c>
      <c r="E171" s="162"/>
      <c r="G171" s="168"/>
      <c r="H171" s="146" t="s">
        <v>629</v>
      </c>
      <c r="I171" s="140"/>
      <c r="J171" s="169"/>
      <c r="K171" s="169"/>
      <c r="L171" s="140">
        <f t="shared" si="23"/>
        <v>0</v>
      </c>
    </row>
    <row r="172" spans="2:29">
      <c r="D172" s="115"/>
      <c r="E172" s="162"/>
      <c r="G172" s="168"/>
      <c r="H172" s="146" t="s">
        <v>630</v>
      </c>
      <c r="I172" s="140"/>
      <c r="J172" s="169"/>
      <c r="K172" s="169"/>
      <c r="L172" s="140">
        <f t="shared" si="23"/>
        <v>0</v>
      </c>
    </row>
    <row r="173" spans="2:29">
      <c r="B173" s="114" t="s">
        <v>631</v>
      </c>
      <c r="D173" s="115">
        <f>D174-D175</f>
        <v>500000</v>
      </c>
      <c r="E173" s="162"/>
      <c r="G173" s="168"/>
      <c r="H173" s="146" t="s">
        <v>632</v>
      </c>
      <c r="I173" s="140"/>
      <c r="J173" s="169"/>
      <c r="K173" s="169"/>
      <c r="L173" s="140">
        <f t="shared" si="23"/>
        <v>0</v>
      </c>
      <c r="AA173" s="115"/>
      <c r="AB173" s="115"/>
      <c r="AC173" s="115"/>
    </row>
    <row r="174" spans="2:29" s="115" customFormat="1">
      <c r="B174" s="114" t="s">
        <v>633</v>
      </c>
      <c r="C174" s="114"/>
      <c r="D174" s="115">
        <f>Q155</f>
        <v>500000</v>
      </c>
      <c r="E174" s="162"/>
      <c r="F174" s="114"/>
      <c r="G174" s="114"/>
      <c r="H174" s="146" t="s">
        <v>634</v>
      </c>
      <c r="I174" s="140">
        <f>'A-1. 별도FS_19'!E181</f>
        <v>127</v>
      </c>
      <c r="J174" s="169"/>
      <c r="K174" s="169"/>
      <c r="L174" s="140">
        <f t="shared" si="23"/>
        <v>127</v>
      </c>
      <c r="M174" s="114"/>
      <c r="X174" s="114"/>
      <c r="Y174" s="114"/>
      <c r="Z174" s="114"/>
    </row>
    <row r="175" spans="2:29" s="115" customFormat="1">
      <c r="B175" s="114" t="s">
        <v>635</v>
      </c>
      <c r="C175" s="114"/>
      <c r="D175" s="115">
        <f>R155</f>
        <v>0</v>
      </c>
      <c r="E175" s="162"/>
      <c r="F175" s="114"/>
      <c r="G175" s="114"/>
      <c r="H175" s="146" t="s">
        <v>636</v>
      </c>
      <c r="I175" s="140"/>
      <c r="J175" s="169"/>
      <c r="K175" s="169"/>
      <c r="L175" s="140">
        <f t="shared" si="23"/>
        <v>0</v>
      </c>
      <c r="M175" s="114"/>
      <c r="X175" s="114"/>
      <c r="Y175" s="114"/>
      <c r="Z175" s="114"/>
    </row>
    <row r="176" spans="2:29" s="115" customFormat="1">
      <c r="B176" s="114"/>
      <c r="C176" s="114"/>
      <c r="E176" s="162"/>
      <c r="F176" s="114"/>
      <c r="G176" s="114"/>
      <c r="H176" s="146" t="s">
        <v>637</v>
      </c>
      <c r="I176" s="140"/>
      <c r="J176" s="169"/>
      <c r="K176" s="169"/>
      <c r="L176" s="140">
        <f t="shared" si="23"/>
        <v>0</v>
      </c>
      <c r="M176" s="114"/>
      <c r="X176" s="114"/>
      <c r="Y176" s="114"/>
      <c r="Z176" s="114"/>
    </row>
    <row r="177" spans="2:29" s="115" customFormat="1">
      <c r="B177" s="114" t="s">
        <v>638</v>
      </c>
      <c r="C177" s="114"/>
      <c r="D177" s="115">
        <f>D159+D169+D173</f>
        <v>-404876.70000000007</v>
      </c>
      <c r="E177" s="162"/>
      <c r="F177" s="114"/>
      <c r="G177" s="114"/>
      <c r="H177" s="165" t="s">
        <v>615</v>
      </c>
      <c r="I177" s="166">
        <f>SUM(I170:I176)</f>
        <v>127</v>
      </c>
      <c r="J177" s="166">
        <f>SUM(J170:J176)</f>
        <v>0</v>
      </c>
      <c r="K177" s="166">
        <f>SUM(K170:K176)</f>
        <v>0</v>
      </c>
      <c r="L177" s="166">
        <f>SUM(L170:L176)</f>
        <v>127</v>
      </c>
      <c r="M177" s="115" t="b">
        <f>SUM(I177:K177)=L177</f>
        <v>1</v>
      </c>
      <c r="X177" s="114"/>
      <c r="Y177" s="114"/>
      <c r="Z177" s="114"/>
    </row>
    <row r="178" spans="2:29" s="115" customFormat="1">
      <c r="B178" s="114" t="s">
        <v>639</v>
      </c>
      <c r="C178" s="114"/>
      <c r="D178" s="161">
        <f>SUM(D10:D12)</f>
        <v>906761</v>
      </c>
      <c r="E178" s="162"/>
      <c r="F178" s="114"/>
      <c r="G178" s="114"/>
      <c r="H178" s="114" t="s">
        <v>617</v>
      </c>
      <c r="I178" s="115">
        <f>'A-1. 별도FS_19'!E181</f>
        <v>127</v>
      </c>
      <c r="M178" s="114"/>
      <c r="X178" s="114"/>
      <c r="Y178" s="114"/>
      <c r="Z178" s="114"/>
    </row>
    <row r="179" spans="2:29" s="115" customFormat="1">
      <c r="B179" s="114" t="s">
        <v>640</v>
      </c>
      <c r="C179" s="114"/>
      <c r="D179" s="115">
        <f>L159-M159</f>
        <v>0</v>
      </c>
      <c r="E179" s="162"/>
      <c r="F179" s="114"/>
      <c r="G179" s="114"/>
      <c r="H179" s="114" t="s">
        <v>619</v>
      </c>
      <c r="I179" s="167">
        <f>I177-I178</f>
        <v>0</v>
      </c>
      <c r="J179" s="114"/>
      <c r="K179" s="114"/>
      <c r="L179" s="114"/>
      <c r="M179" s="114"/>
      <c r="X179" s="114"/>
      <c r="Y179" s="114"/>
      <c r="Z179" s="114"/>
    </row>
    <row r="180" spans="2:29" s="115" customFormat="1">
      <c r="B180" s="114" t="s">
        <v>641</v>
      </c>
      <c r="C180" s="114"/>
      <c r="D180" s="115">
        <f>D177+D178+D179</f>
        <v>501884.29999999993</v>
      </c>
      <c r="E180" s="162"/>
      <c r="F180" s="114"/>
      <c r="G180" s="114"/>
      <c r="H180" s="170"/>
      <c r="I180" s="114"/>
      <c r="J180" s="114"/>
      <c r="K180" s="114"/>
      <c r="L180" s="114"/>
      <c r="M180" s="114"/>
      <c r="X180" s="114"/>
      <c r="Y180" s="114"/>
      <c r="Z180" s="114"/>
    </row>
    <row r="181" spans="2:29" s="115" customFormat="1">
      <c r="B181" s="114"/>
      <c r="C181" s="114"/>
      <c r="E181" s="162"/>
      <c r="F181" s="114"/>
      <c r="G181" s="114"/>
      <c r="H181" s="160" t="s">
        <v>642</v>
      </c>
      <c r="I181" s="160" t="s">
        <v>623</v>
      </c>
      <c r="J181" s="160" t="s">
        <v>624</v>
      </c>
      <c r="K181" s="160" t="s">
        <v>625</v>
      </c>
      <c r="L181" s="160" t="s">
        <v>626</v>
      </c>
      <c r="M181" s="114"/>
      <c r="X181" s="114"/>
      <c r="Y181" s="114"/>
      <c r="Z181" s="114"/>
    </row>
    <row r="182" spans="2:29" s="115" customFormat="1">
      <c r="B182" s="114" t="s">
        <v>643</v>
      </c>
      <c r="C182" s="114"/>
      <c r="D182" s="161">
        <f>SUM(E10:E12)</f>
        <v>1001884.39</v>
      </c>
      <c r="E182" s="162"/>
      <c r="F182" s="114"/>
      <c r="G182" s="114"/>
      <c r="H182" s="146" t="s">
        <v>176</v>
      </c>
      <c r="I182" s="140"/>
      <c r="J182" s="169"/>
      <c r="K182" s="169"/>
      <c r="L182" s="140"/>
      <c r="M182" s="114"/>
      <c r="X182" s="114"/>
      <c r="Y182" s="114"/>
      <c r="Z182" s="114"/>
    </row>
    <row r="183" spans="2:29" s="115" customFormat="1">
      <c r="B183" s="114"/>
      <c r="C183" s="114"/>
      <c r="E183" s="162"/>
      <c r="F183" s="114"/>
      <c r="G183" s="114"/>
      <c r="H183" s="146" t="s">
        <v>174</v>
      </c>
      <c r="I183" s="140"/>
      <c r="J183" s="169"/>
      <c r="K183" s="169"/>
      <c r="L183" s="140"/>
      <c r="M183" s="114"/>
      <c r="X183" s="114"/>
      <c r="Y183" s="114"/>
      <c r="Z183" s="114"/>
    </row>
    <row r="184" spans="2:29" s="115" customFormat="1">
      <c r="B184" s="171" t="s">
        <v>600</v>
      </c>
      <c r="C184" s="114"/>
      <c r="D184" s="172">
        <f>D180-D182</f>
        <v>-500000.09000000008</v>
      </c>
      <c r="E184" s="173"/>
      <c r="F184" s="114"/>
      <c r="G184" s="114"/>
      <c r="H184" s="146" t="s">
        <v>644</v>
      </c>
      <c r="I184" s="140"/>
      <c r="J184" s="169"/>
      <c r="K184" s="169"/>
      <c r="L184" s="140"/>
      <c r="M184" s="114"/>
      <c r="X184" s="114"/>
      <c r="Y184" s="114"/>
      <c r="Z184" s="114"/>
    </row>
    <row r="185" spans="2:29" s="115" customFormat="1">
      <c r="B185" s="114"/>
      <c r="C185" s="114"/>
      <c r="F185" s="114"/>
      <c r="G185" s="114"/>
      <c r="H185" s="165" t="s">
        <v>615</v>
      </c>
      <c r="I185" s="166">
        <f>SUM(I182:I184)</f>
        <v>0</v>
      </c>
      <c r="J185" s="174">
        <f>SUM(J182:J184)</f>
        <v>0</v>
      </c>
      <c r="K185" s="174">
        <f>SUM(K182:K184)</f>
        <v>0</v>
      </c>
      <c r="L185" s="166">
        <f>SUM(L182:L184)</f>
        <v>0</v>
      </c>
      <c r="M185" s="114"/>
      <c r="X185" s="114"/>
      <c r="Y185" s="114"/>
      <c r="Z185" s="114"/>
    </row>
    <row r="186" spans="2:29" s="115" customFormat="1">
      <c r="B186" s="114"/>
      <c r="C186" s="114"/>
      <c r="D186" s="114"/>
      <c r="E186" s="114"/>
      <c r="F186" s="114"/>
      <c r="G186" s="114"/>
      <c r="H186" s="114" t="s">
        <v>617</v>
      </c>
      <c r="J186" s="114"/>
      <c r="K186" s="114"/>
      <c r="L186" s="114"/>
      <c r="M186" s="114"/>
      <c r="X186" s="114"/>
      <c r="Y186" s="114"/>
      <c r="Z186" s="114"/>
    </row>
    <row r="187" spans="2:29" s="115" customFormat="1">
      <c r="B187" s="114"/>
      <c r="C187" s="114"/>
      <c r="D187" s="114"/>
      <c r="E187" s="114"/>
      <c r="F187" s="114"/>
      <c r="G187" s="114"/>
      <c r="H187" s="114" t="s">
        <v>619</v>
      </c>
      <c r="I187" s="167">
        <f>I185-I186</f>
        <v>0</v>
      </c>
      <c r="J187" s="114"/>
      <c r="K187" s="114"/>
      <c r="L187" s="114"/>
      <c r="M187" s="114"/>
      <c r="X187" s="114"/>
      <c r="Y187" s="114"/>
      <c r="Z187" s="114"/>
    </row>
    <row r="188" spans="2:29" s="115" customFormat="1">
      <c r="B188" s="114"/>
      <c r="C188" s="114"/>
      <c r="D188" s="114"/>
      <c r="E188" s="114"/>
      <c r="F188" s="114"/>
      <c r="G188" s="13"/>
      <c r="H188" s="114"/>
      <c r="I188" s="114"/>
      <c r="J188" s="114"/>
      <c r="K188" s="114"/>
      <c r="L188" s="114"/>
      <c r="M188" s="114"/>
      <c r="X188" s="114"/>
      <c r="Y188" s="114"/>
      <c r="Z188" s="114"/>
    </row>
    <row r="189" spans="2:29" s="115" customFormat="1">
      <c r="B189" s="114"/>
      <c r="C189" s="114"/>
      <c r="D189" s="114"/>
      <c r="E189" s="114"/>
      <c r="F189" s="114"/>
      <c r="G189" s="13"/>
      <c r="H189" s="114"/>
      <c r="I189" s="114"/>
      <c r="J189" s="114"/>
      <c r="K189" s="114"/>
      <c r="L189" s="114"/>
      <c r="M189" s="114"/>
      <c r="X189" s="114"/>
      <c r="Y189" s="114"/>
      <c r="Z189" s="114"/>
      <c r="AA189" s="114"/>
      <c r="AB189" s="114"/>
      <c r="AC189" s="114"/>
    </row>
    <row r="190" spans="2:29">
      <c r="G190" s="13"/>
      <c r="H190" s="175" t="s">
        <v>645</v>
      </c>
      <c r="I190" s="175" t="s">
        <v>646</v>
      </c>
      <c r="J190" s="175" t="s">
        <v>647</v>
      </c>
      <c r="K190" s="175" t="s">
        <v>648</v>
      </c>
      <c r="L190" s="175"/>
    </row>
    <row r="191" spans="2:29">
      <c r="G191" s="13"/>
      <c r="H191" s="176" t="s">
        <v>649</v>
      </c>
      <c r="I191" s="177"/>
      <c r="J191" s="177"/>
      <c r="K191" s="177"/>
      <c r="L191" s="177"/>
    </row>
    <row r="192" spans="2:29">
      <c r="G192" s="13"/>
      <c r="H192" s="176" t="s">
        <v>650</v>
      </c>
      <c r="I192" s="177"/>
      <c r="J192" s="177"/>
      <c r="K192" s="177"/>
      <c r="L192" s="177"/>
    </row>
    <row r="193" spans="8:12">
      <c r="H193" s="176"/>
      <c r="I193" s="178">
        <f>SUM(I191:I192)</f>
        <v>0</v>
      </c>
      <c r="J193" s="178">
        <f>SUM(J191:J192)</f>
        <v>0</v>
      </c>
      <c r="K193" s="178">
        <f>SUM(K191:K192)</f>
        <v>0</v>
      </c>
      <c r="L193" s="178">
        <f>SUM(L191:L192)</f>
        <v>0</v>
      </c>
    </row>
    <row r="194" spans="8:12">
      <c r="H194" s="13"/>
      <c r="I194" s="13"/>
      <c r="J194" s="179">
        <f>J193-I193</f>
        <v>0</v>
      </c>
      <c r="K194" s="179">
        <f>K193-J193</f>
        <v>0</v>
      </c>
      <c r="L194" s="179">
        <f>L193-K193</f>
        <v>0</v>
      </c>
    </row>
    <row r="196" spans="8:12">
      <c r="H196" s="180" t="s">
        <v>651</v>
      </c>
      <c r="I196" s="181" t="s">
        <v>623</v>
      </c>
      <c r="J196" s="181" t="s">
        <v>624</v>
      </c>
      <c r="K196" s="181" t="s">
        <v>652</v>
      </c>
      <c r="L196" s="181" t="s">
        <v>653</v>
      </c>
    </row>
    <row r="197" spans="8:12">
      <c r="H197" s="182" t="s">
        <v>511</v>
      </c>
      <c r="I197" s="182"/>
      <c r="J197" s="182"/>
      <c r="K197" s="182"/>
      <c r="L197" s="182">
        <f>SUM(I197:K197)</f>
        <v>0</v>
      </c>
    </row>
    <row r="198" spans="8:12">
      <c r="H198" s="183" t="s">
        <v>653</v>
      </c>
      <c r="I198" s="183">
        <f>SUM(I197:I197)</f>
        <v>0</v>
      </c>
      <c r="J198" s="183">
        <f>SUM(J197:J197)</f>
        <v>0</v>
      </c>
      <c r="K198" s="183">
        <f>SUM(K197:K197)</f>
        <v>0</v>
      </c>
      <c r="L198" s="183">
        <f>SUM(L197:L197)</f>
        <v>0</v>
      </c>
    </row>
    <row r="199" spans="8:12">
      <c r="H199" s="182" t="s">
        <v>600</v>
      </c>
      <c r="I199" s="182"/>
      <c r="J199" s="182"/>
      <c r="K199" s="182"/>
      <c r="L199" s="182"/>
    </row>
    <row r="200" spans="8:12">
      <c r="H200" s="184"/>
      <c r="I200" s="182"/>
      <c r="J200" s="182"/>
      <c r="K200" s="182"/>
      <c r="L200" s="182"/>
    </row>
    <row r="201" spans="8:12">
      <c r="H201" s="180" t="s">
        <v>654</v>
      </c>
      <c r="I201" s="181" t="s">
        <v>655</v>
      </c>
      <c r="J201" s="181" t="s">
        <v>656</v>
      </c>
      <c r="K201" s="181" t="s">
        <v>657</v>
      </c>
      <c r="L201" s="181" t="s">
        <v>658</v>
      </c>
    </row>
    <row r="202" spans="8:12">
      <c r="H202" s="182" t="s">
        <v>659</v>
      </c>
      <c r="I202" s="182"/>
      <c r="J202" s="182"/>
      <c r="K202" s="182"/>
      <c r="L202" s="182"/>
    </row>
    <row r="203" spans="8:12">
      <c r="H203" s="182" t="s">
        <v>660</v>
      </c>
      <c r="I203" s="182"/>
      <c r="J203" s="182"/>
      <c r="K203" s="182"/>
      <c r="L203" s="182"/>
    </row>
    <row r="204" spans="8:12">
      <c r="H204" s="182" t="s">
        <v>661</v>
      </c>
      <c r="I204" s="182"/>
      <c r="J204" s="182"/>
      <c r="K204" s="182"/>
      <c r="L204" s="182"/>
    </row>
    <row r="205" spans="8:12">
      <c r="H205" s="182" t="s">
        <v>662</v>
      </c>
      <c r="I205" s="182"/>
      <c r="J205" s="182"/>
      <c r="K205" s="182"/>
      <c r="L205" s="182"/>
    </row>
    <row r="206" spans="8:12">
      <c r="H206" s="182" t="s">
        <v>663</v>
      </c>
      <c r="I206" s="182"/>
      <c r="J206" s="182"/>
      <c r="K206" s="182"/>
      <c r="L206" s="182"/>
    </row>
    <row r="207" spans="8:12">
      <c r="H207" s="182" t="s">
        <v>664</v>
      </c>
      <c r="I207" s="182"/>
      <c r="J207" s="182"/>
      <c r="K207" s="182"/>
      <c r="L207" s="182"/>
    </row>
    <row r="208" spans="8:12">
      <c r="H208" s="183" t="s">
        <v>653</v>
      </c>
      <c r="I208" s="183">
        <f>SUM(I202:I207)</f>
        <v>0</v>
      </c>
      <c r="J208" s="183">
        <f>SUM(J202:J207)</f>
        <v>0</v>
      </c>
      <c r="K208" s="183">
        <f>SUM(K202:K207)</f>
        <v>0</v>
      </c>
      <c r="L208" s="183">
        <f>SUM(L202:L207)</f>
        <v>0</v>
      </c>
    </row>
    <row r="209" spans="8:12">
      <c r="H209" s="185" t="s">
        <v>665</v>
      </c>
      <c r="I209" s="182"/>
      <c r="J209" s="182"/>
      <c r="K209" s="182"/>
      <c r="L209" s="182"/>
    </row>
    <row r="210" spans="8:12">
      <c r="H210" s="184"/>
      <c r="I210" s="182"/>
      <c r="J210" s="182"/>
      <c r="K210" s="182"/>
      <c r="L210" s="182"/>
    </row>
    <row r="211" spans="8:12">
      <c r="H211" s="180" t="s">
        <v>666</v>
      </c>
      <c r="I211" s="181" t="s">
        <v>667</v>
      </c>
      <c r="J211" s="181" t="s">
        <v>668</v>
      </c>
      <c r="K211" s="182"/>
      <c r="L211" s="182"/>
    </row>
    <row r="212" spans="8:12">
      <c r="H212" s="182" t="s">
        <v>669</v>
      </c>
      <c r="I212" s="182"/>
      <c r="J212" s="182"/>
      <c r="K212" s="182"/>
      <c r="L212" s="182"/>
    </row>
    <row r="213" spans="8:12">
      <c r="H213" s="182" t="s">
        <v>670</v>
      </c>
      <c r="I213" s="182"/>
      <c r="J213" s="182"/>
      <c r="K213" s="182"/>
      <c r="L213" s="182"/>
    </row>
    <row r="214" spans="8:12">
      <c r="H214" s="182" t="s">
        <v>131</v>
      </c>
      <c r="I214" s="182"/>
      <c r="J214" s="182"/>
      <c r="K214" s="182"/>
      <c r="L214" s="182"/>
    </row>
    <row r="215" spans="8:12">
      <c r="H215" s="182" t="s">
        <v>139</v>
      </c>
      <c r="I215" s="182"/>
      <c r="J215" s="182"/>
      <c r="K215" s="182"/>
      <c r="L215" s="182"/>
    </row>
    <row r="216" spans="8:12">
      <c r="H216" s="182" t="s">
        <v>145</v>
      </c>
      <c r="I216" s="182"/>
      <c r="J216" s="182"/>
      <c r="K216" s="182"/>
      <c r="L216" s="182"/>
    </row>
    <row r="217" spans="8:12">
      <c r="H217" s="182" t="s">
        <v>149</v>
      </c>
      <c r="I217" s="182"/>
      <c r="J217" s="182"/>
      <c r="K217" s="182"/>
      <c r="L217" s="182"/>
    </row>
    <row r="218" spans="8:12">
      <c r="H218" s="182" t="s">
        <v>155</v>
      </c>
      <c r="I218" s="186"/>
      <c r="J218" s="182"/>
      <c r="K218" s="182"/>
      <c r="L218" s="182"/>
    </row>
    <row r="219" spans="8:12">
      <c r="H219" s="182" t="s">
        <v>161</v>
      </c>
      <c r="I219" s="182"/>
      <c r="J219" s="182"/>
      <c r="K219" s="182"/>
      <c r="L219" s="182"/>
    </row>
    <row r="220" spans="8:12">
      <c r="H220" s="182" t="s">
        <v>671</v>
      </c>
      <c r="I220" s="182"/>
      <c r="J220" s="182"/>
      <c r="K220" s="182"/>
      <c r="L220" s="182"/>
    </row>
    <row r="221" spans="8:12">
      <c r="H221" s="182" t="s">
        <v>159</v>
      </c>
      <c r="I221" s="182"/>
      <c r="J221" s="182"/>
      <c r="K221" s="182"/>
      <c r="L221" s="182"/>
    </row>
    <row r="222" spans="8:12">
      <c r="H222" s="183" t="s">
        <v>653</v>
      </c>
      <c r="I222" s="183">
        <f>SUM(I212:I221)</f>
        <v>0</v>
      </c>
      <c r="J222" s="183">
        <f>SUM(J212:J221)</f>
        <v>0</v>
      </c>
      <c r="K222" s="182"/>
      <c r="L222" s="182"/>
    </row>
    <row r="223" spans="8:12">
      <c r="H223" s="185" t="s">
        <v>665</v>
      </c>
      <c r="I223" s="182"/>
      <c r="J223" s="182"/>
      <c r="K223" s="182"/>
      <c r="L223" s="182"/>
    </row>
    <row r="224" spans="8:12">
      <c r="H224" s="184"/>
      <c r="I224" s="182"/>
      <c r="J224" s="182"/>
      <c r="K224" s="182"/>
      <c r="L224" s="182"/>
    </row>
    <row r="225" spans="8:12">
      <c r="H225" s="180" t="s">
        <v>672</v>
      </c>
      <c r="I225" s="181" t="s">
        <v>653</v>
      </c>
      <c r="J225" s="182"/>
      <c r="K225" s="182"/>
      <c r="L225" s="182"/>
    </row>
    <row r="226" spans="8:12">
      <c r="H226" s="182" t="s">
        <v>673</v>
      </c>
      <c r="I226" s="182"/>
      <c r="J226" s="182"/>
      <c r="K226" s="182"/>
      <c r="L226" s="182"/>
    </row>
    <row r="227" spans="8:12">
      <c r="H227" s="182" t="s">
        <v>674</v>
      </c>
      <c r="I227" s="182"/>
      <c r="J227" s="182"/>
      <c r="K227" s="182"/>
      <c r="L227" s="182"/>
    </row>
    <row r="228" spans="8:12">
      <c r="H228" s="182" t="s">
        <v>675</v>
      </c>
      <c r="I228" s="182"/>
      <c r="J228" s="182"/>
      <c r="K228" s="182"/>
      <c r="L228" s="182"/>
    </row>
    <row r="229" spans="8:12">
      <c r="H229" s="182" t="s">
        <v>676</v>
      </c>
      <c r="I229" s="182"/>
      <c r="J229" s="182"/>
      <c r="K229" s="182"/>
      <c r="L229" s="182"/>
    </row>
    <row r="230" spans="8:12">
      <c r="H230" s="182" t="s">
        <v>677</v>
      </c>
      <c r="I230" s="182"/>
      <c r="J230" s="182"/>
      <c r="K230" s="182"/>
      <c r="L230" s="182"/>
    </row>
    <row r="231" spans="8:12">
      <c r="H231" s="182" t="s">
        <v>678</v>
      </c>
      <c r="I231" s="182"/>
      <c r="J231" s="182"/>
      <c r="K231" s="182"/>
      <c r="L231" s="182"/>
    </row>
    <row r="232" spans="8:12">
      <c r="H232" s="182" t="s">
        <v>679</v>
      </c>
      <c r="I232" s="182"/>
      <c r="J232" s="182"/>
      <c r="K232" s="182"/>
      <c r="L232" s="182"/>
    </row>
    <row r="233" spans="8:12">
      <c r="H233" s="183" t="s">
        <v>653</v>
      </c>
      <c r="I233" s="183">
        <f>SUM(I226:I232)</f>
        <v>0</v>
      </c>
      <c r="J233" s="182"/>
      <c r="K233" s="182"/>
      <c r="L233" s="182"/>
    </row>
    <row r="234" spans="8:12">
      <c r="H234" s="185" t="s">
        <v>600</v>
      </c>
      <c r="I234" s="182"/>
      <c r="J234" s="182"/>
      <c r="K234" s="182"/>
      <c r="L234" s="182"/>
    </row>
    <row r="235" spans="8:12">
      <c r="H235" s="182"/>
      <c r="I235" s="182"/>
      <c r="J235" s="182"/>
      <c r="K235" s="182"/>
      <c r="L235" s="182"/>
    </row>
    <row r="236" spans="8:12">
      <c r="H236" s="184"/>
      <c r="I236" s="182"/>
      <c r="J236" s="182"/>
      <c r="K236" s="182"/>
      <c r="L236" s="182"/>
    </row>
    <row r="237" spans="8:12">
      <c r="H237" s="180" t="s">
        <v>680</v>
      </c>
      <c r="I237" s="181" t="s">
        <v>681</v>
      </c>
      <c r="J237" s="181" t="s">
        <v>682</v>
      </c>
      <c r="K237" s="182"/>
      <c r="L237" s="182"/>
    </row>
    <row r="238" spans="8:12">
      <c r="H238" s="182" t="s">
        <v>683</v>
      </c>
      <c r="I238" s="182"/>
      <c r="J238" s="182"/>
      <c r="K238" s="182"/>
      <c r="L238" s="182"/>
    </row>
    <row r="239" spans="8:12">
      <c r="H239" s="182" t="s">
        <v>684</v>
      </c>
      <c r="I239" s="182"/>
      <c r="J239" s="182"/>
      <c r="K239" s="182"/>
      <c r="L239" s="182"/>
    </row>
    <row r="240" spans="8:12">
      <c r="H240" s="182" t="s">
        <v>685</v>
      </c>
      <c r="I240" s="182"/>
      <c r="J240" s="182"/>
      <c r="K240" s="182"/>
      <c r="L240" s="182"/>
    </row>
    <row r="241" spans="8:12">
      <c r="H241" s="183" t="s">
        <v>653</v>
      </c>
      <c r="I241" s="183">
        <f>SUM(I238:I240)</f>
        <v>0</v>
      </c>
      <c r="J241" s="183">
        <f>SUM(J238:J240)</f>
        <v>0</v>
      </c>
      <c r="K241" s="182"/>
      <c r="L241" s="182"/>
    </row>
    <row r="242" spans="8:12">
      <c r="H242" s="185" t="s">
        <v>665</v>
      </c>
      <c r="I242" s="182"/>
      <c r="J242" s="182"/>
      <c r="K242" s="182"/>
      <c r="L242" s="182"/>
    </row>
    <row r="243" spans="8:12">
      <c r="H243" s="182"/>
      <c r="I243" s="182"/>
      <c r="J243" s="182"/>
      <c r="K243" s="182"/>
      <c r="L243" s="182"/>
    </row>
    <row r="244" spans="8:12">
      <c r="H244" s="184" t="s">
        <v>686</v>
      </c>
      <c r="I244" s="182"/>
      <c r="J244" s="182"/>
      <c r="K244" s="182"/>
      <c r="L244" s="182"/>
    </row>
    <row r="245" spans="8:12">
      <c r="H245" s="180" t="s">
        <v>687</v>
      </c>
      <c r="I245" s="181" t="s">
        <v>688</v>
      </c>
      <c r="J245" s="181" t="s">
        <v>689</v>
      </c>
      <c r="K245" s="182"/>
      <c r="L245" s="182"/>
    </row>
    <row r="246" spans="8:12">
      <c r="H246" s="182" t="s">
        <v>690</v>
      </c>
      <c r="I246" s="182"/>
      <c r="J246" s="182"/>
      <c r="K246" s="182"/>
      <c r="L246" s="182"/>
    </row>
    <row r="247" spans="8:12">
      <c r="H247" s="182" t="s">
        <v>174</v>
      </c>
      <c r="I247" s="182"/>
      <c r="J247" s="182"/>
      <c r="K247" s="182"/>
      <c r="L247" s="182"/>
    </row>
    <row r="248" spans="8:12">
      <c r="H248" s="183" t="s">
        <v>653</v>
      </c>
      <c r="I248" s="183">
        <f>SUM(I246:I247)</f>
        <v>0</v>
      </c>
      <c r="J248" s="183">
        <f>SUM(J246:J247)</f>
        <v>0</v>
      </c>
      <c r="K248" s="182"/>
      <c r="L248" s="182"/>
    </row>
    <row r="249" spans="8:12">
      <c r="H249" s="185" t="s">
        <v>665</v>
      </c>
      <c r="I249" s="182"/>
      <c r="J249" s="182"/>
      <c r="K249" s="182"/>
      <c r="L249" s="182"/>
    </row>
    <row r="250" spans="8:12">
      <c r="H250" s="182"/>
      <c r="I250" s="182"/>
      <c r="J250" s="182"/>
      <c r="K250" s="182"/>
      <c r="L250" s="182"/>
    </row>
    <row r="251" spans="8:12">
      <c r="H251" s="184" t="s">
        <v>691</v>
      </c>
      <c r="I251" s="182"/>
      <c r="J251" s="182"/>
      <c r="K251" s="182"/>
      <c r="L251" s="182"/>
    </row>
    <row r="252" spans="8:12">
      <c r="H252" s="180" t="s">
        <v>692</v>
      </c>
      <c r="I252" s="181" t="s">
        <v>693</v>
      </c>
      <c r="J252" s="182"/>
      <c r="K252" s="182"/>
      <c r="L252" s="182"/>
    </row>
    <row r="253" spans="8:12">
      <c r="H253" s="182" t="s">
        <v>694</v>
      </c>
      <c r="I253" s="182"/>
      <c r="J253" s="182"/>
      <c r="K253" s="182"/>
      <c r="L253" s="182"/>
    </row>
    <row r="254" spans="8:12">
      <c r="H254" s="182" t="s">
        <v>695</v>
      </c>
      <c r="I254" s="182">
        <f>[197]정산표!L227</f>
        <v>251878308</v>
      </c>
      <c r="J254" s="182"/>
      <c r="K254" s="182"/>
      <c r="L254" s="182"/>
    </row>
    <row r="255" spans="8:12">
      <c r="H255" s="182" t="s">
        <v>696</v>
      </c>
      <c r="I255" s="182"/>
      <c r="J255" s="182"/>
      <c r="K255" s="182"/>
      <c r="L255" s="182"/>
    </row>
    <row r="256" spans="8:12">
      <c r="H256" s="182" t="s">
        <v>697</v>
      </c>
      <c r="I256" s="182"/>
      <c r="J256" s="182"/>
      <c r="K256" s="182"/>
      <c r="L256" s="182"/>
    </row>
    <row r="257" spans="8:12">
      <c r="H257" s="182" t="s">
        <v>698</v>
      </c>
      <c r="I257" s="187"/>
      <c r="J257" s="182"/>
      <c r="K257" s="182"/>
      <c r="L257" s="182"/>
    </row>
    <row r="258" spans="8:12">
      <c r="H258" s="182" t="s">
        <v>665</v>
      </c>
      <c r="I258" s="182">
        <f>SUM(I253:I256,-I257)</f>
        <v>251878308</v>
      </c>
      <c r="J258" s="182"/>
      <c r="K258" s="182"/>
      <c r="L258" s="182"/>
    </row>
    <row r="259" spans="8:12">
      <c r="H259" s="185"/>
      <c r="I259" s="182"/>
      <c r="J259" s="182"/>
      <c r="K259" s="182"/>
      <c r="L259" s="182"/>
    </row>
    <row r="260" spans="8:12">
      <c r="H260" s="182"/>
      <c r="I260" s="182"/>
      <c r="J260" s="182"/>
      <c r="K260" s="182"/>
      <c r="L260" s="182"/>
    </row>
  </sheetData>
  <mergeCells count="9">
    <mergeCell ref="Q5:R5"/>
    <mergeCell ref="S5:V5"/>
    <mergeCell ref="W5:X5"/>
    <mergeCell ref="D2:E3"/>
    <mergeCell ref="B5:B6"/>
    <mergeCell ref="C5:C6"/>
    <mergeCell ref="F5:F6"/>
    <mergeCell ref="G5:G6"/>
    <mergeCell ref="O5:P5"/>
  </mergeCells>
  <phoneticPr fontId="2" type="noConversion"/>
  <conditionalFormatting sqref="F12 F16:F18 F20:F21">
    <cfRule type="expression" dxfId="622" priority="603">
      <formula>"&lt;&gt;0"</formula>
    </cfRule>
    <cfRule type="expression" dxfId="621" priority="601">
      <formula>"&gt;=0"</formula>
    </cfRule>
  </conditionalFormatting>
  <conditionalFormatting sqref="F12:F13">
    <cfRule type="expression" dxfId="620" priority="434">
      <formula>"&gt;&lt;0"</formula>
    </cfRule>
  </conditionalFormatting>
  <conditionalFormatting sqref="F14:F15">
    <cfRule type="expression" dxfId="619" priority="242">
      <formula>"&gt;&lt;0"</formula>
    </cfRule>
    <cfRule type="expression" dxfId="618" priority="243">
      <formula>"&gt;=0"</formula>
    </cfRule>
    <cfRule type="expression" dxfId="617" priority="245">
      <formula>"&lt;&gt;0"</formula>
    </cfRule>
  </conditionalFormatting>
  <conditionalFormatting sqref="F16:F21">
    <cfRule type="expression" dxfId="616" priority="369">
      <formula>"&gt;&lt;0"</formula>
    </cfRule>
  </conditionalFormatting>
  <conditionalFormatting sqref="F22">
    <cfRule type="expression" dxfId="615" priority="360">
      <formula>"&lt;&gt;0"</formula>
    </cfRule>
    <cfRule type="expression" dxfId="614" priority="358">
      <formula>"&gt;=0"</formula>
    </cfRule>
  </conditionalFormatting>
  <conditionalFormatting sqref="F22:F23">
    <cfRule type="expression" dxfId="613" priority="349">
      <formula>"&gt;&lt;0"</formula>
    </cfRule>
  </conditionalFormatting>
  <conditionalFormatting sqref="F33">
    <cfRule type="expression" dxfId="612" priority="413">
      <formula>"&gt;=0"</formula>
    </cfRule>
    <cfRule type="expression" dxfId="611" priority="412">
      <formula>"&gt;&lt;0"</formula>
    </cfRule>
    <cfRule type="expression" dxfId="610" priority="415">
      <formula>"&lt;&gt;0"</formula>
    </cfRule>
  </conditionalFormatting>
  <conditionalFormatting sqref="F35:F46">
    <cfRule type="expression" dxfId="609" priority="541">
      <formula>"&gt;=0"</formula>
    </cfRule>
    <cfRule type="expression" dxfId="608" priority="540">
      <formula>"&gt;&lt;0"</formula>
    </cfRule>
    <cfRule type="expression" dxfId="607" priority="543">
      <formula>"&lt;&gt;0"</formula>
    </cfRule>
  </conditionalFormatting>
  <conditionalFormatting sqref="F50">
    <cfRule type="expression" dxfId="606" priority="597">
      <formula>"&gt;&lt;0"</formula>
    </cfRule>
    <cfRule type="expression" dxfId="605" priority="598">
      <formula>"&lt;&gt;0"</formula>
    </cfRule>
    <cfRule type="expression" dxfId="604" priority="596">
      <formula>"&gt;=0"</formula>
    </cfRule>
  </conditionalFormatting>
  <conditionalFormatting sqref="F51">
    <cfRule type="expression" dxfId="603" priority="344">
      <formula>"&gt;&lt;0"</formula>
    </cfRule>
  </conditionalFormatting>
  <conditionalFormatting sqref="F52">
    <cfRule type="expression" dxfId="602" priority="430">
      <formula>"&lt;&gt;0"</formula>
    </cfRule>
    <cfRule type="expression" dxfId="601" priority="428">
      <formula>"&gt;=0"</formula>
    </cfRule>
    <cfRule type="expression" dxfId="600" priority="429">
      <formula>"&gt;&lt;0"</formula>
    </cfRule>
  </conditionalFormatting>
  <conditionalFormatting sqref="F53:F54">
    <cfRule type="expression" dxfId="599" priority="240">
      <formula>"&lt;&gt;0"</formula>
    </cfRule>
    <cfRule type="expression" dxfId="598" priority="238">
      <formula>"&gt;=0"</formula>
    </cfRule>
    <cfRule type="expression" dxfId="597" priority="239">
      <formula>"&gt;&lt;0"</formula>
    </cfRule>
  </conditionalFormatting>
  <conditionalFormatting sqref="F62">
    <cfRule type="expression" dxfId="596" priority="204">
      <formula>"&gt;&lt;0"</formula>
    </cfRule>
  </conditionalFormatting>
  <conditionalFormatting sqref="F79:F80">
    <cfRule type="expression" dxfId="595" priority="34">
      <formula>"&gt;&lt;0"</formula>
    </cfRule>
  </conditionalFormatting>
  <conditionalFormatting sqref="F83:F89">
    <cfRule type="expression" dxfId="594" priority="593">
      <formula>"&lt;&gt;0"</formula>
    </cfRule>
    <cfRule type="expression" dxfId="593" priority="591">
      <formula>"&gt;=0"</formula>
    </cfRule>
    <cfRule type="expression" dxfId="592" priority="592">
      <formula>"&gt;&lt;0"</formula>
    </cfRule>
  </conditionalFormatting>
  <conditionalFormatting sqref="F91:F94">
    <cfRule type="expression" dxfId="591" priority="329">
      <formula>"&gt;&lt;0"</formula>
    </cfRule>
  </conditionalFormatting>
  <conditionalFormatting sqref="F95">
    <cfRule type="expression" dxfId="590" priority="218">
      <formula>"&gt;=0"</formula>
    </cfRule>
    <cfRule type="expression" dxfId="589" priority="219">
      <formula>"&gt;&lt;0"</formula>
    </cfRule>
    <cfRule type="expression" dxfId="588" priority="220">
      <formula>"&lt;&gt;0"</formula>
    </cfRule>
  </conditionalFormatting>
  <conditionalFormatting sqref="F96">
    <cfRule type="expression" dxfId="587" priority="409">
      <formula>"&gt;&lt;0"</formula>
    </cfRule>
    <cfRule type="expression" dxfId="586" priority="408">
      <formula>"&gt;=0"</formula>
    </cfRule>
    <cfRule type="expression" dxfId="585" priority="410">
      <formula>"&lt;&gt;0"</formula>
    </cfRule>
  </conditionalFormatting>
  <conditionalFormatting sqref="F97:F98">
    <cfRule type="expression" dxfId="584" priority="319">
      <formula>"&gt;&lt;0"</formula>
    </cfRule>
  </conditionalFormatting>
  <conditionalFormatting sqref="F99">
    <cfRule type="expression" dxfId="583" priority="399">
      <formula>"&gt;&lt;0"</formula>
    </cfRule>
    <cfRule type="expression" dxfId="582" priority="400">
      <formula>"&lt;&gt;0"</formula>
    </cfRule>
    <cfRule type="expression" dxfId="581" priority="398">
      <formula>"&gt;=0"</formula>
    </cfRule>
  </conditionalFormatting>
  <conditionalFormatting sqref="F102:F111 F113:F118">
    <cfRule type="expression" dxfId="580" priority="577">
      <formula>"&gt;&lt;0"</formula>
    </cfRule>
    <cfRule type="expression" dxfId="579" priority="581">
      <formula>"&gt;=0"</formula>
    </cfRule>
    <cfRule type="expression" dxfId="578" priority="583">
      <formula>"&lt;&gt;0"</formula>
    </cfRule>
  </conditionalFormatting>
  <conditionalFormatting sqref="F103">
    <cfRule type="expression" dxfId="577" priority="531">
      <formula>"&gt;=0"</formula>
    </cfRule>
    <cfRule type="expression" dxfId="576" priority="530">
      <formula>"&gt;&lt;0"</formula>
    </cfRule>
    <cfRule type="expression" dxfId="575" priority="533">
      <formula>"&lt;&gt;0"</formula>
    </cfRule>
  </conditionalFormatting>
  <conditionalFormatting sqref="F106:F109">
    <cfRule type="expression" dxfId="574" priority="523">
      <formula>"&lt;&gt;0"</formula>
    </cfRule>
    <cfRule type="expression" dxfId="573" priority="521">
      <formula>"&gt;=0"</formula>
    </cfRule>
    <cfRule type="expression" dxfId="572" priority="520">
      <formula>"&gt;&lt;0"</formula>
    </cfRule>
  </conditionalFormatting>
  <conditionalFormatting sqref="F110:F111 F113:F118">
    <cfRule type="expression" dxfId="571" priority="578">
      <formula>"&lt;&gt;0"</formula>
    </cfRule>
    <cfRule type="expression" dxfId="570" priority="576">
      <formula>"&gt;=0"</formula>
    </cfRule>
  </conditionalFormatting>
  <conditionalFormatting sqref="F112">
    <cfRule type="expression" dxfId="569" priority="303">
      <formula>"&gt;=0"</formula>
    </cfRule>
    <cfRule type="expression" dxfId="568" priority="300">
      <formula>"&lt;&gt;0"</formula>
    </cfRule>
    <cfRule type="expression" dxfId="567" priority="299">
      <formula>"&gt;&lt;0"</formula>
    </cfRule>
    <cfRule type="expression" dxfId="566" priority="298">
      <formula>"&gt;=0"</formula>
    </cfRule>
    <cfRule type="expression" dxfId="565" priority="305">
      <formula>"&lt;&gt;0"</formula>
    </cfRule>
  </conditionalFormatting>
  <conditionalFormatting sqref="F119">
    <cfRule type="expression" dxfId="564" priority="278">
      <formula>"&gt;=0"</formula>
    </cfRule>
    <cfRule type="expression" dxfId="563" priority="279">
      <formula>"&gt;&lt;0"</formula>
    </cfRule>
    <cfRule type="expression" dxfId="562" priority="285">
      <formula>"&lt;&gt;0"</formula>
    </cfRule>
    <cfRule type="expression" dxfId="561" priority="283">
      <formula>"&gt;=0"</formula>
    </cfRule>
    <cfRule type="expression" dxfId="560" priority="280">
      <formula>"&lt;&gt;0"</formula>
    </cfRule>
  </conditionalFormatting>
  <conditionalFormatting sqref="F120">
    <cfRule type="expression" dxfId="559" priority="15">
      <formula>"&lt;&gt;0"</formula>
    </cfRule>
    <cfRule type="expression" dxfId="558" priority="18">
      <formula>"&gt;=0"</formula>
    </cfRule>
    <cfRule type="expression" dxfId="557" priority="20">
      <formula>"&lt;&gt;0"</formula>
    </cfRule>
    <cfRule type="expression" dxfId="556" priority="13">
      <formula>"&gt;=0"</formula>
    </cfRule>
    <cfRule type="expression" dxfId="555" priority="14">
      <formula>"&gt;&lt;0"</formula>
    </cfRule>
  </conditionalFormatting>
  <conditionalFormatting sqref="F134:F135">
    <cfRule type="expression" dxfId="554" priority="573">
      <formula>"&lt;&gt;0"</formula>
    </cfRule>
    <cfRule type="expression" dxfId="553" priority="572">
      <formula>"&gt;&lt;0"</formula>
    </cfRule>
    <cfRule type="expression" dxfId="552" priority="571">
      <formula>"&gt;=0"</formula>
    </cfRule>
  </conditionalFormatting>
  <conditionalFormatting sqref="F137">
    <cfRule type="expression" dxfId="551" priority="568">
      <formula>"&lt;&gt;0"</formula>
    </cfRule>
    <cfRule type="expression" dxfId="550" priority="567">
      <formula>"&gt;&lt;0"</formula>
    </cfRule>
    <cfRule type="expression" dxfId="549" priority="566">
      <formula>"&gt;=0"</formula>
    </cfRule>
  </conditionalFormatting>
  <conditionalFormatting sqref="F138">
    <cfRule type="expression" dxfId="548" priority="469">
      <formula>"&gt;&lt;0"</formula>
    </cfRule>
  </conditionalFormatting>
  <conditionalFormatting sqref="F141">
    <cfRule type="expression" dxfId="547" priority="263">
      <formula>"&gt;=0"</formula>
    </cfRule>
    <cfRule type="expression" dxfId="546" priority="264">
      <formula>"&gt;&lt;0"</formula>
    </cfRule>
    <cfRule type="expression" dxfId="545" priority="265">
      <formula>"&lt;&gt;0"</formula>
    </cfRule>
  </conditionalFormatting>
  <conditionalFormatting sqref="F143:F145">
    <cfRule type="expression" dxfId="544" priority="562">
      <formula>"&gt;&lt;0"</formula>
    </cfRule>
    <cfRule type="expression" dxfId="543" priority="563">
      <formula>"&lt;&gt;0"</formula>
    </cfRule>
    <cfRule type="expression" dxfId="542" priority="561">
      <formula>"&gt;=0"</formula>
    </cfRule>
  </conditionalFormatting>
  <conditionalFormatting sqref="F148:F150">
    <cfRule type="expression" dxfId="541" priority="229">
      <formula>"&gt;&lt;0"</formula>
    </cfRule>
  </conditionalFormatting>
  <conditionalFormatting sqref="F12:G12 F16:G18 F20:G21">
    <cfRule type="expression" dxfId="540" priority="602">
      <formula>"&gt;&lt;0"</formula>
    </cfRule>
  </conditionalFormatting>
  <conditionalFormatting sqref="F12:G33">
    <cfRule type="expression" priority="241">
      <formula>"""&gt;&lt;0"""</formula>
    </cfRule>
  </conditionalFormatting>
  <conditionalFormatting sqref="F13:G13">
    <cfRule type="expression" dxfId="539" priority="435">
      <formula>"&lt;&gt;0"</formula>
    </cfRule>
    <cfRule type="expression" dxfId="538" priority="433">
      <formula>"&gt;=0"</formula>
    </cfRule>
  </conditionalFormatting>
  <conditionalFormatting sqref="F13:G15">
    <cfRule type="expression" dxfId="537" priority="244">
      <formula>"&gt;&lt;0"</formula>
    </cfRule>
  </conditionalFormatting>
  <conditionalFormatting sqref="F19:G19">
    <cfRule type="expression" dxfId="536" priority="367">
      <formula>"&gt;&lt;0"</formula>
    </cfRule>
    <cfRule type="expression" dxfId="535" priority="370">
      <formula>"&lt;&gt;0"</formula>
    </cfRule>
    <cfRule type="expression" dxfId="534" priority="368">
      <formula>"&gt;=0"</formula>
    </cfRule>
  </conditionalFormatting>
  <conditionalFormatting sqref="F22:G22">
    <cfRule type="expression" dxfId="533" priority="359">
      <formula>"&gt;&lt;0"</formula>
    </cfRule>
  </conditionalFormatting>
  <conditionalFormatting sqref="F23:G23">
    <cfRule type="expression" dxfId="532" priority="350">
      <formula>"&lt;&gt;0"</formula>
    </cfRule>
    <cfRule type="expression" dxfId="531" priority="348">
      <formula>"&gt;=0"</formula>
    </cfRule>
    <cfRule type="expression" dxfId="530" priority="347">
      <formula>"&gt;&lt;0"</formula>
    </cfRule>
  </conditionalFormatting>
  <conditionalFormatting sqref="F24:G32 F47:G47 F55:G56 F60:F61 F81 F91:F93 F122:G123 F147 F151:F152">
    <cfRule type="expression" dxfId="529" priority="558">
      <formula>"&lt;&gt;0"</formula>
    </cfRule>
    <cfRule type="expression" dxfId="528" priority="557">
      <formula>"&gt;&lt;0"</formula>
    </cfRule>
  </conditionalFormatting>
  <conditionalFormatting sqref="F24:G33">
    <cfRule type="expression" dxfId="527" priority="414">
      <formula>"&gt;&lt;0"</formula>
    </cfRule>
  </conditionalFormatting>
  <conditionalFormatting sqref="F35:G47">
    <cfRule type="expression" priority="539">
      <formula>"""&gt;&lt;0"""</formula>
    </cfRule>
    <cfRule type="expression" dxfId="526" priority="542">
      <formula>"&gt;&lt;0"</formula>
    </cfRule>
  </conditionalFormatting>
  <conditionalFormatting sqref="F47:G47 F60:F61 F81 F147 F151:F152 F24:G32 F122:G123 F55:G56 F91:F93">
    <cfRule type="expression" dxfId="525" priority="556">
      <formula>"&gt;=0"</formula>
    </cfRule>
  </conditionalFormatting>
  <conditionalFormatting sqref="F50:G50">
    <cfRule type="expression" dxfId="524" priority="517">
      <formula>"&gt;&lt;0"</formula>
    </cfRule>
  </conditionalFormatting>
  <conditionalFormatting sqref="F50:G58">
    <cfRule type="expression" priority="231">
      <formula>"""&gt;&lt;0"""</formula>
    </cfRule>
  </conditionalFormatting>
  <conditionalFormatting sqref="F51:G51">
    <cfRule type="expression" dxfId="523" priority="337">
      <formula>"&gt;&lt;0"</formula>
    </cfRule>
    <cfRule type="expression" dxfId="522" priority="340">
      <formula>"&lt;&gt;0"</formula>
    </cfRule>
    <cfRule type="expression" dxfId="521" priority="338">
      <formula>"&gt;=0"</formula>
    </cfRule>
  </conditionalFormatting>
  <conditionalFormatting sqref="F52:G52">
    <cfRule type="expression" dxfId="520" priority="424">
      <formula>"&gt;&lt;0"</formula>
    </cfRule>
  </conditionalFormatting>
  <conditionalFormatting sqref="F53:G54">
    <cfRule type="expression" dxfId="519" priority="234">
      <formula>"&gt;&lt;0"</formula>
    </cfRule>
  </conditionalFormatting>
  <conditionalFormatting sqref="F55:G58">
    <cfRule type="expression" dxfId="518" priority="334">
      <formula>"&gt;&lt;0"</formula>
    </cfRule>
  </conditionalFormatting>
  <conditionalFormatting sqref="F57:G58">
    <cfRule type="expression" dxfId="517" priority="333">
      <formula>"&gt;=0"</formula>
    </cfRule>
    <cfRule type="expression" dxfId="516" priority="335">
      <formula>"&lt;&gt;0"</formula>
    </cfRule>
    <cfRule type="expression" dxfId="515" priority="332">
      <formula>"&gt;&lt;0"</formula>
    </cfRule>
  </conditionalFormatting>
  <conditionalFormatting sqref="F60:G61 F81:G81">
    <cfRule type="expression" dxfId="514" priority="512">
      <formula>"&gt;&lt;0"</formula>
    </cfRule>
  </conditionalFormatting>
  <conditionalFormatting sqref="F60:G81">
    <cfRule type="expression" priority="26">
      <formula>"""&gt;&lt;0"""</formula>
    </cfRule>
  </conditionalFormatting>
  <conditionalFormatting sqref="F62:G62">
    <cfRule type="expression" dxfId="513" priority="198">
      <formula>"&gt;=0"</formula>
    </cfRule>
    <cfRule type="expression" dxfId="512" priority="200">
      <formula>"&lt;&gt;0"</formula>
    </cfRule>
  </conditionalFormatting>
  <conditionalFormatting sqref="F62:G63">
    <cfRule type="expression" dxfId="511" priority="189">
      <formula>"&gt;&lt;0"</formula>
    </cfRule>
  </conditionalFormatting>
  <conditionalFormatting sqref="F63:G63">
    <cfRule type="expression" dxfId="510" priority="190">
      <formula>"&lt;&gt;0"</formula>
    </cfRule>
    <cfRule type="expression" dxfId="509" priority="188">
      <formula>"&gt;=0"</formula>
    </cfRule>
  </conditionalFormatting>
  <conditionalFormatting sqref="F63:G64">
    <cfRule type="expression" dxfId="508" priority="179">
      <formula>"&gt;&lt;0"</formula>
    </cfRule>
  </conditionalFormatting>
  <conditionalFormatting sqref="F64:G64">
    <cfRule type="expression" dxfId="507" priority="178">
      <formula>"&gt;=0"</formula>
    </cfRule>
    <cfRule type="expression" dxfId="506" priority="180">
      <formula>"&lt;&gt;0"</formula>
    </cfRule>
  </conditionalFormatting>
  <conditionalFormatting sqref="F64:G66">
    <cfRule type="expression" dxfId="505" priority="169">
      <formula>"&gt;&lt;0"</formula>
    </cfRule>
  </conditionalFormatting>
  <conditionalFormatting sqref="F65:G66">
    <cfRule type="expression" dxfId="504" priority="168">
      <formula>"&gt;=0"</formula>
    </cfRule>
    <cfRule type="expression" dxfId="503" priority="170">
      <formula>"&lt;&gt;0"</formula>
    </cfRule>
  </conditionalFormatting>
  <conditionalFormatting sqref="F65:G67">
    <cfRule type="expression" dxfId="502" priority="159">
      <formula>"&gt;&lt;0"</formula>
    </cfRule>
  </conditionalFormatting>
  <conditionalFormatting sqref="F67:G67">
    <cfRule type="expression" dxfId="501" priority="158">
      <formula>"&gt;=0"</formula>
    </cfRule>
    <cfRule type="expression" dxfId="500" priority="160">
      <formula>"&lt;&gt;0"</formula>
    </cfRule>
  </conditionalFormatting>
  <conditionalFormatting sqref="F67:G68">
    <cfRule type="expression" dxfId="499" priority="149">
      <formula>"&gt;&lt;0"</formula>
    </cfRule>
  </conditionalFormatting>
  <conditionalFormatting sqref="F68:G68">
    <cfRule type="expression" dxfId="498" priority="148">
      <formula>"&gt;=0"</formula>
    </cfRule>
    <cfRule type="expression" dxfId="497" priority="150">
      <formula>"&lt;&gt;0"</formula>
    </cfRule>
  </conditionalFormatting>
  <conditionalFormatting sqref="F68:G69">
    <cfRule type="expression" dxfId="496" priority="139">
      <formula>"&gt;&lt;0"</formula>
    </cfRule>
  </conditionalFormatting>
  <conditionalFormatting sqref="F69:G69">
    <cfRule type="expression" dxfId="495" priority="138">
      <formula>"&gt;=0"</formula>
    </cfRule>
    <cfRule type="expression" dxfId="494" priority="140">
      <formula>"&lt;&gt;0"</formula>
    </cfRule>
  </conditionalFormatting>
  <conditionalFormatting sqref="F69:G70">
    <cfRule type="expression" dxfId="493" priority="129">
      <formula>"&gt;&lt;0"</formula>
    </cfRule>
  </conditionalFormatting>
  <conditionalFormatting sqref="F70:G70">
    <cfRule type="expression" dxfId="492" priority="128">
      <formula>"&gt;=0"</formula>
    </cfRule>
    <cfRule type="expression" dxfId="491" priority="130">
      <formula>"&lt;&gt;0"</formula>
    </cfRule>
  </conditionalFormatting>
  <conditionalFormatting sqref="F70:G71">
    <cfRule type="expression" dxfId="490" priority="119">
      <formula>"&gt;&lt;0"</formula>
    </cfRule>
  </conditionalFormatting>
  <conditionalFormatting sqref="F71:G71">
    <cfRule type="expression" dxfId="489" priority="120">
      <formula>"&lt;&gt;0"</formula>
    </cfRule>
    <cfRule type="expression" dxfId="488" priority="118">
      <formula>"&gt;=0"</formula>
    </cfRule>
  </conditionalFormatting>
  <conditionalFormatting sqref="F71:G72">
    <cfRule type="expression" dxfId="487" priority="109">
      <formula>"&gt;&lt;0"</formula>
    </cfRule>
  </conditionalFormatting>
  <conditionalFormatting sqref="F72:G72">
    <cfRule type="expression" dxfId="486" priority="108">
      <formula>"&gt;=0"</formula>
    </cfRule>
    <cfRule type="expression" dxfId="485" priority="110">
      <formula>"&lt;&gt;0"</formula>
    </cfRule>
  </conditionalFormatting>
  <conditionalFormatting sqref="F72:G73">
    <cfRule type="expression" dxfId="484" priority="99">
      <formula>"&gt;&lt;0"</formula>
    </cfRule>
  </conditionalFormatting>
  <conditionalFormatting sqref="F73:G73">
    <cfRule type="expression" dxfId="483" priority="98">
      <formula>"&gt;=0"</formula>
    </cfRule>
    <cfRule type="expression" dxfId="482" priority="100">
      <formula>"&lt;&gt;0"</formula>
    </cfRule>
  </conditionalFormatting>
  <conditionalFormatting sqref="F73:G74">
    <cfRule type="expression" dxfId="481" priority="89">
      <formula>"&gt;&lt;0"</formula>
    </cfRule>
  </conditionalFormatting>
  <conditionalFormatting sqref="F74:G74">
    <cfRule type="expression" dxfId="480" priority="88">
      <formula>"&gt;=0"</formula>
    </cfRule>
    <cfRule type="expression" dxfId="479" priority="90">
      <formula>"&lt;&gt;0"</formula>
    </cfRule>
  </conditionalFormatting>
  <conditionalFormatting sqref="F74:G75">
    <cfRule type="expression" dxfId="478" priority="79">
      <formula>"&gt;&lt;0"</formula>
    </cfRule>
  </conditionalFormatting>
  <conditionalFormatting sqref="F75:G75">
    <cfRule type="expression" dxfId="477" priority="80">
      <formula>"&lt;&gt;0"</formula>
    </cfRule>
    <cfRule type="expression" dxfId="476" priority="78">
      <formula>"&gt;=0"</formula>
    </cfRule>
  </conditionalFormatting>
  <conditionalFormatting sqref="F75:G76">
    <cfRule type="expression" dxfId="475" priority="69">
      <formula>"&gt;&lt;0"</formula>
    </cfRule>
  </conditionalFormatting>
  <conditionalFormatting sqref="F76:G76">
    <cfRule type="expression" dxfId="474" priority="68">
      <formula>"&gt;=0"</formula>
    </cfRule>
    <cfRule type="expression" dxfId="473" priority="70">
      <formula>"&lt;&gt;0"</formula>
    </cfRule>
  </conditionalFormatting>
  <conditionalFormatting sqref="F76:G77">
    <cfRule type="expression" dxfId="472" priority="59">
      <formula>"&gt;&lt;0"</formula>
    </cfRule>
  </conditionalFormatting>
  <conditionalFormatting sqref="F77:G77">
    <cfRule type="expression" dxfId="471" priority="58">
      <formula>"&gt;=0"</formula>
    </cfRule>
    <cfRule type="expression" dxfId="470" priority="60">
      <formula>"&lt;&gt;0"</formula>
    </cfRule>
  </conditionalFormatting>
  <conditionalFormatting sqref="F77:G78">
    <cfRule type="expression" dxfId="469" priority="49">
      <formula>"&gt;&lt;0"</formula>
    </cfRule>
  </conditionalFormatting>
  <conditionalFormatting sqref="F78:G78">
    <cfRule type="expression" dxfId="468" priority="50">
      <formula>"&lt;&gt;0"</formula>
    </cfRule>
    <cfRule type="expression" dxfId="467" priority="48">
      <formula>"&gt;=0"</formula>
    </cfRule>
  </conditionalFormatting>
  <conditionalFormatting sqref="F78:G79">
    <cfRule type="expression" dxfId="466" priority="39">
      <formula>"&gt;&lt;0"</formula>
    </cfRule>
  </conditionalFormatting>
  <conditionalFormatting sqref="F79:G79">
    <cfRule type="expression" dxfId="465" priority="40">
      <formula>"&lt;&gt;0"</formula>
    </cfRule>
    <cfRule type="expression" dxfId="464" priority="38">
      <formula>"&gt;=0"</formula>
    </cfRule>
  </conditionalFormatting>
  <conditionalFormatting sqref="F80:G80">
    <cfRule type="expression" dxfId="463" priority="28">
      <formula>"&gt;=0"</formula>
    </cfRule>
    <cfRule type="expression" dxfId="462" priority="27">
      <formula>"&gt;&lt;0"</formula>
    </cfRule>
    <cfRule type="expression" dxfId="461" priority="30">
      <formula>"&lt;&gt;0"</formula>
    </cfRule>
  </conditionalFormatting>
  <conditionalFormatting sqref="F83:G89">
    <cfRule type="expression" dxfId="460" priority="507">
      <formula>"&gt;&lt;0"</formula>
    </cfRule>
    <cfRule type="expression" priority="504">
      <formula>"""&gt;&lt;0"""</formula>
    </cfRule>
  </conditionalFormatting>
  <conditionalFormatting sqref="F91:G99">
    <cfRule type="expression" priority="206">
      <formula>"""&gt;&lt;0"""</formula>
    </cfRule>
  </conditionalFormatting>
  <conditionalFormatting sqref="F94:G94">
    <cfRule type="expression" dxfId="459" priority="323">
      <formula>"&gt;=0"</formula>
    </cfRule>
    <cfRule type="expression" dxfId="458" priority="325">
      <formula>"&lt;&gt;0"</formula>
    </cfRule>
  </conditionalFormatting>
  <conditionalFormatting sqref="F94:G95">
    <cfRule type="expression" dxfId="457" priority="214">
      <formula>"&gt;&lt;0"</formula>
    </cfRule>
  </conditionalFormatting>
  <conditionalFormatting sqref="F96:G96">
    <cfRule type="expression" dxfId="456" priority="404">
      <formula>"&gt;&lt;0"</formula>
    </cfRule>
  </conditionalFormatting>
  <conditionalFormatting sqref="F97:G98">
    <cfRule type="expression" dxfId="455" priority="313">
      <formula>"&gt;=0"</formula>
    </cfRule>
    <cfRule type="expression" dxfId="454" priority="315">
      <formula>"&lt;&gt;0"</formula>
    </cfRule>
    <cfRule type="expression" dxfId="453" priority="312">
      <formula>"&gt;&lt;0"</formula>
    </cfRule>
  </conditionalFormatting>
  <conditionalFormatting sqref="F99:G99">
    <cfRule type="expression" dxfId="452" priority="394">
      <formula>"&gt;&lt;0"</formula>
    </cfRule>
  </conditionalFormatting>
  <conditionalFormatting sqref="F102:G111 F113:G118">
    <cfRule type="expression" dxfId="451" priority="582">
      <formula>"&gt;&lt;0"</formula>
    </cfRule>
  </conditionalFormatting>
  <conditionalFormatting sqref="F102:G120">
    <cfRule type="expression" priority="6">
      <formula>"""&gt;&lt;0"""</formula>
    </cfRule>
  </conditionalFormatting>
  <conditionalFormatting sqref="F103:G103">
    <cfRule type="expression" dxfId="450" priority="532">
      <formula>"&gt;&lt;0"</formula>
    </cfRule>
  </conditionalFormatting>
  <conditionalFormatting sqref="F106:G109">
    <cfRule type="expression" dxfId="449" priority="522">
      <formula>"&gt;&lt;0"</formula>
    </cfRule>
  </conditionalFormatting>
  <conditionalFormatting sqref="F110:G111 F113:G118">
    <cfRule type="expression" dxfId="448" priority="552">
      <formula>"&gt;&lt;0"</formula>
    </cfRule>
  </conditionalFormatting>
  <conditionalFormatting sqref="F112:G112">
    <cfRule type="expression" dxfId="447" priority="304">
      <formula>"&gt;&lt;0"</formula>
    </cfRule>
    <cfRule type="expression" dxfId="446" priority="294">
      <formula>"&gt;&lt;0"</formula>
    </cfRule>
  </conditionalFormatting>
  <conditionalFormatting sqref="F119:G119">
    <cfRule type="expression" dxfId="445" priority="274">
      <formula>"&gt;&lt;0"</formula>
    </cfRule>
    <cfRule type="expression" dxfId="444" priority="284">
      <formula>"&gt;&lt;0"</formula>
    </cfRule>
  </conditionalFormatting>
  <conditionalFormatting sqref="F120:G120">
    <cfRule type="expression" dxfId="443" priority="19">
      <formula>"&gt;&lt;0"</formula>
    </cfRule>
    <cfRule type="expression" dxfId="442" priority="9">
      <formula>"&gt;&lt;0"</formula>
    </cfRule>
  </conditionalFormatting>
  <conditionalFormatting sqref="F122:G124">
    <cfRule type="expression" dxfId="441" priority="389">
      <formula>"&gt;&lt;0"</formula>
    </cfRule>
  </conditionalFormatting>
  <conditionalFormatting sqref="F122:G130">
    <cfRule type="expression" priority="1">
      <formula>"""&gt;&lt;0"""</formula>
    </cfRule>
  </conditionalFormatting>
  <conditionalFormatting sqref="F124:G124">
    <cfRule type="expression" dxfId="440" priority="390">
      <formula>"&lt;&gt;0"</formula>
    </cfRule>
    <cfRule type="expression" dxfId="439" priority="388">
      <formula>"&gt;=0"</formula>
    </cfRule>
  </conditionalFormatting>
  <conditionalFormatting sqref="F124:G126">
    <cfRule type="expression" dxfId="438" priority="4">
      <formula>"&gt;&lt;0"</formula>
    </cfRule>
  </conditionalFormatting>
  <conditionalFormatting sqref="F125:G125">
    <cfRule type="expression" dxfId="437" priority="3">
      <formula>"&gt;=0"</formula>
    </cfRule>
    <cfRule type="expression" dxfId="436" priority="5">
      <formula>"&lt;&gt;0"</formula>
    </cfRule>
    <cfRule type="expression" dxfId="435" priority="2">
      <formula>"&gt;&lt;0"</formula>
    </cfRule>
  </conditionalFormatting>
  <conditionalFormatting sqref="F126:G126">
    <cfRule type="expression" dxfId="434" priority="255">
      <formula>"&lt;&gt;0"</formula>
    </cfRule>
    <cfRule type="expression" dxfId="433" priority="253">
      <formula>"&gt;=0"</formula>
    </cfRule>
    <cfRule type="expression" dxfId="432" priority="254">
      <formula>"&gt;&lt;0"</formula>
    </cfRule>
  </conditionalFormatting>
  <conditionalFormatting sqref="F127:G127">
    <cfRule type="expression" dxfId="431" priority="383">
      <formula>"&gt;=0"</formula>
    </cfRule>
    <cfRule type="expression" dxfId="430" priority="384">
      <formula>"&gt;&lt;0"</formula>
    </cfRule>
    <cfRule type="expression" dxfId="429" priority="385">
      <formula>"&lt;&gt;0"</formula>
    </cfRule>
  </conditionalFormatting>
  <conditionalFormatting sqref="F127:G128">
    <cfRule type="expression" dxfId="428" priority="379">
      <formula>"&gt;&lt;0"</formula>
    </cfRule>
  </conditionalFormatting>
  <conditionalFormatting sqref="F128:G128">
    <cfRule type="expression" dxfId="427" priority="380">
      <formula>"&lt;&gt;0"</formula>
    </cfRule>
    <cfRule type="expression" dxfId="426" priority="378">
      <formula>"&gt;=0"</formula>
    </cfRule>
  </conditionalFormatting>
  <conditionalFormatting sqref="F128:G130">
    <cfRule type="expression" dxfId="425" priority="269">
      <formula>"&gt;&lt;0"</formula>
    </cfRule>
  </conditionalFormatting>
  <conditionalFormatting sqref="F129:G130">
    <cfRule type="expression" dxfId="424" priority="270">
      <formula>"&lt;&gt;0"</formula>
    </cfRule>
    <cfRule type="expression" dxfId="423" priority="267">
      <formula>"&gt;&lt;0"</formula>
    </cfRule>
    <cfRule type="expression" dxfId="422" priority="268">
      <formula>"&gt;=0"</formula>
    </cfRule>
  </conditionalFormatting>
  <conditionalFormatting sqref="F134:G135">
    <cfRule type="expression" dxfId="421" priority="497">
      <formula>"&gt;&lt;0"</formula>
    </cfRule>
    <cfRule type="expression" priority="494">
      <formula>"""&gt;&lt;0"""</formula>
    </cfRule>
  </conditionalFormatting>
  <conditionalFormatting sqref="F137:G137">
    <cfRule type="expression" dxfId="420" priority="492">
      <formula>"&gt;&lt;0"</formula>
    </cfRule>
  </conditionalFormatting>
  <conditionalFormatting sqref="F137:G139">
    <cfRule type="expression" priority="451">
      <formula>"""&gt;&lt;0"""</formula>
    </cfRule>
  </conditionalFormatting>
  <conditionalFormatting sqref="F138:G138">
    <cfRule type="expression" dxfId="419" priority="463">
      <formula>"&gt;=0"</formula>
    </cfRule>
    <cfRule type="expression" dxfId="418" priority="465">
      <formula>"&lt;&gt;0"</formula>
    </cfRule>
  </conditionalFormatting>
  <conditionalFormatting sqref="F138:G139">
    <cfRule type="expression" dxfId="417" priority="454">
      <formula>"&gt;&lt;0"</formula>
    </cfRule>
  </conditionalFormatting>
  <conditionalFormatting sqref="F139:G139">
    <cfRule type="expression" dxfId="416" priority="452">
      <formula>"&gt;&lt;0"</formula>
    </cfRule>
    <cfRule type="expression" dxfId="415" priority="453">
      <formula>"&gt;=0"</formula>
    </cfRule>
    <cfRule type="expression" dxfId="414" priority="455">
      <formula>"&lt;&gt;0"</formula>
    </cfRule>
  </conditionalFormatting>
  <conditionalFormatting sqref="F141:G141">
    <cfRule type="expression" priority="256">
      <formula>"""&gt;&lt;0"""</formula>
    </cfRule>
    <cfRule type="expression" dxfId="413" priority="259">
      <formula>"&gt;&lt;0"</formula>
    </cfRule>
  </conditionalFormatting>
  <conditionalFormatting sqref="F143:G145">
    <cfRule type="expression" priority="484">
      <formula>"""&gt;&lt;0"""</formula>
    </cfRule>
    <cfRule type="expression" dxfId="412" priority="487">
      <formula>"&gt;&lt;0"</formula>
    </cfRule>
  </conditionalFormatting>
  <conditionalFormatting sqref="F147:G147 F151:G152">
    <cfRule type="expression" dxfId="411" priority="482">
      <formula>"&gt;&lt;0"</formula>
    </cfRule>
  </conditionalFormatting>
  <conditionalFormatting sqref="F147:G152">
    <cfRule type="expression" priority="221">
      <formula>"""&gt;&lt;0"""</formula>
    </cfRule>
  </conditionalFormatting>
  <conditionalFormatting sqref="F148:G150">
    <cfRule type="expression" dxfId="410" priority="223">
      <formula>"&gt;=0"</formula>
    </cfRule>
    <cfRule type="expression" dxfId="409" priority="225">
      <formula>"&lt;&gt;0"</formula>
    </cfRule>
    <cfRule type="expression" dxfId="408" priority="222">
      <formula>"&gt;&lt;0"</formula>
    </cfRule>
  </conditionalFormatting>
  <conditionalFormatting sqref="G12 G16:G18 G20:G21">
    <cfRule type="expression" dxfId="407" priority="608">
      <formula>"&lt;&gt;0"</formula>
    </cfRule>
    <cfRule type="expression" dxfId="406" priority="607">
      <formula>"&gt;&lt;0"</formula>
    </cfRule>
    <cfRule type="expression" dxfId="405" priority="606">
      <formula>"&gt;=0"</formula>
    </cfRule>
  </conditionalFormatting>
  <conditionalFormatting sqref="G13">
    <cfRule type="expression" dxfId="404" priority="439">
      <formula>"&gt;&lt;0"</formula>
    </cfRule>
  </conditionalFormatting>
  <conditionalFormatting sqref="G14:G15">
    <cfRule type="expression" dxfId="403" priority="249">
      <formula>"&gt;&lt;0"</formula>
    </cfRule>
    <cfRule type="expression" dxfId="402" priority="250">
      <formula>"&lt;&gt;0"</formula>
    </cfRule>
    <cfRule type="expression" dxfId="401" priority="248">
      <formula>"&gt;=0"</formula>
    </cfRule>
  </conditionalFormatting>
  <conditionalFormatting sqref="G19">
    <cfRule type="expression" dxfId="400" priority="374">
      <formula>"&gt;&lt;0"</formula>
    </cfRule>
  </conditionalFormatting>
  <conditionalFormatting sqref="G22">
    <cfRule type="expression" dxfId="399" priority="363">
      <formula>"&gt;=0"</formula>
    </cfRule>
    <cfRule type="expression" dxfId="398" priority="365">
      <formula>"&lt;&gt;0"</formula>
    </cfRule>
    <cfRule type="expression" dxfId="397" priority="364">
      <formula>"&gt;&lt;0"</formula>
    </cfRule>
  </conditionalFormatting>
  <conditionalFormatting sqref="G23">
    <cfRule type="expression" dxfId="396" priority="354">
      <formula>"&gt;&lt;0"</formula>
    </cfRule>
  </conditionalFormatting>
  <conditionalFormatting sqref="G33">
    <cfRule type="expression" dxfId="395" priority="418">
      <formula>"&gt;=0"</formula>
    </cfRule>
    <cfRule type="expression" dxfId="394" priority="419">
      <formula>"&gt;&lt;0"</formula>
    </cfRule>
    <cfRule type="expression" dxfId="393" priority="420">
      <formula>"&lt;&gt;0"</formula>
    </cfRule>
  </conditionalFormatting>
  <conditionalFormatting sqref="G35:G46">
    <cfRule type="expression" dxfId="392" priority="548">
      <formula>"&lt;&gt;0"</formula>
    </cfRule>
    <cfRule type="expression" dxfId="391" priority="547">
      <formula>"&gt;&lt;0"</formula>
    </cfRule>
    <cfRule type="expression" dxfId="390" priority="546">
      <formula>"&gt;=0"</formula>
    </cfRule>
  </conditionalFormatting>
  <conditionalFormatting sqref="G50">
    <cfRule type="expression" dxfId="389" priority="518">
      <formula>"&lt;&gt;0"</formula>
    </cfRule>
    <cfRule type="expression" dxfId="388" priority="516">
      <formula>"&gt;=0"</formula>
    </cfRule>
  </conditionalFormatting>
  <conditionalFormatting sqref="G50:G52">
    <cfRule type="expression" dxfId="387" priority="339">
      <formula>"&gt;&lt;0"</formula>
    </cfRule>
  </conditionalFormatting>
  <conditionalFormatting sqref="G52">
    <cfRule type="expression" dxfId="386" priority="423">
      <formula>"&gt;=0"</formula>
    </cfRule>
    <cfRule type="expression" dxfId="385" priority="425">
      <formula>"&lt;&gt;0"</formula>
    </cfRule>
  </conditionalFormatting>
  <conditionalFormatting sqref="G53:G54">
    <cfRule type="expression" dxfId="384" priority="233">
      <formula>"&gt;=0"</formula>
    </cfRule>
    <cfRule type="expression" dxfId="383" priority="235">
      <formula>"&lt;&gt;0"</formula>
    </cfRule>
    <cfRule type="expression" dxfId="382" priority="232">
      <formula>"&gt;&lt;0"</formula>
    </cfRule>
  </conditionalFormatting>
  <conditionalFormatting sqref="G60:G61 G81">
    <cfRule type="expression" dxfId="381" priority="511">
      <formula>"&gt;=0"</formula>
    </cfRule>
    <cfRule type="expression" dxfId="380" priority="513">
      <formula>"&lt;&gt;0"</formula>
    </cfRule>
  </conditionalFormatting>
  <conditionalFormatting sqref="G60:G62">
    <cfRule type="expression" dxfId="379" priority="199">
      <formula>"&gt;&lt;0"</formula>
    </cfRule>
  </conditionalFormatting>
  <conditionalFormatting sqref="G79:G81">
    <cfRule type="expression" dxfId="378" priority="29">
      <formula>"&gt;&lt;0"</formula>
    </cfRule>
  </conditionalFormatting>
  <conditionalFormatting sqref="G83:G89">
    <cfRule type="expression" dxfId="377" priority="506">
      <formula>"&gt;=0"</formula>
    </cfRule>
    <cfRule type="expression" dxfId="376" priority="508">
      <formula>"&lt;&gt;0"</formula>
    </cfRule>
    <cfRule type="expression" dxfId="375" priority="505">
      <formula>"&gt;&lt;0"</formula>
    </cfRule>
  </conditionalFormatting>
  <conditionalFormatting sqref="G91">
    <cfRule type="expression" dxfId="374" priority="210">
      <formula>"&lt;&gt;0"</formula>
    </cfRule>
    <cfRule type="expression" dxfId="373" priority="209">
      <formula>"&gt;&lt;0"</formula>
    </cfRule>
    <cfRule type="expression" dxfId="372" priority="208">
      <formula>"&gt;=0"</formula>
    </cfRule>
    <cfRule type="expression" dxfId="371" priority="207">
      <formula>"&gt;&lt;0"</formula>
    </cfRule>
  </conditionalFormatting>
  <conditionalFormatting sqref="G92:G93">
    <cfRule type="expression" dxfId="370" priority="502">
      <formula>"&gt;&lt;0"</formula>
    </cfRule>
    <cfRule type="expression" dxfId="369" priority="503">
      <formula>"&lt;&gt;0"</formula>
    </cfRule>
    <cfRule type="expression" dxfId="368" priority="501">
      <formula>"&gt;=0"</formula>
    </cfRule>
  </conditionalFormatting>
  <conditionalFormatting sqref="G92:G94">
    <cfRule type="expression" dxfId="367" priority="324">
      <formula>"&gt;&lt;0"</formula>
    </cfRule>
  </conditionalFormatting>
  <conditionalFormatting sqref="G95">
    <cfRule type="expression" dxfId="366" priority="213">
      <formula>"&gt;=0"</formula>
    </cfRule>
    <cfRule type="expression" dxfId="365" priority="215">
      <formula>"&lt;&gt;0"</formula>
    </cfRule>
    <cfRule type="expression" dxfId="364" priority="212">
      <formula>"&gt;&lt;0"</formula>
    </cfRule>
  </conditionalFormatting>
  <conditionalFormatting sqref="G96">
    <cfRule type="expression" dxfId="363" priority="405">
      <formula>"&lt;&gt;0"</formula>
    </cfRule>
    <cfRule type="expression" dxfId="362" priority="403">
      <formula>"&gt;=0"</formula>
    </cfRule>
  </conditionalFormatting>
  <conditionalFormatting sqref="G96:G99">
    <cfRule type="expression" dxfId="361" priority="314">
      <formula>"&gt;&lt;0"</formula>
    </cfRule>
  </conditionalFormatting>
  <conditionalFormatting sqref="G99">
    <cfRule type="expression" dxfId="360" priority="395">
      <formula>"&lt;&gt;0"</formula>
    </cfRule>
    <cfRule type="expression" dxfId="359" priority="393">
      <formula>"&gt;=0"</formula>
    </cfRule>
  </conditionalFormatting>
  <conditionalFormatting sqref="G102:G111 G113:G118">
    <cfRule type="expression" dxfId="358" priority="586">
      <formula>"&gt;=0"</formula>
    </cfRule>
    <cfRule type="expression" dxfId="357" priority="588">
      <formula>"&lt;&gt;0"</formula>
    </cfRule>
    <cfRule type="expression" dxfId="356" priority="587">
      <formula>"&gt;&lt;0"</formula>
    </cfRule>
  </conditionalFormatting>
  <conditionalFormatting sqref="G103">
    <cfRule type="expression" dxfId="355" priority="536">
      <formula>"&gt;=0"</formula>
    </cfRule>
    <cfRule type="expression" dxfId="354" priority="537">
      <formula>"&gt;&lt;0"</formula>
    </cfRule>
    <cfRule type="expression" dxfId="353" priority="538">
      <formula>"&lt;&gt;0"</formula>
    </cfRule>
  </conditionalFormatting>
  <conditionalFormatting sqref="G106:G109">
    <cfRule type="expression" dxfId="352" priority="526">
      <formula>"&gt;=0"</formula>
    </cfRule>
    <cfRule type="expression" dxfId="351" priority="528">
      <formula>"&lt;&gt;0"</formula>
    </cfRule>
  </conditionalFormatting>
  <conditionalFormatting sqref="G106:G111">
    <cfRule type="expression" dxfId="350" priority="527">
      <formula>"&gt;&lt;0"</formula>
    </cfRule>
  </conditionalFormatting>
  <conditionalFormatting sqref="G110:G111 G113:G118">
    <cfRule type="expression" dxfId="349" priority="551">
      <formula>"&gt;=0"</formula>
    </cfRule>
    <cfRule type="expression" dxfId="348" priority="553">
      <formula>"&lt;&gt;0"</formula>
    </cfRule>
  </conditionalFormatting>
  <conditionalFormatting sqref="G112">
    <cfRule type="expression" dxfId="347" priority="293">
      <formula>"&gt;=0"</formula>
    </cfRule>
    <cfRule type="expression" dxfId="346" priority="292">
      <formula>"&gt;&lt;0"</formula>
    </cfRule>
    <cfRule type="expression" dxfId="345" priority="308">
      <formula>"&gt;=0"</formula>
    </cfRule>
    <cfRule type="expression" dxfId="344" priority="295">
      <formula>"&lt;&gt;0"</formula>
    </cfRule>
    <cfRule type="expression" dxfId="343" priority="310">
      <formula>"&lt;&gt;0"</formula>
    </cfRule>
  </conditionalFormatting>
  <conditionalFormatting sqref="G112:G118">
    <cfRule type="expression" dxfId="342" priority="309">
      <formula>"&gt;&lt;0"</formula>
    </cfRule>
  </conditionalFormatting>
  <conditionalFormatting sqref="G119">
    <cfRule type="expression" dxfId="341" priority="290">
      <formula>"&lt;&gt;0"</formula>
    </cfRule>
    <cfRule type="expression" dxfId="340" priority="288">
      <formula>"&gt;=0"</formula>
    </cfRule>
    <cfRule type="expression" dxfId="339" priority="275">
      <formula>"&lt;&gt;0"</formula>
    </cfRule>
    <cfRule type="expression" dxfId="338" priority="273">
      <formula>"&gt;=0"</formula>
    </cfRule>
    <cfRule type="expression" dxfId="337" priority="289">
      <formula>"&gt;&lt;0"</formula>
    </cfRule>
  </conditionalFormatting>
  <conditionalFormatting sqref="G119:G120">
    <cfRule type="expression" dxfId="336" priority="24">
      <formula>"&gt;&lt;0"</formula>
    </cfRule>
  </conditionalFormatting>
  <conditionalFormatting sqref="G120">
    <cfRule type="expression" dxfId="335" priority="7">
      <formula>"&gt;&lt;0"</formula>
    </cfRule>
    <cfRule type="expression" dxfId="334" priority="8">
      <formula>"&gt;=0"</formula>
    </cfRule>
    <cfRule type="expression" dxfId="333" priority="10">
      <formula>"&lt;&gt;0"</formula>
    </cfRule>
    <cfRule type="expression" dxfId="332" priority="23">
      <formula>"&gt;=0"</formula>
    </cfRule>
    <cfRule type="expression" dxfId="331" priority="25">
      <formula>"&lt;&gt;0"</formula>
    </cfRule>
  </conditionalFormatting>
  <conditionalFormatting sqref="G134:G135">
    <cfRule type="expression" dxfId="330" priority="495">
      <formula>"&gt;&lt;0"</formula>
    </cfRule>
    <cfRule type="expression" dxfId="329" priority="496">
      <formula>"&gt;=0"</formula>
    </cfRule>
    <cfRule type="expression" dxfId="328" priority="498">
      <formula>"&lt;&gt;0"</formula>
    </cfRule>
  </conditionalFormatting>
  <conditionalFormatting sqref="G137">
    <cfRule type="expression" dxfId="327" priority="491">
      <formula>"&gt;=0"</formula>
    </cfRule>
    <cfRule type="expression" dxfId="326" priority="493">
      <formula>"&lt;&gt;0"</formula>
    </cfRule>
  </conditionalFormatting>
  <conditionalFormatting sqref="G137:G138">
    <cfRule type="expression" dxfId="325" priority="464">
      <formula>"&gt;&lt;0"</formula>
    </cfRule>
  </conditionalFormatting>
  <conditionalFormatting sqref="G141">
    <cfRule type="expression" dxfId="324" priority="257">
      <formula>"&gt;&lt;0"</formula>
    </cfRule>
    <cfRule type="expression" dxfId="323" priority="258">
      <formula>"&gt;=0"</formula>
    </cfRule>
    <cfRule type="expression" dxfId="322" priority="260">
      <formula>"&lt;&gt;0"</formula>
    </cfRule>
  </conditionalFormatting>
  <conditionalFormatting sqref="G143:G145">
    <cfRule type="expression" dxfId="321" priority="485">
      <formula>"&gt;&lt;0"</formula>
    </cfRule>
    <cfRule type="expression" dxfId="320" priority="486">
      <formula>"&gt;=0"</formula>
    </cfRule>
    <cfRule type="expression" dxfId="319" priority="488">
      <formula>"&lt;&gt;0"</formula>
    </cfRule>
  </conditionalFormatting>
  <conditionalFormatting sqref="G147 G151:G152">
    <cfRule type="expression" dxfId="318" priority="483">
      <formula>"&lt;&gt;0"</formula>
    </cfRule>
    <cfRule type="expression" dxfId="317" priority="481">
      <formula>"&gt;=0"</formula>
    </cfRule>
  </conditionalFormatting>
  <conditionalFormatting sqref="G147:G152">
    <cfRule type="expression" dxfId="316" priority="224">
      <formula>"&gt;&lt;0"</formula>
    </cfRule>
  </conditionalFormatting>
  <conditionalFormatting sqref="I199:J199">
    <cfRule type="cellIs" dxfId="315" priority="471" stopIfTrue="1" operator="notEqual">
      <formula>0</formula>
    </cfRule>
  </conditionalFormatting>
  <conditionalFormatting sqref="I234:J234">
    <cfRule type="cellIs" dxfId="314" priority="474" stopIfTrue="1" operator="notEqual">
      <formula>0</formula>
    </cfRule>
    <cfRule type="cellIs" dxfId="313" priority="472" operator="notEqual">
      <formula>0</formula>
    </cfRule>
  </conditionalFormatting>
  <conditionalFormatting sqref="I259:J259">
    <cfRule type="cellIs" dxfId="312" priority="475" stopIfTrue="1" operator="notEqual">
      <formula>0</formula>
    </cfRule>
  </conditionalFormatting>
  <conditionalFormatting sqref="L199 I209:L209 I223:J223 I242:J242 I249:J249">
    <cfRule type="cellIs" dxfId="311" priority="478" stopIfTrue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A25F-FD9A-47CA-AA93-9D47BC53C18E}">
  <sheetPr>
    <tabColor theme="9" tint="0.79998168889431442"/>
  </sheetPr>
  <dimension ref="B1:AC261"/>
  <sheetViews>
    <sheetView zoomScaleNormal="100" workbookViewId="0">
      <pane xSplit="5" ySplit="7" topLeftCell="F124" activePane="bottomRight" state="frozen"/>
      <selection activeCell="Z107" sqref="Z107"/>
      <selection pane="topRight" activeCell="Z107" sqref="Z107"/>
      <selection pane="bottomLeft" activeCell="Z107" sqref="Z107"/>
      <selection pane="bottomRight" activeCell="D180" sqref="D180"/>
    </sheetView>
  </sheetViews>
  <sheetFormatPr defaultRowHeight="12"/>
  <cols>
    <col min="1" max="1" width="3" style="114" customWidth="1"/>
    <col min="2" max="2" width="7.375" style="114" customWidth="1"/>
    <col min="3" max="3" width="17.375" style="114" customWidth="1"/>
    <col min="4" max="5" width="14.5" style="114" customWidth="1"/>
    <col min="6" max="6" width="12.75" style="114" customWidth="1"/>
    <col min="7" max="7" width="14.625" style="114" customWidth="1"/>
    <col min="8" max="8" width="12.75" style="114" customWidth="1"/>
    <col min="9" max="9" width="13.75" style="114" customWidth="1"/>
    <col min="10" max="13" width="12.75" style="114" customWidth="1"/>
    <col min="14" max="22" width="12.75" style="115" customWidth="1"/>
    <col min="23" max="23" width="14.625" style="115" customWidth="1"/>
    <col min="24" max="24" width="14.625" style="114" customWidth="1"/>
    <col min="25" max="26" width="14.375" style="114" customWidth="1"/>
    <col min="27" max="251" width="8.75" style="114"/>
    <col min="252" max="252" width="3" style="114" customWidth="1"/>
    <col min="253" max="253" width="17.375" style="114" customWidth="1"/>
    <col min="254" max="272" width="12.75" style="114" customWidth="1"/>
    <col min="273" max="274" width="16.75" style="114" customWidth="1"/>
    <col min="275" max="507" width="8.75" style="114"/>
    <col min="508" max="508" width="3" style="114" customWidth="1"/>
    <col min="509" max="509" width="17.375" style="114" customWidth="1"/>
    <col min="510" max="528" width="12.75" style="114" customWidth="1"/>
    <col min="529" max="530" width="16.75" style="114" customWidth="1"/>
    <col min="531" max="763" width="8.75" style="114"/>
    <col min="764" max="764" width="3" style="114" customWidth="1"/>
    <col min="765" max="765" width="17.375" style="114" customWidth="1"/>
    <col min="766" max="784" width="12.75" style="114" customWidth="1"/>
    <col min="785" max="786" width="16.75" style="114" customWidth="1"/>
    <col min="787" max="1019" width="8.75" style="114"/>
    <col min="1020" max="1020" width="3" style="114" customWidth="1"/>
    <col min="1021" max="1021" width="17.375" style="114" customWidth="1"/>
    <col min="1022" max="1040" width="12.75" style="114" customWidth="1"/>
    <col min="1041" max="1042" width="16.75" style="114" customWidth="1"/>
    <col min="1043" max="1275" width="8.75" style="114"/>
    <col min="1276" max="1276" width="3" style="114" customWidth="1"/>
    <col min="1277" max="1277" width="17.375" style="114" customWidth="1"/>
    <col min="1278" max="1296" width="12.75" style="114" customWidth="1"/>
    <col min="1297" max="1298" width="16.75" style="114" customWidth="1"/>
    <col min="1299" max="1531" width="8.75" style="114"/>
    <col min="1532" max="1532" width="3" style="114" customWidth="1"/>
    <col min="1533" max="1533" width="17.375" style="114" customWidth="1"/>
    <col min="1534" max="1552" width="12.75" style="114" customWidth="1"/>
    <col min="1553" max="1554" width="16.75" style="114" customWidth="1"/>
    <col min="1555" max="1787" width="8.75" style="114"/>
    <col min="1788" max="1788" width="3" style="114" customWidth="1"/>
    <col min="1789" max="1789" width="17.375" style="114" customWidth="1"/>
    <col min="1790" max="1808" width="12.75" style="114" customWidth="1"/>
    <col min="1809" max="1810" width="16.75" style="114" customWidth="1"/>
    <col min="1811" max="2043" width="8.75" style="114"/>
    <col min="2044" max="2044" width="3" style="114" customWidth="1"/>
    <col min="2045" max="2045" width="17.375" style="114" customWidth="1"/>
    <col min="2046" max="2064" width="12.75" style="114" customWidth="1"/>
    <col min="2065" max="2066" width="16.75" style="114" customWidth="1"/>
    <col min="2067" max="2299" width="8.75" style="114"/>
    <col min="2300" max="2300" width="3" style="114" customWidth="1"/>
    <col min="2301" max="2301" width="17.375" style="114" customWidth="1"/>
    <col min="2302" max="2320" width="12.75" style="114" customWidth="1"/>
    <col min="2321" max="2322" width="16.75" style="114" customWidth="1"/>
    <col min="2323" max="2555" width="8.75" style="114"/>
    <col min="2556" max="2556" width="3" style="114" customWidth="1"/>
    <col min="2557" max="2557" width="17.375" style="114" customWidth="1"/>
    <col min="2558" max="2576" width="12.75" style="114" customWidth="1"/>
    <col min="2577" max="2578" width="16.75" style="114" customWidth="1"/>
    <col min="2579" max="2811" width="8.75" style="114"/>
    <col min="2812" max="2812" width="3" style="114" customWidth="1"/>
    <col min="2813" max="2813" width="17.375" style="114" customWidth="1"/>
    <col min="2814" max="2832" width="12.75" style="114" customWidth="1"/>
    <col min="2833" max="2834" width="16.75" style="114" customWidth="1"/>
    <col min="2835" max="3067" width="8.75" style="114"/>
    <col min="3068" max="3068" width="3" style="114" customWidth="1"/>
    <col min="3069" max="3069" width="17.375" style="114" customWidth="1"/>
    <col min="3070" max="3088" width="12.75" style="114" customWidth="1"/>
    <col min="3089" max="3090" width="16.75" style="114" customWidth="1"/>
    <col min="3091" max="3323" width="8.75" style="114"/>
    <col min="3324" max="3324" width="3" style="114" customWidth="1"/>
    <col min="3325" max="3325" width="17.375" style="114" customWidth="1"/>
    <col min="3326" max="3344" width="12.75" style="114" customWidth="1"/>
    <col min="3345" max="3346" width="16.75" style="114" customWidth="1"/>
    <col min="3347" max="3579" width="8.75" style="114"/>
    <col min="3580" max="3580" width="3" style="114" customWidth="1"/>
    <col min="3581" max="3581" width="17.375" style="114" customWidth="1"/>
    <col min="3582" max="3600" width="12.75" style="114" customWidth="1"/>
    <col min="3601" max="3602" width="16.75" style="114" customWidth="1"/>
    <col min="3603" max="3835" width="8.75" style="114"/>
    <col min="3836" max="3836" width="3" style="114" customWidth="1"/>
    <col min="3837" max="3837" width="17.375" style="114" customWidth="1"/>
    <col min="3838" max="3856" width="12.75" style="114" customWidth="1"/>
    <col min="3857" max="3858" width="16.75" style="114" customWidth="1"/>
    <col min="3859" max="4091" width="8.75" style="114"/>
    <col min="4092" max="4092" width="3" style="114" customWidth="1"/>
    <col min="4093" max="4093" width="17.375" style="114" customWidth="1"/>
    <col min="4094" max="4112" width="12.75" style="114" customWidth="1"/>
    <col min="4113" max="4114" width="16.75" style="114" customWidth="1"/>
    <col min="4115" max="4347" width="8.75" style="114"/>
    <col min="4348" max="4348" width="3" style="114" customWidth="1"/>
    <col min="4349" max="4349" width="17.375" style="114" customWidth="1"/>
    <col min="4350" max="4368" width="12.75" style="114" customWidth="1"/>
    <col min="4369" max="4370" width="16.75" style="114" customWidth="1"/>
    <col min="4371" max="4603" width="8.75" style="114"/>
    <col min="4604" max="4604" width="3" style="114" customWidth="1"/>
    <col min="4605" max="4605" width="17.375" style="114" customWidth="1"/>
    <col min="4606" max="4624" width="12.75" style="114" customWidth="1"/>
    <col min="4625" max="4626" width="16.75" style="114" customWidth="1"/>
    <col min="4627" max="4859" width="8.75" style="114"/>
    <col min="4860" max="4860" width="3" style="114" customWidth="1"/>
    <col min="4861" max="4861" width="17.375" style="114" customWidth="1"/>
    <col min="4862" max="4880" width="12.75" style="114" customWidth="1"/>
    <col min="4881" max="4882" width="16.75" style="114" customWidth="1"/>
    <col min="4883" max="5115" width="8.75" style="114"/>
    <col min="5116" max="5116" width="3" style="114" customWidth="1"/>
    <col min="5117" max="5117" width="17.375" style="114" customWidth="1"/>
    <col min="5118" max="5136" width="12.75" style="114" customWidth="1"/>
    <col min="5137" max="5138" width="16.75" style="114" customWidth="1"/>
    <col min="5139" max="5371" width="8.75" style="114"/>
    <col min="5372" max="5372" width="3" style="114" customWidth="1"/>
    <col min="5373" max="5373" width="17.375" style="114" customWidth="1"/>
    <col min="5374" max="5392" width="12.75" style="114" customWidth="1"/>
    <col min="5393" max="5394" width="16.75" style="114" customWidth="1"/>
    <col min="5395" max="5627" width="8.75" style="114"/>
    <col min="5628" max="5628" width="3" style="114" customWidth="1"/>
    <col min="5629" max="5629" width="17.375" style="114" customWidth="1"/>
    <col min="5630" max="5648" width="12.75" style="114" customWidth="1"/>
    <col min="5649" max="5650" width="16.75" style="114" customWidth="1"/>
    <col min="5651" max="5883" width="8.75" style="114"/>
    <col min="5884" max="5884" width="3" style="114" customWidth="1"/>
    <col min="5885" max="5885" width="17.375" style="114" customWidth="1"/>
    <col min="5886" max="5904" width="12.75" style="114" customWidth="1"/>
    <col min="5905" max="5906" width="16.75" style="114" customWidth="1"/>
    <col min="5907" max="6139" width="8.75" style="114"/>
    <col min="6140" max="6140" width="3" style="114" customWidth="1"/>
    <col min="6141" max="6141" width="17.375" style="114" customWidth="1"/>
    <col min="6142" max="6160" width="12.75" style="114" customWidth="1"/>
    <col min="6161" max="6162" width="16.75" style="114" customWidth="1"/>
    <col min="6163" max="6395" width="8.75" style="114"/>
    <col min="6396" max="6396" width="3" style="114" customWidth="1"/>
    <col min="6397" max="6397" width="17.375" style="114" customWidth="1"/>
    <col min="6398" max="6416" width="12.75" style="114" customWidth="1"/>
    <col min="6417" max="6418" width="16.75" style="114" customWidth="1"/>
    <col min="6419" max="6651" width="8.75" style="114"/>
    <col min="6652" max="6652" width="3" style="114" customWidth="1"/>
    <col min="6653" max="6653" width="17.375" style="114" customWidth="1"/>
    <col min="6654" max="6672" width="12.75" style="114" customWidth="1"/>
    <col min="6673" max="6674" width="16.75" style="114" customWidth="1"/>
    <col min="6675" max="6907" width="8.75" style="114"/>
    <col min="6908" max="6908" width="3" style="114" customWidth="1"/>
    <col min="6909" max="6909" width="17.375" style="114" customWidth="1"/>
    <col min="6910" max="6928" width="12.75" style="114" customWidth="1"/>
    <col min="6929" max="6930" width="16.75" style="114" customWidth="1"/>
    <col min="6931" max="7163" width="8.75" style="114"/>
    <col min="7164" max="7164" width="3" style="114" customWidth="1"/>
    <col min="7165" max="7165" width="17.375" style="114" customWidth="1"/>
    <col min="7166" max="7184" width="12.75" style="114" customWidth="1"/>
    <col min="7185" max="7186" width="16.75" style="114" customWidth="1"/>
    <col min="7187" max="7419" width="8.75" style="114"/>
    <col min="7420" max="7420" width="3" style="114" customWidth="1"/>
    <col min="7421" max="7421" width="17.375" style="114" customWidth="1"/>
    <col min="7422" max="7440" width="12.75" style="114" customWidth="1"/>
    <col min="7441" max="7442" width="16.75" style="114" customWidth="1"/>
    <col min="7443" max="7675" width="8.75" style="114"/>
    <col min="7676" max="7676" width="3" style="114" customWidth="1"/>
    <col min="7677" max="7677" width="17.375" style="114" customWidth="1"/>
    <col min="7678" max="7696" width="12.75" style="114" customWidth="1"/>
    <col min="7697" max="7698" width="16.75" style="114" customWidth="1"/>
    <col min="7699" max="7931" width="8.75" style="114"/>
    <col min="7932" max="7932" width="3" style="114" customWidth="1"/>
    <col min="7933" max="7933" width="17.375" style="114" customWidth="1"/>
    <col min="7934" max="7952" width="12.75" style="114" customWidth="1"/>
    <col min="7953" max="7954" width="16.75" style="114" customWidth="1"/>
    <col min="7955" max="8187" width="8.75" style="114"/>
    <col min="8188" max="8188" width="3" style="114" customWidth="1"/>
    <col min="8189" max="8189" width="17.375" style="114" customWidth="1"/>
    <col min="8190" max="8208" width="12.75" style="114" customWidth="1"/>
    <col min="8209" max="8210" width="16.75" style="114" customWidth="1"/>
    <col min="8211" max="8443" width="8.75" style="114"/>
    <col min="8444" max="8444" width="3" style="114" customWidth="1"/>
    <col min="8445" max="8445" width="17.375" style="114" customWidth="1"/>
    <col min="8446" max="8464" width="12.75" style="114" customWidth="1"/>
    <col min="8465" max="8466" width="16.75" style="114" customWidth="1"/>
    <col min="8467" max="8699" width="8.75" style="114"/>
    <col min="8700" max="8700" width="3" style="114" customWidth="1"/>
    <col min="8701" max="8701" width="17.375" style="114" customWidth="1"/>
    <col min="8702" max="8720" width="12.75" style="114" customWidth="1"/>
    <col min="8721" max="8722" width="16.75" style="114" customWidth="1"/>
    <col min="8723" max="8955" width="8.75" style="114"/>
    <col min="8956" max="8956" width="3" style="114" customWidth="1"/>
    <col min="8957" max="8957" width="17.375" style="114" customWidth="1"/>
    <col min="8958" max="8976" width="12.75" style="114" customWidth="1"/>
    <col min="8977" max="8978" width="16.75" style="114" customWidth="1"/>
    <col min="8979" max="9211" width="8.75" style="114"/>
    <col min="9212" max="9212" width="3" style="114" customWidth="1"/>
    <col min="9213" max="9213" width="17.375" style="114" customWidth="1"/>
    <col min="9214" max="9232" width="12.75" style="114" customWidth="1"/>
    <col min="9233" max="9234" width="16.75" style="114" customWidth="1"/>
    <col min="9235" max="9467" width="8.75" style="114"/>
    <col min="9468" max="9468" width="3" style="114" customWidth="1"/>
    <col min="9469" max="9469" width="17.375" style="114" customWidth="1"/>
    <col min="9470" max="9488" width="12.75" style="114" customWidth="1"/>
    <col min="9489" max="9490" width="16.75" style="114" customWidth="1"/>
    <col min="9491" max="9723" width="8.75" style="114"/>
    <col min="9724" max="9724" width="3" style="114" customWidth="1"/>
    <col min="9725" max="9725" width="17.375" style="114" customWidth="1"/>
    <col min="9726" max="9744" width="12.75" style="114" customWidth="1"/>
    <col min="9745" max="9746" width="16.75" style="114" customWidth="1"/>
    <col min="9747" max="9979" width="8.75" style="114"/>
    <col min="9980" max="9980" width="3" style="114" customWidth="1"/>
    <col min="9981" max="9981" width="17.375" style="114" customWidth="1"/>
    <col min="9982" max="10000" width="12.75" style="114" customWidth="1"/>
    <col min="10001" max="10002" width="16.75" style="114" customWidth="1"/>
    <col min="10003" max="10235" width="8.75" style="114"/>
    <col min="10236" max="10236" width="3" style="114" customWidth="1"/>
    <col min="10237" max="10237" width="17.375" style="114" customWidth="1"/>
    <col min="10238" max="10256" width="12.75" style="114" customWidth="1"/>
    <col min="10257" max="10258" width="16.75" style="114" customWidth="1"/>
    <col min="10259" max="10491" width="8.75" style="114"/>
    <col min="10492" max="10492" width="3" style="114" customWidth="1"/>
    <col min="10493" max="10493" width="17.375" style="114" customWidth="1"/>
    <col min="10494" max="10512" width="12.75" style="114" customWidth="1"/>
    <col min="10513" max="10514" width="16.75" style="114" customWidth="1"/>
    <col min="10515" max="10747" width="8.75" style="114"/>
    <col min="10748" max="10748" width="3" style="114" customWidth="1"/>
    <col min="10749" max="10749" width="17.375" style="114" customWidth="1"/>
    <col min="10750" max="10768" width="12.75" style="114" customWidth="1"/>
    <col min="10769" max="10770" width="16.75" style="114" customWidth="1"/>
    <col min="10771" max="11003" width="8.75" style="114"/>
    <col min="11004" max="11004" width="3" style="114" customWidth="1"/>
    <col min="11005" max="11005" width="17.375" style="114" customWidth="1"/>
    <col min="11006" max="11024" width="12.75" style="114" customWidth="1"/>
    <col min="11025" max="11026" width="16.75" style="114" customWidth="1"/>
    <col min="11027" max="11259" width="8.75" style="114"/>
    <col min="11260" max="11260" width="3" style="114" customWidth="1"/>
    <col min="11261" max="11261" width="17.375" style="114" customWidth="1"/>
    <col min="11262" max="11280" width="12.75" style="114" customWidth="1"/>
    <col min="11281" max="11282" width="16.75" style="114" customWidth="1"/>
    <col min="11283" max="11515" width="8.75" style="114"/>
    <col min="11516" max="11516" width="3" style="114" customWidth="1"/>
    <col min="11517" max="11517" width="17.375" style="114" customWidth="1"/>
    <col min="11518" max="11536" width="12.75" style="114" customWidth="1"/>
    <col min="11537" max="11538" width="16.75" style="114" customWidth="1"/>
    <col min="11539" max="11771" width="8.75" style="114"/>
    <col min="11772" max="11772" width="3" style="114" customWidth="1"/>
    <col min="11773" max="11773" width="17.375" style="114" customWidth="1"/>
    <col min="11774" max="11792" width="12.75" style="114" customWidth="1"/>
    <col min="11793" max="11794" width="16.75" style="114" customWidth="1"/>
    <col min="11795" max="12027" width="8.75" style="114"/>
    <col min="12028" max="12028" width="3" style="114" customWidth="1"/>
    <col min="12029" max="12029" width="17.375" style="114" customWidth="1"/>
    <col min="12030" max="12048" width="12.75" style="114" customWidth="1"/>
    <col min="12049" max="12050" width="16.75" style="114" customWidth="1"/>
    <col min="12051" max="12283" width="8.75" style="114"/>
    <col min="12284" max="12284" width="3" style="114" customWidth="1"/>
    <col min="12285" max="12285" width="17.375" style="114" customWidth="1"/>
    <col min="12286" max="12304" width="12.75" style="114" customWidth="1"/>
    <col min="12305" max="12306" width="16.75" style="114" customWidth="1"/>
    <col min="12307" max="12539" width="8.75" style="114"/>
    <col min="12540" max="12540" width="3" style="114" customWidth="1"/>
    <col min="12541" max="12541" width="17.375" style="114" customWidth="1"/>
    <col min="12542" max="12560" width="12.75" style="114" customWidth="1"/>
    <col min="12561" max="12562" width="16.75" style="114" customWidth="1"/>
    <col min="12563" max="12795" width="8.75" style="114"/>
    <col min="12796" max="12796" width="3" style="114" customWidth="1"/>
    <col min="12797" max="12797" width="17.375" style="114" customWidth="1"/>
    <col min="12798" max="12816" width="12.75" style="114" customWidth="1"/>
    <col min="12817" max="12818" width="16.75" style="114" customWidth="1"/>
    <col min="12819" max="13051" width="8.75" style="114"/>
    <col min="13052" max="13052" width="3" style="114" customWidth="1"/>
    <col min="13053" max="13053" width="17.375" style="114" customWidth="1"/>
    <col min="13054" max="13072" width="12.75" style="114" customWidth="1"/>
    <col min="13073" max="13074" width="16.75" style="114" customWidth="1"/>
    <col min="13075" max="13307" width="8.75" style="114"/>
    <col min="13308" max="13308" width="3" style="114" customWidth="1"/>
    <col min="13309" max="13309" width="17.375" style="114" customWidth="1"/>
    <col min="13310" max="13328" width="12.75" style="114" customWidth="1"/>
    <col min="13329" max="13330" width="16.75" style="114" customWidth="1"/>
    <col min="13331" max="13563" width="8.75" style="114"/>
    <col min="13564" max="13564" width="3" style="114" customWidth="1"/>
    <col min="13565" max="13565" width="17.375" style="114" customWidth="1"/>
    <col min="13566" max="13584" width="12.75" style="114" customWidth="1"/>
    <col min="13585" max="13586" width="16.75" style="114" customWidth="1"/>
    <col min="13587" max="13819" width="8.75" style="114"/>
    <col min="13820" max="13820" width="3" style="114" customWidth="1"/>
    <col min="13821" max="13821" width="17.375" style="114" customWidth="1"/>
    <col min="13822" max="13840" width="12.75" style="114" customWidth="1"/>
    <col min="13841" max="13842" width="16.75" style="114" customWidth="1"/>
    <col min="13843" max="14075" width="8.75" style="114"/>
    <col min="14076" max="14076" width="3" style="114" customWidth="1"/>
    <col min="14077" max="14077" width="17.375" style="114" customWidth="1"/>
    <col min="14078" max="14096" width="12.75" style="114" customWidth="1"/>
    <col min="14097" max="14098" width="16.75" style="114" customWidth="1"/>
    <col min="14099" max="14331" width="8.75" style="114"/>
    <col min="14332" max="14332" width="3" style="114" customWidth="1"/>
    <col min="14333" max="14333" width="17.375" style="114" customWidth="1"/>
    <col min="14334" max="14352" width="12.75" style="114" customWidth="1"/>
    <col min="14353" max="14354" width="16.75" style="114" customWidth="1"/>
    <col min="14355" max="14587" width="8.75" style="114"/>
    <col min="14588" max="14588" width="3" style="114" customWidth="1"/>
    <col min="14589" max="14589" width="17.375" style="114" customWidth="1"/>
    <col min="14590" max="14608" width="12.75" style="114" customWidth="1"/>
    <col min="14609" max="14610" width="16.75" style="114" customWidth="1"/>
    <col min="14611" max="14843" width="8.75" style="114"/>
    <col min="14844" max="14844" width="3" style="114" customWidth="1"/>
    <col min="14845" max="14845" width="17.375" style="114" customWidth="1"/>
    <col min="14846" max="14864" width="12.75" style="114" customWidth="1"/>
    <col min="14865" max="14866" width="16.75" style="114" customWidth="1"/>
    <col min="14867" max="15099" width="8.75" style="114"/>
    <col min="15100" max="15100" width="3" style="114" customWidth="1"/>
    <col min="15101" max="15101" width="17.375" style="114" customWidth="1"/>
    <col min="15102" max="15120" width="12.75" style="114" customWidth="1"/>
    <col min="15121" max="15122" width="16.75" style="114" customWidth="1"/>
    <col min="15123" max="15355" width="8.75" style="114"/>
    <col min="15356" max="15356" width="3" style="114" customWidth="1"/>
    <col min="15357" max="15357" width="17.375" style="114" customWidth="1"/>
    <col min="15358" max="15376" width="12.75" style="114" customWidth="1"/>
    <col min="15377" max="15378" width="16.75" style="114" customWidth="1"/>
    <col min="15379" max="15611" width="8.75" style="114"/>
    <col min="15612" max="15612" width="3" style="114" customWidth="1"/>
    <col min="15613" max="15613" width="17.375" style="114" customWidth="1"/>
    <col min="15614" max="15632" width="12.75" style="114" customWidth="1"/>
    <col min="15633" max="15634" width="16.75" style="114" customWidth="1"/>
    <col min="15635" max="15867" width="8.75" style="114"/>
    <col min="15868" max="15868" width="3" style="114" customWidth="1"/>
    <col min="15869" max="15869" width="17.375" style="114" customWidth="1"/>
    <col min="15870" max="15888" width="12.75" style="114" customWidth="1"/>
    <col min="15889" max="15890" width="16.75" style="114" customWidth="1"/>
    <col min="15891" max="16123" width="8.75" style="114"/>
    <col min="16124" max="16124" width="3" style="114" customWidth="1"/>
    <col min="16125" max="16125" width="17.375" style="114" customWidth="1"/>
    <col min="16126" max="16144" width="12.75" style="114" customWidth="1"/>
    <col min="16145" max="16146" width="16.75" style="114" customWidth="1"/>
    <col min="16147" max="16384" width="8.75" style="114"/>
  </cols>
  <sheetData>
    <row r="1" spans="2:28">
      <c r="D1" s="114">
        <f>FX!L5</f>
        <v>1157.8</v>
      </c>
      <c r="E1" s="114">
        <f>FX!N5</f>
        <v>1088</v>
      </c>
      <c r="I1" s="114">
        <f>FX!M5</f>
        <v>1182.7</v>
      </c>
      <c r="J1" s="114">
        <f>I1</f>
        <v>1182.7</v>
      </c>
      <c r="K1" s="114">
        <f t="shared" ref="K1:X1" si="0">J1</f>
        <v>1182.7</v>
      </c>
      <c r="L1" s="114">
        <f t="shared" si="0"/>
        <v>1182.7</v>
      </c>
      <c r="M1" s="114">
        <f t="shared" si="0"/>
        <v>1182.7</v>
      </c>
      <c r="N1" s="114">
        <f t="shared" si="0"/>
        <v>1182.7</v>
      </c>
      <c r="O1" s="114">
        <f t="shared" si="0"/>
        <v>1182.7</v>
      </c>
      <c r="P1" s="114">
        <f t="shared" si="0"/>
        <v>1182.7</v>
      </c>
      <c r="Q1" s="114">
        <f t="shared" si="0"/>
        <v>1182.7</v>
      </c>
      <c r="R1" s="114">
        <f t="shared" si="0"/>
        <v>1182.7</v>
      </c>
      <c r="S1" s="114">
        <f t="shared" si="0"/>
        <v>1182.7</v>
      </c>
      <c r="T1" s="114">
        <f t="shared" si="0"/>
        <v>1182.7</v>
      </c>
      <c r="U1" s="114">
        <f t="shared" si="0"/>
        <v>1182.7</v>
      </c>
      <c r="V1" s="114">
        <f t="shared" si="0"/>
        <v>1182.7</v>
      </c>
      <c r="W1" s="114">
        <f t="shared" si="0"/>
        <v>1182.7</v>
      </c>
      <c r="X1" s="114">
        <f t="shared" si="0"/>
        <v>1182.7</v>
      </c>
    </row>
    <row r="2" spans="2:28" ht="17.45" customHeight="1">
      <c r="B2" s="112"/>
      <c r="C2" s="113"/>
      <c r="D2" s="365" t="s">
        <v>542</v>
      </c>
      <c r="E2" s="365"/>
    </row>
    <row r="3" spans="2:28" ht="17.45" customHeight="1">
      <c r="B3" s="112"/>
      <c r="C3" s="113"/>
      <c r="D3" s="365"/>
      <c r="E3" s="365"/>
      <c r="W3" s="116"/>
    </row>
    <row r="4" spans="2:28" s="117" customFormat="1">
      <c r="C4" s="118" t="str">
        <f>[197]정산표!C5</f>
        <v>Balance Verification</v>
      </c>
      <c r="D4" s="119">
        <f>D100-D154</f>
        <v>0</v>
      </c>
      <c r="E4" s="119">
        <f>E100-E154</f>
        <v>544000000</v>
      </c>
      <c r="F4" s="117" t="s">
        <v>543</v>
      </c>
      <c r="G4" s="120">
        <f>SUM(G8:G154)</f>
        <v>0</v>
      </c>
      <c r="I4" s="121"/>
      <c r="N4" s="122"/>
      <c r="O4" s="122"/>
      <c r="P4" s="122"/>
      <c r="Q4" s="122"/>
      <c r="R4" s="122"/>
      <c r="S4" s="122"/>
      <c r="T4" s="123" t="s">
        <v>544</v>
      </c>
      <c r="U4" s="124"/>
      <c r="V4" s="125">
        <f>T155-V155</f>
        <v>0</v>
      </c>
      <c r="W4" s="122"/>
      <c r="X4" s="126">
        <f>SUM(W10:W154)-SUM(X10:X154)</f>
        <v>0</v>
      </c>
      <c r="Y4" s="122"/>
      <c r="Z4" s="126">
        <f>SUM(Y10:Y154)-SUM(Z10:Z154)</f>
        <v>-20300003</v>
      </c>
    </row>
    <row r="5" spans="2:28" s="117" customFormat="1" ht="13.15" customHeight="1">
      <c r="B5" s="366" t="s">
        <v>545</v>
      </c>
      <c r="C5" s="367" t="s">
        <v>546</v>
      </c>
      <c r="D5" s="127">
        <v>43830</v>
      </c>
      <c r="E5" s="127">
        <v>44196</v>
      </c>
      <c r="F5" s="368" t="s">
        <v>547</v>
      </c>
      <c r="G5" s="368" t="s">
        <v>548</v>
      </c>
      <c r="H5" s="128"/>
      <c r="I5" s="128"/>
      <c r="J5" s="128" t="s">
        <v>549</v>
      </c>
      <c r="K5" s="128"/>
      <c r="L5" s="128"/>
      <c r="M5" s="128"/>
      <c r="N5" s="129"/>
      <c r="O5" s="362" t="s">
        <v>550</v>
      </c>
      <c r="P5" s="362"/>
      <c r="Q5" s="361" t="s">
        <v>551</v>
      </c>
      <c r="R5" s="361"/>
      <c r="S5" s="362" t="s">
        <v>552</v>
      </c>
      <c r="T5" s="362"/>
      <c r="U5" s="362"/>
      <c r="V5" s="362"/>
      <c r="W5" s="363" t="s">
        <v>699</v>
      </c>
      <c r="X5" s="363"/>
      <c r="Y5" s="362" t="s">
        <v>601</v>
      </c>
      <c r="Z5" s="362"/>
    </row>
    <row r="6" spans="2:28" s="117" customFormat="1" ht="24">
      <c r="B6" s="367"/>
      <c r="C6" s="367"/>
      <c r="D6" s="130" t="s">
        <v>553</v>
      </c>
      <c r="E6" s="130" t="s">
        <v>553</v>
      </c>
      <c r="F6" s="369"/>
      <c r="G6" s="369"/>
      <c r="H6" s="128" t="s">
        <v>554</v>
      </c>
      <c r="I6" s="128" t="s">
        <v>555</v>
      </c>
      <c r="J6" s="128" t="s">
        <v>556</v>
      </c>
      <c r="K6" s="128" t="s">
        <v>557</v>
      </c>
      <c r="L6" s="128" t="s">
        <v>558</v>
      </c>
      <c r="M6" s="128" t="s">
        <v>559</v>
      </c>
      <c r="N6" s="131" t="s">
        <v>560</v>
      </c>
      <c r="O6" s="132" t="s">
        <v>561</v>
      </c>
      <c r="P6" s="132" t="s">
        <v>562</v>
      </c>
      <c r="Q6" s="129" t="s">
        <v>561</v>
      </c>
      <c r="R6" s="129" t="s">
        <v>562</v>
      </c>
      <c r="S6" s="132" t="s">
        <v>563</v>
      </c>
      <c r="T6" s="132" t="s">
        <v>564</v>
      </c>
      <c r="U6" s="132" t="s">
        <v>563</v>
      </c>
      <c r="V6" s="132" t="s">
        <v>565</v>
      </c>
      <c r="W6" s="133" t="s">
        <v>564</v>
      </c>
      <c r="X6" s="133" t="s">
        <v>565</v>
      </c>
      <c r="Y6" s="188" t="s">
        <v>750</v>
      </c>
      <c r="Z6" s="188" t="s">
        <v>751</v>
      </c>
    </row>
    <row r="7" spans="2:28">
      <c r="B7" s="134"/>
      <c r="C7" s="134" t="s">
        <v>14</v>
      </c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</row>
    <row r="8" spans="2:28">
      <c r="B8" s="134"/>
      <c r="C8" s="134" t="s">
        <v>566</v>
      </c>
      <c r="D8" s="136">
        <f>D9+D34</f>
        <v>1049847886</v>
      </c>
      <c r="E8" s="136">
        <f>E9+E34</f>
        <v>1235099808</v>
      </c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</row>
    <row r="9" spans="2:28">
      <c r="B9" s="137"/>
      <c r="C9" s="137" t="s">
        <v>567</v>
      </c>
      <c r="D9" s="138">
        <f>SUM(D10:D33)</f>
        <v>1049847886</v>
      </c>
      <c r="E9" s="138">
        <f>SUM(E10:E33)</f>
        <v>1187534624</v>
      </c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 spans="2:28">
      <c r="B10" s="139" t="s">
        <v>17</v>
      </c>
      <c r="C10" s="139" t="s">
        <v>18</v>
      </c>
      <c r="D10" s="140">
        <f>IFERROR(ROUND(CFwp_US_local!D10*D$1,),)</f>
        <v>1049847886</v>
      </c>
      <c r="E10" s="140">
        <f>IFERROR(ROUND(CFwp_US_local!E10*E$1,),)</f>
        <v>652800</v>
      </c>
      <c r="F10" s="141"/>
      <c r="G10" s="142"/>
      <c r="H10" s="143" t="s">
        <v>568</v>
      </c>
      <c r="I10" s="140">
        <f>IFERROR(ROUND(CFwp_US_local!I10*I$1,),)</f>
        <v>0</v>
      </c>
      <c r="J10" s="140">
        <f>IFERROR(ROUND(CFwp_US_local!J10*J$1,),)</f>
        <v>0</v>
      </c>
      <c r="K10" s="140">
        <f>IFERROR(ROUND(CFwp_US_local!K10*K$1,),)</f>
        <v>0</v>
      </c>
      <c r="L10" s="140">
        <f>IFERROR(ROUND(CFwp_US_local!L10*L$1,),)</f>
        <v>0</v>
      </c>
      <c r="M10" s="140">
        <f>IFERROR(ROUND(CFwp_US_local!M10*M$1,),)</f>
        <v>0</v>
      </c>
      <c r="N10" s="140">
        <f>IFERROR(ROUND(CFwp_US_local!N10*N$1,),)</f>
        <v>0</v>
      </c>
      <c r="O10" s="140">
        <f>IFERROR(ROUND(CFwp_US_local!O10*O$1,),)</f>
        <v>0</v>
      </c>
      <c r="P10" s="140">
        <f>IFERROR(ROUND(CFwp_US_local!P10*P$1,),)</f>
        <v>0</v>
      </c>
      <c r="Q10" s="140">
        <f>IFERROR(ROUND(CFwp_US_local!Q10*Q$1,),)</f>
        <v>0</v>
      </c>
      <c r="R10" s="140">
        <f>IFERROR(ROUND(CFwp_US_local!R10*R$1,),)</f>
        <v>0</v>
      </c>
      <c r="S10" s="140">
        <f>IFERROR(ROUND(CFwp_US_local!S10*S$1,),)</f>
        <v>0</v>
      </c>
      <c r="T10" s="140">
        <f>IFERROR(ROUND(CFwp_US_local!T10*T$1,),)</f>
        <v>0</v>
      </c>
      <c r="U10" s="140">
        <f>IFERROR(ROUND(CFwp_US_local!U10*U$1,),)</f>
        <v>0</v>
      </c>
      <c r="V10" s="140">
        <f>IFERROR(ROUND(CFwp_US_local!V10*V$1,),)</f>
        <v>0</v>
      </c>
      <c r="W10" s="140">
        <f>IFERROR(ROUND(CFwp_US_local!W10*W$1,),)</f>
        <v>0</v>
      </c>
      <c r="X10" s="140">
        <f>IFERROR(ROUND(CFwp_US_local!X10*X$1,),)</f>
        <v>0</v>
      </c>
      <c r="Y10" s="145">
        <v>0</v>
      </c>
      <c r="Z10" s="145">
        <v>0</v>
      </c>
      <c r="AA10" s="182">
        <f>IF(G10&gt;0,G10,0)</f>
        <v>0</v>
      </c>
      <c r="AB10" s="182">
        <f>IF(G10&lt;0,-G10,0)</f>
        <v>0</v>
      </c>
    </row>
    <row r="11" spans="2:28">
      <c r="B11" s="139" t="s">
        <v>21</v>
      </c>
      <c r="C11" s="139" t="s">
        <v>22</v>
      </c>
      <c r="D11" s="140">
        <f>IFERROR(ROUND(CFwp_US_local!D11*D$1,),)</f>
        <v>0</v>
      </c>
      <c r="E11" s="140">
        <f>IFERROR(ROUND(CFwp_US_local!E11*E$1,),)</f>
        <v>1089397416</v>
      </c>
      <c r="F11" s="141"/>
      <c r="G11" s="142"/>
      <c r="H11" s="143" t="s">
        <v>569</v>
      </c>
      <c r="I11" s="140">
        <f>IFERROR(ROUND(CFwp_US_local!I11*I$1,),)</f>
        <v>0</v>
      </c>
      <c r="J11" s="140">
        <f>IFERROR(ROUND(CFwp_US_local!J11*J$1,),)</f>
        <v>0</v>
      </c>
      <c r="K11" s="140">
        <f>IFERROR(ROUND(CFwp_US_local!K11*K$1,),)</f>
        <v>0</v>
      </c>
      <c r="L11" s="140">
        <f>IFERROR(ROUND(CFwp_US_local!L11*L$1,),)</f>
        <v>0</v>
      </c>
      <c r="M11" s="140">
        <f>IFERROR(ROUND(CFwp_US_local!M11*M$1,),)</f>
        <v>0</v>
      </c>
      <c r="N11" s="140">
        <f>IFERROR(ROUND(CFwp_US_local!N11*N$1,),)</f>
        <v>0</v>
      </c>
      <c r="O11" s="140">
        <f>IFERROR(ROUND(CFwp_US_local!O11*O$1,),)</f>
        <v>0</v>
      </c>
      <c r="P11" s="140">
        <f>IFERROR(ROUND(CFwp_US_local!P11*P$1,),)</f>
        <v>0</v>
      </c>
      <c r="Q11" s="140">
        <f>IFERROR(ROUND(CFwp_US_local!Q11*Q$1,),)</f>
        <v>0</v>
      </c>
      <c r="R11" s="140">
        <f>IFERROR(ROUND(CFwp_US_local!R11*R$1,),)</f>
        <v>0</v>
      </c>
      <c r="S11" s="140">
        <f>IFERROR(ROUND(CFwp_US_local!S11*S$1,),)</f>
        <v>0</v>
      </c>
      <c r="T11" s="140">
        <f>IFERROR(ROUND(CFwp_US_local!T11*T$1,),)</f>
        <v>0</v>
      </c>
      <c r="U11" s="140">
        <f>IFERROR(ROUND(CFwp_US_local!U11*U$1,),)</f>
        <v>0</v>
      </c>
      <c r="V11" s="140">
        <f>IFERROR(ROUND(CFwp_US_local!V11*V$1,),)</f>
        <v>0</v>
      </c>
      <c r="W11" s="140">
        <f>IFERROR(ROUND(CFwp_US_local!W11*W$1,),)</f>
        <v>0</v>
      </c>
      <c r="X11" s="140">
        <f>IFERROR(ROUND(CFwp_US_local!X11*X$1,),)</f>
        <v>0</v>
      </c>
      <c r="Y11" s="145">
        <v>0</v>
      </c>
      <c r="Z11" s="145">
        <v>0</v>
      </c>
      <c r="AA11" s="182">
        <f t="shared" ref="AA11:AA13" si="1">IF(G11&gt;0,G11,0)</f>
        <v>0</v>
      </c>
      <c r="AB11" s="182">
        <f t="shared" ref="AB11:AB13" si="2">IF(G11&lt;0,-G11,0)</f>
        <v>0</v>
      </c>
    </row>
    <row r="12" spans="2:28">
      <c r="B12" s="139" t="s">
        <v>23</v>
      </c>
      <c r="C12" s="139" t="s">
        <v>24</v>
      </c>
      <c r="D12" s="140">
        <f>IFERROR(ROUND(CFwp_US_local!D12*D$1,),)</f>
        <v>0</v>
      </c>
      <c r="E12" s="140">
        <f>IFERROR(ROUND(CFwp_US_local!E12*E$1,),)</f>
        <v>0</v>
      </c>
      <c r="F12" s="146"/>
      <c r="G12" s="146"/>
      <c r="H12" s="147"/>
      <c r="I12" s="140">
        <f>IFERROR(ROUND(CFwp_US_local!I12*I$1,),)</f>
        <v>0</v>
      </c>
      <c r="J12" s="140">
        <f>IFERROR(ROUND(CFwp_US_local!J12*J$1,),)</f>
        <v>0</v>
      </c>
      <c r="K12" s="140">
        <f>IFERROR(ROUND(CFwp_US_local!K12*K$1,),)</f>
        <v>0</v>
      </c>
      <c r="L12" s="140">
        <f>IFERROR(ROUND(CFwp_US_local!L12*L$1,),)</f>
        <v>0</v>
      </c>
      <c r="M12" s="140">
        <f>IFERROR(ROUND(CFwp_US_local!M12*M$1,),)</f>
        <v>0</v>
      </c>
      <c r="N12" s="140">
        <f>IFERROR(ROUND(CFwp_US_local!N12*N$1,),)</f>
        <v>0</v>
      </c>
      <c r="O12" s="140">
        <f>IFERROR(ROUND(CFwp_US_local!O12*O$1,),)</f>
        <v>0</v>
      </c>
      <c r="P12" s="140">
        <f>IFERROR(ROUND(CFwp_US_local!P12*P$1,),)</f>
        <v>0</v>
      </c>
      <c r="Q12" s="140">
        <f>IFERROR(ROUND(CFwp_US_local!Q12*Q$1,),)</f>
        <v>0</v>
      </c>
      <c r="R12" s="140">
        <f>IFERROR(ROUND(CFwp_US_local!R12*R$1,),)</f>
        <v>0</v>
      </c>
      <c r="S12" s="140">
        <f>IFERROR(ROUND(CFwp_US_local!S12*S$1,),)</f>
        <v>0</v>
      </c>
      <c r="T12" s="140">
        <f>IFERROR(ROUND(CFwp_US_local!T12*T$1,),)</f>
        <v>0</v>
      </c>
      <c r="U12" s="140">
        <f>IFERROR(ROUND(CFwp_US_local!U12*U$1,),)</f>
        <v>0</v>
      </c>
      <c r="V12" s="140">
        <f>IFERROR(ROUND(CFwp_US_local!V12*V$1,),)</f>
        <v>0</v>
      </c>
      <c r="W12" s="140">
        <f>IFERROR(ROUND(CFwp_US_local!W12*W$1,),)</f>
        <v>0</v>
      </c>
      <c r="X12" s="140">
        <f>IFERROR(ROUND(CFwp_US_local!X12*X$1,),)</f>
        <v>0</v>
      </c>
      <c r="Y12" s="145">
        <v>0</v>
      </c>
      <c r="Z12" s="145">
        <v>0</v>
      </c>
      <c r="AA12" s="182">
        <f t="shared" si="1"/>
        <v>0</v>
      </c>
      <c r="AB12" s="182">
        <f t="shared" si="2"/>
        <v>0</v>
      </c>
    </row>
    <row r="13" spans="2:28">
      <c r="B13" s="139" t="s">
        <v>25</v>
      </c>
      <c r="C13" s="139" t="s">
        <v>26</v>
      </c>
      <c r="D13" s="140">
        <f>IFERROR(ROUND(CFwp_US_local!D13*D$1,),)</f>
        <v>0</v>
      </c>
      <c r="E13" s="140">
        <f>IFERROR(ROUND(CFwp_US_local!E13*E$1,),)</f>
        <v>0</v>
      </c>
      <c r="F13" s="146">
        <f>E13-D13</f>
        <v>0</v>
      </c>
      <c r="G13" s="146">
        <f>J13-K13+N13+O13-P13+Q13-R13-T13+V13+F13-W13+X13-Y13+Z13</f>
        <v>0</v>
      </c>
      <c r="H13" s="147"/>
      <c r="I13" s="140">
        <f>IFERROR(ROUND(CFwp_US_local!I13*I$1,),)</f>
        <v>0</v>
      </c>
      <c r="J13" s="140">
        <f>IFERROR(ROUND(CFwp_US_local!J13*J$1,),)</f>
        <v>0</v>
      </c>
      <c r="K13" s="140">
        <f>IFERROR(ROUND(CFwp_US_local!K13*K$1,),)</f>
        <v>0</v>
      </c>
      <c r="L13" s="140">
        <f>IFERROR(ROUND(CFwp_US_local!L13*L$1,),)</f>
        <v>0</v>
      </c>
      <c r="M13" s="140">
        <f>IFERROR(ROUND(CFwp_US_local!M13*M$1,),)</f>
        <v>0</v>
      </c>
      <c r="N13" s="140">
        <f>IFERROR(ROUND(CFwp_US_local!N13*N$1,),)</f>
        <v>0</v>
      </c>
      <c r="O13" s="140">
        <f>IFERROR(ROUND(CFwp_US_local!O13*O$1,),)</f>
        <v>0</v>
      </c>
      <c r="P13" s="140">
        <f>IFERROR(ROUND(CFwp_US_local!P13*P$1,),)</f>
        <v>0</v>
      </c>
      <c r="Q13" s="140">
        <f>IFERROR(ROUND(CFwp_US_local!Q13*Q$1,),)</f>
        <v>0</v>
      </c>
      <c r="R13" s="140">
        <f>IFERROR(ROUND(CFwp_US_local!R13*R$1,),)</f>
        <v>0</v>
      </c>
      <c r="S13" s="140">
        <f>IFERROR(ROUND(CFwp_US_local!S13*S$1,),)</f>
        <v>0</v>
      </c>
      <c r="T13" s="140">
        <f>IFERROR(ROUND(CFwp_US_local!T13*T$1,),)</f>
        <v>0</v>
      </c>
      <c r="U13" s="140">
        <f>IFERROR(ROUND(CFwp_US_local!U13*U$1,),)</f>
        <v>0</v>
      </c>
      <c r="V13" s="140">
        <f>IFERROR(ROUND(CFwp_US_local!V13*V$1,),)</f>
        <v>0</v>
      </c>
      <c r="W13" s="140">
        <f>IFERROR(ROUND(CFwp_US_local!W13*W$1,),)</f>
        <v>0</v>
      </c>
      <c r="X13" s="140">
        <f>IFERROR(ROUND(CFwp_US_local!X13*X$1,),)</f>
        <v>0</v>
      </c>
      <c r="Y13" s="145">
        <v>0</v>
      </c>
      <c r="Z13" s="145">
        <v>0</v>
      </c>
      <c r="AA13" s="182">
        <f t="shared" si="1"/>
        <v>0</v>
      </c>
      <c r="AB13" s="182">
        <f t="shared" si="2"/>
        <v>0</v>
      </c>
    </row>
    <row r="14" spans="2:28">
      <c r="B14" s="139" t="s">
        <v>29</v>
      </c>
      <c r="C14" s="139" t="s">
        <v>30</v>
      </c>
      <c r="D14" s="140">
        <f>IFERROR(ROUND(CFwp_US_local!D14*D$1,),)</f>
        <v>0</v>
      </c>
      <c r="E14" s="140">
        <f>IFERROR(ROUND(CFwp_US_local!E14*E$1,),)</f>
        <v>0</v>
      </c>
      <c r="F14" s="146">
        <f>E14-D14</f>
        <v>0</v>
      </c>
      <c r="G14" s="146">
        <f t="shared" ref="G14:G34" si="3">J14-K14+N14+O14-P14+Q14-R14-T14+V14+F14-W14+X14-Y14+Z14</f>
        <v>0</v>
      </c>
      <c r="H14" s="147" t="s">
        <v>570</v>
      </c>
      <c r="I14" s="140">
        <f>IFERROR(ROUND(CFwp_US_local!I14*I$1,),)</f>
        <v>0</v>
      </c>
      <c r="J14" s="140">
        <f>IFERROR(ROUND(CFwp_US_local!J14*J$1,),)</f>
        <v>0</v>
      </c>
      <c r="K14" s="140">
        <f>IFERROR(ROUND(CFwp_US_local!K14*K$1,),)</f>
        <v>0</v>
      </c>
      <c r="L14" s="140">
        <f>IFERROR(ROUND(CFwp_US_local!L14*L$1,),)</f>
        <v>0</v>
      </c>
      <c r="M14" s="140">
        <f>IFERROR(ROUND(CFwp_US_local!M14*M$1,),)</f>
        <v>0</v>
      </c>
      <c r="N14" s="140">
        <f>IFERROR(ROUND(CFwp_US_local!N14*N$1,),)</f>
        <v>0</v>
      </c>
      <c r="O14" s="140">
        <f>IFERROR(ROUND(CFwp_US_local!O14*O$1,),)</f>
        <v>0</v>
      </c>
      <c r="P14" s="140">
        <f>IFERROR(ROUND(CFwp_US_local!P14*P$1,),)</f>
        <v>0</v>
      </c>
      <c r="Q14" s="140">
        <f>IFERROR(ROUND(CFwp_US_local!Q14*Q$1,),)</f>
        <v>0</v>
      </c>
      <c r="R14" s="140">
        <f>IFERROR(ROUND(CFwp_US_local!R14*R$1,),)</f>
        <v>0</v>
      </c>
      <c r="S14" s="140">
        <f>IFERROR(ROUND(CFwp_US_local!S14*S$1,),)</f>
        <v>0</v>
      </c>
      <c r="T14" s="140">
        <f>IFERROR(ROUND(CFwp_US_local!T14*T$1,),)</f>
        <v>0</v>
      </c>
      <c r="U14" s="140">
        <f>IFERROR(ROUND(CFwp_US_local!U14*U$1,),)</f>
        <v>0</v>
      </c>
      <c r="V14" s="140">
        <f>IFERROR(ROUND(CFwp_US_local!V14*V$1,),)</f>
        <v>0</v>
      </c>
      <c r="W14" s="140">
        <f>IFERROR(ROUND(CFwp_US_local!W14*W$1,),)</f>
        <v>0</v>
      </c>
      <c r="X14" s="140">
        <f>IFERROR(ROUND(CFwp_US_local!X14*X$1,),)</f>
        <v>0</v>
      </c>
      <c r="Y14" s="145">
        <v>0</v>
      </c>
      <c r="Z14" s="145">
        <v>0</v>
      </c>
      <c r="AA14" s="182">
        <f t="shared" ref="AA14:AA77" si="4">IF(G14&gt;0,G14,0)</f>
        <v>0</v>
      </c>
      <c r="AB14" s="182">
        <f t="shared" ref="AB14:AB77" si="5">IF(G14&lt;0,-G14,0)</f>
        <v>0</v>
      </c>
    </row>
    <row r="15" spans="2:28">
      <c r="B15" s="139"/>
      <c r="C15" s="139"/>
      <c r="D15" s="140"/>
      <c r="E15" s="140"/>
      <c r="F15" s="146"/>
      <c r="G15" s="146"/>
      <c r="H15" s="147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5">
        <v>0</v>
      </c>
      <c r="Z15" s="145">
        <v>0</v>
      </c>
      <c r="AA15" s="182">
        <f t="shared" si="4"/>
        <v>0</v>
      </c>
      <c r="AB15" s="182">
        <f t="shared" si="5"/>
        <v>0</v>
      </c>
    </row>
    <row r="16" spans="2:28">
      <c r="B16" s="139" t="s">
        <v>31</v>
      </c>
      <c r="C16" s="139" t="s">
        <v>32</v>
      </c>
      <c r="D16" s="140">
        <f>IFERROR(ROUND(CFwp_US_local!D16*D$1,),)</f>
        <v>0</v>
      </c>
      <c r="E16" s="140">
        <f>IFERROR(ROUND(CFwp_US_local!E16*E$1,),)</f>
        <v>97484408</v>
      </c>
      <c r="F16" s="146">
        <f t="shared" ref="F16:F45" si="6">E16-D16</f>
        <v>97484408</v>
      </c>
      <c r="G16" s="146">
        <f t="shared" si="3"/>
        <v>0</v>
      </c>
      <c r="H16" s="143" t="s">
        <v>568</v>
      </c>
      <c r="I16" s="140">
        <f>IFERROR(ROUND(CFwp_US_local!I16*I$1,),)</f>
        <v>0</v>
      </c>
      <c r="J16" s="140">
        <f>IFERROR(ROUND(CFwp_US_local!J16*J$1,),)</f>
        <v>0</v>
      </c>
      <c r="K16" s="140">
        <f>IFERROR(ROUND(CFwp_US_local!K16*K$1,),)</f>
        <v>0</v>
      </c>
      <c r="L16" s="140">
        <f>IFERROR(ROUND(CFwp_US_local!L16*L$1,),)</f>
        <v>-105969494</v>
      </c>
      <c r="M16" s="140">
        <f>IFERROR(ROUND(CFwp_US_local!M16*M$1,),)</f>
        <v>0</v>
      </c>
      <c r="N16" s="140">
        <f>IFERROR(ROUND(CFwp_US_local!N16*N$1,),)</f>
        <v>-105969494</v>
      </c>
      <c r="O16" s="140">
        <f>IFERROR(ROUND(CFwp_US_local!O16*O$1,),)</f>
        <v>0</v>
      </c>
      <c r="P16" s="140">
        <f>IFERROR(ROUND(CFwp_US_local!P16*P$1,),)</f>
        <v>0</v>
      </c>
      <c r="Q16" s="140">
        <f>IFERROR(ROUND(CFwp_US_local!Q16*Q$1,),)</f>
        <v>0</v>
      </c>
      <c r="R16" s="140">
        <f>IFERROR(ROUND(CFwp_US_local!R16*R$1,),)</f>
        <v>0</v>
      </c>
      <c r="S16" s="140">
        <f>IFERROR(ROUND(CFwp_US_local!S16*S$1,),)</f>
        <v>0</v>
      </c>
      <c r="T16" s="140">
        <f>IFERROR(ROUND(CFwp_US_local!T16*T$1,),)</f>
        <v>0</v>
      </c>
      <c r="U16" s="140">
        <f>IFERROR(ROUND(CFwp_US_local!U16*U$1,),)</f>
        <v>0</v>
      </c>
      <c r="V16" s="140">
        <f>IFERROR(ROUND(CFwp_US_local!V16*V$1,),)</f>
        <v>0</v>
      </c>
      <c r="W16" s="140">
        <f>IFERROR(ROUND(CFwp_US_local!W16*W$1,),)</f>
        <v>0</v>
      </c>
      <c r="X16" s="140">
        <f>IFERROR(ROUND(CFwp_US_local!X16*X$1,),)</f>
        <v>0</v>
      </c>
      <c r="Y16" s="145">
        <v>0</v>
      </c>
      <c r="Z16" s="145">
        <v>8485086</v>
      </c>
      <c r="AA16" s="182">
        <f t="shared" si="4"/>
        <v>0</v>
      </c>
      <c r="AB16" s="182">
        <f t="shared" si="5"/>
        <v>0</v>
      </c>
    </row>
    <row r="17" spans="2:28">
      <c r="B17" s="139"/>
      <c r="C17" s="139"/>
      <c r="D17" s="140">
        <f>IFERROR(ROUND(CFwp_US_local!D17*D$1,),)</f>
        <v>0</v>
      </c>
      <c r="E17" s="140">
        <f>IFERROR(ROUND(CFwp_US_local!E17*E$1,),)</f>
        <v>0</v>
      </c>
      <c r="F17" s="146"/>
      <c r="G17" s="146">
        <f t="shared" si="3"/>
        <v>0</v>
      </c>
      <c r="H17" s="143" t="s">
        <v>569</v>
      </c>
      <c r="I17" s="140">
        <f>IFERROR(ROUND(CFwp_US_local!I17*I$1,),)</f>
        <v>0</v>
      </c>
      <c r="J17" s="140">
        <f>IFERROR(ROUND(CFwp_US_local!J17*J$1,),)</f>
        <v>0</v>
      </c>
      <c r="K17" s="140">
        <f>IFERROR(ROUND(CFwp_US_local!K17*K$1,),)</f>
        <v>0</v>
      </c>
      <c r="L17" s="140">
        <f>IFERROR(ROUND(CFwp_US_local!L17*L$1,),)</f>
        <v>0</v>
      </c>
      <c r="M17" s="140">
        <f>IFERROR(ROUND(CFwp_US_local!M17*M$1,),)</f>
        <v>0</v>
      </c>
      <c r="N17" s="140">
        <f>IFERROR(ROUND(CFwp_US_local!N17*N$1,),)</f>
        <v>0</v>
      </c>
      <c r="O17" s="140">
        <f>IFERROR(ROUND(CFwp_US_local!O17*O$1,),)</f>
        <v>0</v>
      </c>
      <c r="P17" s="140">
        <f>IFERROR(ROUND(CFwp_US_local!P17*P$1,),)</f>
        <v>0</v>
      </c>
      <c r="Q17" s="140">
        <f>IFERROR(ROUND(CFwp_US_local!Q17*Q$1,),)</f>
        <v>0</v>
      </c>
      <c r="R17" s="140">
        <f>IFERROR(ROUND(CFwp_US_local!R17*R$1,),)</f>
        <v>0</v>
      </c>
      <c r="S17" s="140">
        <f>IFERROR(ROUND(CFwp_US_local!S17*S$1,),)</f>
        <v>0</v>
      </c>
      <c r="T17" s="140">
        <f>IFERROR(ROUND(CFwp_US_local!T17*T$1,),)</f>
        <v>0</v>
      </c>
      <c r="U17" s="140">
        <f>IFERROR(ROUND(CFwp_US_local!U17*U$1,),)</f>
        <v>0</v>
      </c>
      <c r="V17" s="140">
        <f>IFERROR(ROUND(CFwp_US_local!V17*V$1,),)</f>
        <v>0</v>
      </c>
      <c r="W17" s="140">
        <f>IFERROR(ROUND(CFwp_US_local!W17*W$1,),)</f>
        <v>0</v>
      </c>
      <c r="X17" s="140">
        <f>IFERROR(ROUND(CFwp_US_local!X17*X$1,),)</f>
        <v>0</v>
      </c>
      <c r="Y17" s="145">
        <v>0</v>
      </c>
      <c r="Z17" s="145">
        <v>0</v>
      </c>
      <c r="AA17" s="182">
        <f t="shared" si="4"/>
        <v>0</v>
      </c>
      <c r="AB17" s="182">
        <f t="shared" si="5"/>
        <v>0</v>
      </c>
    </row>
    <row r="18" spans="2:28">
      <c r="B18" s="139" t="s">
        <v>35</v>
      </c>
      <c r="C18" s="139" t="s">
        <v>36</v>
      </c>
      <c r="D18" s="140">
        <f>IFERROR(ROUND(CFwp_US_local!D18*D$1,),)</f>
        <v>0</v>
      </c>
      <c r="E18" s="140">
        <f>IFERROR(ROUND(CFwp_US_local!E18*E$1,),)</f>
        <v>0</v>
      </c>
      <c r="F18" s="146">
        <f t="shared" si="6"/>
        <v>0</v>
      </c>
      <c r="G18" s="146">
        <f t="shared" si="3"/>
        <v>0</v>
      </c>
      <c r="H18" s="143" t="s">
        <v>571</v>
      </c>
      <c r="I18" s="140">
        <f>IFERROR(ROUND(CFwp_US_local!I18*I$1,),)</f>
        <v>0</v>
      </c>
      <c r="J18" s="140">
        <f>IFERROR(ROUND(CFwp_US_local!J18*J$1,),)</f>
        <v>0</v>
      </c>
      <c r="K18" s="140">
        <f>IFERROR(ROUND(CFwp_US_local!K18*K$1,),)</f>
        <v>0</v>
      </c>
      <c r="L18" s="140">
        <f>IFERROR(ROUND(CFwp_US_local!L18*L$1,),)</f>
        <v>0</v>
      </c>
      <c r="M18" s="140">
        <f>IFERROR(ROUND(CFwp_US_local!M18*M$1,),)</f>
        <v>0</v>
      </c>
      <c r="N18" s="140">
        <f>IFERROR(ROUND(CFwp_US_local!N18*N$1,),)</f>
        <v>0</v>
      </c>
      <c r="O18" s="140">
        <f>IFERROR(ROUND(CFwp_US_local!O18*O$1,),)</f>
        <v>0</v>
      </c>
      <c r="P18" s="140">
        <f>IFERROR(ROUND(CFwp_US_local!P18*P$1,),)</f>
        <v>0</v>
      </c>
      <c r="Q18" s="140">
        <f>IFERROR(ROUND(CFwp_US_local!Q18*Q$1,),)</f>
        <v>0</v>
      </c>
      <c r="R18" s="140">
        <f>IFERROR(ROUND(CFwp_US_local!R18*R$1,),)</f>
        <v>0</v>
      </c>
      <c r="S18" s="140">
        <f>IFERROR(ROUND(CFwp_US_local!S18*S$1,),)</f>
        <v>0</v>
      </c>
      <c r="T18" s="140">
        <f>IFERROR(ROUND(CFwp_US_local!T18*T$1,),)</f>
        <v>0</v>
      </c>
      <c r="U18" s="140">
        <f>IFERROR(ROUND(CFwp_US_local!U18*U$1,),)</f>
        <v>0</v>
      </c>
      <c r="V18" s="140">
        <f>IFERROR(ROUND(CFwp_US_local!V18*V$1,),)</f>
        <v>0</v>
      </c>
      <c r="W18" s="140">
        <f>IFERROR(ROUND(CFwp_US_local!W18*W$1,),)</f>
        <v>0</v>
      </c>
      <c r="X18" s="140">
        <f>IFERROR(ROUND(CFwp_US_local!X18*X$1,),)</f>
        <v>0</v>
      </c>
      <c r="Y18" s="145">
        <v>0</v>
      </c>
      <c r="Z18" s="145">
        <v>0</v>
      </c>
      <c r="AA18" s="182">
        <f t="shared" si="4"/>
        <v>0</v>
      </c>
      <c r="AB18" s="182">
        <f t="shared" si="5"/>
        <v>0</v>
      </c>
    </row>
    <row r="19" spans="2:28">
      <c r="B19" s="139" t="s">
        <v>37</v>
      </c>
      <c r="C19" s="139" t="s">
        <v>38</v>
      </c>
      <c r="D19" s="140">
        <f>IFERROR(ROUND(CFwp_US_local!D19*D$1,),)</f>
        <v>0</v>
      </c>
      <c r="E19" s="140">
        <f>IFERROR(ROUND(CFwp_US_local!E19*E$1,),)</f>
        <v>0</v>
      </c>
      <c r="F19" s="146">
        <f t="shared" si="6"/>
        <v>0</v>
      </c>
      <c r="G19" s="146">
        <f t="shared" si="3"/>
        <v>0</v>
      </c>
      <c r="H19" s="143" t="s">
        <v>572</v>
      </c>
      <c r="I19" s="140">
        <f>IFERROR(ROUND(CFwp_US_local!I19*I$1,),)</f>
        <v>0</v>
      </c>
      <c r="J19" s="140">
        <f>IFERROR(ROUND(CFwp_US_local!J19*J$1,),)</f>
        <v>0</v>
      </c>
      <c r="K19" s="140">
        <f>IFERROR(ROUND(CFwp_US_local!K19*K$1,),)</f>
        <v>0</v>
      </c>
      <c r="L19" s="140">
        <f>IFERROR(ROUND(CFwp_US_local!L19*L$1,),)</f>
        <v>0</v>
      </c>
      <c r="M19" s="140">
        <f>IFERROR(ROUND(CFwp_US_local!M19*M$1,),)</f>
        <v>0</v>
      </c>
      <c r="N19" s="140">
        <f>IFERROR(ROUND(CFwp_US_local!N19*N$1,),)</f>
        <v>0</v>
      </c>
      <c r="O19" s="140">
        <f>IFERROR(ROUND(CFwp_US_local!O19*O$1,),)</f>
        <v>0</v>
      </c>
      <c r="P19" s="140">
        <f>IFERROR(ROUND(CFwp_US_local!P19*P$1,),)</f>
        <v>0</v>
      </c>
      <c r="Q19" s="140">
        <f>IFERROR(ROUND(CFwp_US_local!Q19*Q$1,),)</f>
        <v>0</v>
      </c>
      <c r="R19" s="140">
        <f>IFERROR(ROUND(CFwp_US_local!R19*R$1,),)</f>
        <v>0</v>
      </c>
      <c r="S19" s="140">
        <f>IFERROR(ROUND(CFwp_US_local!S19*S$1,),)</f>
        <v>0</v>
      </c>
      <c r="T19" s="140">
        <f>IFERROR(ROUND(CFwp_US_local!T19*T$1,),)</f>
        <v>0</v>
      </c>
      <c r="U19" s="140">
        <f>IFERROR(ROUND(CFwp_US_local!U19*U$1,),)</f>
        <v>0</v>
      </c>
      <c r="V19" s="140">
        <f>IFERROR(ROUND(CFwp_US_local!V19*V$1,),)</f>
        <v>0</v>
      </c>
      <c r="W19" s="140">
        <f>IFERROR(ROUND(CFwp_US_local!W19*W$1,),)</f>
        <v>0</v>
      </c>
      <c r="X19" s="140">
        <f>IFERROR(ROUND(CFwp_US_local!X19*X$1,),)</f>
        <v>0</v>
      </c>
      <c r="Y19" s="145">
        <v>0</v>
      </c>
      <c r="Z19" s="145">
        <v>0</v>
      </c>
      <c r="AA19" s="182">
        <f t="shared" si="4"/>
        <v>0</v>
      </c>
      <c r="AB19" s="182">
        <f t="shared" si="5"/>
        <v>0</v>
      </c>
    </row>
    <row r="20" spans="2:28">
      <c r="B20" s="139" t="s">
        <v>39</v>
      </c>
      <c r="C20" s="139" t="s">
        <v>40</v>
      </c>
      <c r="D20" s="140">
        <f>IFERROR(ROUND(CFwp_US_local!D20*D$1,),)</f>
        <v>0</v>
      </c>
      <c r="E20" s="140">
        <f>IFERROR(ROUND(CFwp_US_local!E20*E$1,),)</f>
        <v>0</v>
      </c>
      <c r="F20" s="146">
        <f t="shared" si="6"/>
        <v>0</v>
      </c>
      <c r="G20" s="146">
        <f t="shared" si="3"/>
        <v>0</v>
      </c>
      <c r="H20" s="143" t="s">
        <v>571</v>
      </c>
      <c r="I20" s="140">
        <f>IFERROR(ROUND(CFwp_US_local!I20*I$1,),)</f>
        <v>0</v>
      </c>
      <c r="J20" s="140">
        <f>IFERROR(ROUND(CFwp_US_local!J20*J$1,),)</f>
        <v>0</v>
      </c>
      <c r="K20" s="140">
        <f>IFERROR(ROUND(CFwp_US_local!K20*K$1,),)</f>
        <v>0</v>
      </c>
      <c r="L20" s="140">
        <f>IFERROR(ROUND(CFwp_US_local!L20*L$1,),)</f>
        <v>0</v>
      </c>
      <c r="M20" s="140">
        <f>IFERROR(ROUND(CFwp_US_local!M20*M$1,),)</f>
        <v>0</v>
      </c>
      <c r="N20" s="140">
        <f>IFERROR(ROUND(CFwp_US_local!N20*N$1,),)</f>
        <v>0</v>
      </c>
      <c r="O20" s="140">
        <f>IFERROR(ROUND(CFwp_US_local!O20*O$1,),)</f>
        <v>0</v>
      </c>
      <c r="P20" s="140">
        <f>IFERROR(ROUND(CFwp_US_local!P20*P$1,),)</f>
        <v>0</v>
      </c>
      <c r="Q20" s="140">
        <f>IFERROR(ROUND(CFwp_US_local!Q20*Q$1,),)</f>
        <v>0</v>
      </c>
      <c r="R20" s="140">
        <f>IFERROR(ROUND(CFwp_US_local!R20*R$1,),)</f>
        <v>0</v>
      </c>
      <c r="S20" s="140">
        <f>IFERROR(ROUND(CFwp_US_local!S20*S$1,),)</f>
        <v>0</v>
      </c>
      <c r="T20" s="140">
        <f>IFERROR(ROUND(CFwp_US_local!T20*T$1,),)</f>
        <v>0</v>
      </c>
      <c r="U20" s="140">
        <f>IFERROR(ROUND(CFwp_US_local!U20*U$1,),)</f>
        <v>0</v>
      </c>
      <c r="V20" s="140">
        <f>IFERROR(ROUND(CFwp_US_local!V20*V$1,),)</f>
        <v>0</v>
      </c>
      <c r="W20" s="140">
        <f>IFERROR(ROUND(CFwp_US_local!W20*W$1,),)</f>
        <v>0</v>
      </c>
      <c r="X20" s="140">
        <f>IFERROR(ROUND(CFwp_US_local!X20*X$1,),)</f>
        <v>0</v>
      </c>
      <c r="Y20" s="145">
        <v>0</v>
      </c>
      <c r="Z20" s="145">
        <v>0</v>
      </c>
      <c r="AA20" s="182">
        <f t="shared" si="4"/>
        <v>0</v>
      </c>
      <c r="AB20" s="182">
        <f t="shared" si="5"/>
        <v>0</v>
      </c>
    </row>
    <row r="21" spans="2:28">
      <c r="B21" s="139" t="s">
        <v>41</v>
      </c>
      <c r="C21" s="139" t="s">
        <v>42</v>
      </c>
      <c r="D21" s="140">
        <f>IFERROR(ROUND(CFwp_US_local!D21*D$1,),)</f>
        <v>0</v>
      </c>
      <c r="E21" s="140">
        <f>IFERROR(ROUND(CFwp_US_local!E21*E$1,),)</f>
        <v>0</v>
      </c>
      <c r="F21" s="146">
        <f t="shared" si="6"/>
        <v>0</v>
      </c>
      <c r="G21" s="146">
        <f t="shared" si="3"/>
        <v>0</v>
      </c>
      <c r="H21" s="143"/>
      <c r="I21" s="140">
        <f>IFERROR(ROUND(CFwp_US_local!I21*I$1,),)</f>
        <v>0</v>
      </c>
      <c r="J21" s="140">
        <f>IFERROR(ROUND(CFwp_US_local!J21*J$1,),)</f>
        <v>0</v>
      </c>
      <c r="K21" s="140">
        <f>IFERROR(ROUND(CFwp_US_local!K21*K$1,),)</f>
        <v>0</v>
      </c>
      <c r="L21" s="140">
        <f>IFERROR(ROUND(CFwp_US_local!L21*L$1,),)</f>
        <v>0</v>
      </c>
      <c r="M21" s="140">
        <f>IFERROR(ROUND(CFwp_US_local!M21*M$1,),)</f>
        <v>0</v>
      </c>
      <c r="N21" s="140">
        <f>IFERROR(ROUND(CFwp_US_local!N21*N$1,),)</f>
        <v>0</v>
      </c>
      <c r="O21" s="140">
        <f>IFERROR(ROUND(CFwp_US_local!O21*O$1,),)</f>
        <v>0</v>
      </c>
      <c r="P21" s="140">
        <f>IFERROR(ROUND(CFwp_US_local!P21*P$1,),)</f>
        <v>0</v>
      </c>
      <c r="Q21" s="140">
        <f>IFERROR(ROUND(CFwp_US_local!Q21*Q$1,),)</f>
        <v>0</v>
      </c>
      <c r="R21" s="140">
        <f>IFERROR(ROUND(CFwp_US_local!R21*R$1,),)</f>
        <v>0</v>
      </c>
      <c r="S21" s="140">
        <f>IFERROR(ROUND(CFwp_US_local!S21*S$1,),)</f>
        <v>0</v>
      </c>
      <c r="T21" s="140">
        <f>IFERROR(ROUND(CFwp_US_local!T21*T$1,),)</f>
        <v>0</v>
      </c>
      <c r="U21" s="140">
        <f>IFERROR(ROUND(CFwp_US_local!U21*U$1,),)</f>
        <v>0</v>
      </c>
      <c r="V21" s="140">
        <f>IFERROR(ROUND(CFwp_US_local!V21*V$1,),)</f>
        <v>0</v>
      </c>
      <c r="W21" s="140">
        <f>IFERROR(ROUND(CFwp_US_local!W21*W$1,),)</f>
        <v>0</v>
      </c>
      <c r="X21" s="140">
        <f>IFERROR(ROUND(CFwp_US_local!X21*X$1,),)</f>
        <v>0</v>
      </c>
      <c r="Y21" s="145">
        <v>0</v>
      </c>
      <c r="Z21" s="145">
        <v>0</v>
      </c>
      <c r="AA21" s="182">
        <f t="shared" si="4"/>
        <v>0</v>
      </c>
      <c r="AB21" s="182">
        <f t="shared" si="5"/>
        <v>0</v>
      </c>
    </row>
    <row r="22" spans="2:28">
      <c r="B22" s="139" t="s">
        <v>43</v>
      </c>
      <c r="C22" s="139" t="s">
        <v>44</v>
      </c>
      <c r="D22" s="140">
        <f>IFERROR(ROUND(CFwp_US_local!D22*D$1,),)</f>
        <v>0</v>
      </c>
      <c r="E22" s="140">
        <f>IFERROR(ROUND(CFwp_US_local!E22*E$1,),)</f>
        <v>0</v>
      </c>
      <c r="F22" s="146">
        <f t="shared" si="6"/>
        <v>0</v>
      </c>
      <c r="G22" s="146">
        <f t="shared" si="3"/>
        <v>0</v>
      </c>
      <c r="H22" s="143"/>
      <c r="I22" s="140">
        <f>IFERROR(ROUND(CFwp_US_local!I22*I$1,),)</f>
        <v>0</v>
      </c>
      <c r="J22" s="140">
        <f>IFERROR(ROUND(CFwp_US_local!J22*J$1,),)</f>
        <v>0</v>
      </c>
      <c r="K22" s="140">
        <f>IFERROR(ROUND(CFwp_US_local!K22*K$1,),)</f>
        <v>0</v>
      </c>
      <c r="L22" s="140">
        <f>IFERROR(ROUND(CFwp_US_local!L22*L$1,),)</f>
        <v>0</v>
      </c>
      <c r="M22" s="140">
        <f>IFERROR(ROUND(CFwp_US_local!M22*M$1,),)</f>
        <v>0</v>
      </c>
      <c r="N22" s="140">
        <f>IFERROR(ROUND(CFwp_US_local!N22*N$1,),)</f>
        <v>0</v>
      </c>
      <c r="O22" s="140">
        <f>IFERROR(ROUND(CFwp_US_local!O22*O$1,),)</f>
        <v>0</v>
      </c>
      <c r="P22" s="140">
        <f>IFERROR(ROUND(CFwp_US_local!P22*P$1,),)</f>
        <v>0</v>
      </c>
      <c r="Q22" s="140">
        <f>IFERROR(ROUND(CFwp_US_local!Q22*Q$1,),)</f>
        <v>0</v>
      </c>
      <c r="R22" s="140">
        <f>IFERROR(ROUND(CFwp_US_local!R22*R$1,),)</f>
        <v>0</v>
      </c>
      <c r="S22" s="140">
        <f>IFERROR(ROUND(CFwp_US_local!S22*S$1,),)</f>
        <v>0</v>
      </c>
      <c r="T22" s="140">
        <f>IFERROR(ROUND(CFwp_US_local!T22*T$1,),)</f>
        <v>0</v>
      </c>
      <c r="U22" s="140">
        <f>IFERROR(ROUND(CFwp_US_local!U22*U$1,),)</f>
        <v>0</v>
      </c>
      <c r="V22" s="140">
        <f>IFERROR(ROUND(CFwp_US_local!V22*V$1,),)</f>
        <v>0</v>
      </c>
      <c r="W22" s="140">
        <f>IFERROR(ROUND(CFwp_US_local!W22*W$1,),)</f>
        <v>0</v>
      </c>
      <c r="X22" s="140">
        <f>IFERROR(ROUND(CFwp_US_local!X22*X$1,),)</f>
        <v>0</v>
      </c>
      <c r="Y22" s="145">
        <v>0</v>
      </c>
      <c r="Z22" s="145">
        <v>0</v>
      </c>
      <c r="AA22" s="182">
        <f t="shared" si="4"/>
        <v>0</v>
      </c>
      <c r="AB22" s="182">
        <f t="shared" si="5"/>
        <v>0</v>
      </c>
    </row>
    <row r="23" spans="2:28">
      <c r="B23" s="139" t="s">
        <v>47</v>
      </c>
      <c r="C23" s="139" t="s">
        <v>48</v>
      </c>
      <c r="D23" s="140">
        <f>IFERROR(ROUND(CFwp_US_local!D23*D$1,),)</f>
        <v>0</v>
      </c>
      <c r="E23" s="140">
        <f>IFERROR(ROUND(CFwp_US_local!E23*E$1,),)</f>
        <v>0</v>
      </c>
      <c r="F23" s="146">
        <f t="shared" si="6"/>
        <v>0</v>
      </c>
      <c r="G23" s="146">
        <f t="shared" si="3"/>
        <v>0</v>
      </c>
      <c r="H23" s="143" t="s">
        <v>572</v>
      </c>
      <c r="I23" s="140">
        <f>IFERROR(ROUND(CFwp_US_local!I23*I$1,),)</f>
        <v>0</v>
      </c>
      <c r="J23" s="140">
        <f>IFERROR(ROUND(CFwp_US_local!J23*J$1,),)</f>
        <v>0</v>
      </c>
      <c r="K23" s="140">
        <f>IFERROR(ROUND(CFwp_US_local!K23*K$1,),)</f>
        <v>0</v>
      </c>
      <c r="L23" s="140">
        <f>IFERROR(ROUND(CFwp_US_local!L23*L$1,),)</f>
        <v>0</v>
      </c>
      <c r="M23" s="140">
        <f>IFERROR(ROUND(CFwp_US_local!M23*M$1,),)</f>
        <v>0</v>
      </c>
      <c r="N23" s="140">
        <f>IFERROR(ROUND(CFwp_US_local!N23*N$1,),)</f>
        <v>0</v>
      </c>
      <c r="O23" s="140">
        <f>IFERROR(ROUND(CFwp_US_local!O23*O$1,),)</f>
        <v>0</v>
      </c>
      <c r="P23" s="140">
        <f>IFERROR(ROUND(CFwp_US_local!P23*P$1,),)</f>
        <v>0</v>
      </c>
      <c r="Q23" s="140">
        <f>IFERROR(ROUND(CFwp_US_local!Q23*Q$1,),)</f>
        <v>0</v>
      </c>
      <c r="R23" s="140">
        <f>IFERROR(ROUND(CFwp_US_local!R23*R$1,),)</f>
        <v>0</v>
      </c>
      <c r="S23" s="140">
        <f>IFERROR(ROUND(CFwp_US_local!S23*S$1,),)</f>
        <v>0</v>
      </c>
      <c r="T23" s="140">
        <f>IFERROR(ROUND(CFwp_US_local!T23*T$1,),)</f>
        <v>0</v>
      </c>
      <c r="U23" s="140">
        <f>IFERROR(ROUND(CFwp_US_local!U23*U$1,),)</f>
        <v>0</v>
      </c>
      <c r="V23" s="140">
        <f>IFERROR(ROUND(CFwp_US_local!V23*V$1,),)</f>
        <v>0</v>
      </c>
      <c r="W23" s="140">
        <f>IFERROR(ROUND(CFwp_US_local!W23*W$1,),)</f>
        <v>0</v>
      </c>
      <c r="X23" s="140">
        <f>IFERROR(ROUND(CFwp_US_local!X23*X$1,),)</f>
        <v>0</v>
      </c>
      <c r="Y23" s="145">
        <v>0</v>
      </c>
      <c r="Z23" s="145">
        <v>0</v>
      </c>
      <c r="AA23" s="182">
        <f t="shared" si="4"/>
        <v>0</v>
      </c>
      <c r="AB23" s="182">
        <f t="shared" si="5"/>
        <v>0</v>
      </c>
    </row>
    <row r="24" spans="2:28">
      <c r="B24" s="139" t="s">
        <v>49</v>
      </c>
      <c r="C24" s="139" t="s">
        <v>50</v>
      </c>
      <c r="D24" s="140">
        <f>IFERROR(ROUND(CFwp_US_local!D24*D$1,),)</f>
        <v>0</v>
      </c>
      <c r="E24" s="140">
        <f>IFERROR(ROUND(CFwp_US_local!E24*E$1,),)</f>
        <v>0</v>
      </c>
      <c r="F24" s="146">
        <f t="shared" si="6"/>
        <v>0</v>
      </c>
      <c r="G24" s="146">
        <f t="shared" si="3"/>
        <v>0</v>
      </c>
      <c r="H24" s="143" t="s">
        <v>572</v>
      </c>
      <c r="I24" s="140">
        <f>IFERROR(ROUND(CFwp_US_local!I24*I$1,),)</f>
        <v>0</v>
      </c>
      <c r="J24" s="140">
        <f>IFERROR(ROUND(CFwp_US_local!J24*J$1,),)</f>
        <v>0</v>
      </c>
      <c r="K24" s="140">
        <f>IFERROR(ROUND(CFwp_US_local!K24*K$1,),)</f>
        <v>0</v>
      </c>
      <c r="L24" s="140">
        <f>IFERROR(ROUND(CFwp_US_local!L24*L$1,),)</f>
        <v>0</v>
      </c>
      <c r="M24" s="140">
        <f>IFERROR(ROUND(CFwp_US_local!M24*M$1,),)</f>
        <v>0</v>
      </c>
      <c r="N24" s="140">
        <f>IFERROR(ROUND(CFwp_US_local!N24*N$1,),)</f>
        <v>0</v>
      </c>
      <c r="O24" s="140">
        <f>IFERROR(ROUND(CFwp_US_local!O24*O$1,),)</f>
        <v>0</v>
      </c>
      <c r="P24" s="140">
        <f>IFERROR(ROUND(CFwp_US_local!P24*P$1,),)</f>
        <v>0</v>
      </c>
      <c r="Q24" s="140">
        <f>IFERROR(ROUND(CFwp_US_local!Q24*Q$1,),)</f>
        <v>0</v>
      </c>
      <c r="R24" s="140">
        <f>IFERROR(ROUND(CFwp_US_local!R24*R$1,),)</f>
        <v>0</v>
      </c>
      <c r="S24" s="140">
        <f>IFERROR(ROUND(CFwp_US_local!S24*S$1,),)</f>
        <v>0</v>
      </c>
      <c r="T24" s="140">
        <f>IFERROR(ROUND(CFwp_US_local!T24*T$1,),)</f>
        <v>0</v>
      </c>
      <c r="U24" s="140">
        <f>IFERROR(ROUND(CFwp_US_local!U24*U$1,),)</f>
        <v>0</v>
      </c>
      <c r="V24" s="140">
        <f>IFERROR(ROUND(CFwp_US_local!V24*V$1,),)</f>
        <v>0</v>
      </c>
      <c r="W24" s="140">
        <f>IFERROR(ROUND(CFwp_US_local!W24*W$1,),)</f>
        <v>0</v>
      </c>
      <c r="X24" s="140">
        <f>IFERROR(ROUND(CFwp_US_local!X24*X$1,),)</f>
        <v>0</v>
      </c>
      <c r="Y24" s="145">
        <v>0</v>
      </c>
      <c r="Z24" s="145">
        <v>0</v>
      </c>
      <c r="AA24" s="182">
        <f t="shared" si="4"/>
        <v>0</v>
      </c>
      <c r="AB24" s="182">
        <f t="shared" si="5"/>
        <v>0</v>
      </c>
    </row>
    <row r="25" spans="2:28">
      <c r="B25" s="139" t="s">
        <v>51</v>
      </c>
      <c r="C25" s="139" t="s">
        <v>52</v>
      </c>
      <c r="D25" s="140">
        <f>IFERROR(ROUND(CFwp_US_local!D25*D$1,),)</f>
        <v>0</v>
      </c>
      <c r="E25" s="140">
        <f>IFERROR(ROUND(CFwp_US_local!E25*E$1,),)</f>
        <v>0</v>
      </c>
      <c r="F25" s="146">
        <f t="shared" si="6"/>
        <v>0</v>
      </c>
      <c r="G25" s="146">
        <f t="shared" si="3"/>
        <v>0</v>
      </c>
      <c r="H25" s="143" t="s">
        <v>568</v>
      </c>
      <c r="I25" s="140">
        <f>IFERROR(ROUND(CFwp_US_local!I25*I$1,),)</f>
        <v>0</v>
      </c>
      <c r="J25" s="140">
        <f>IFERROR(ROUND(CFwp_US_local!J25*J$1,),)</f>
        <v>0</v>
      </c>
      <c r="K25" s="140">
        <f>IFERROR(ROUND(CFwp_US_local!K25*K$1,),)</f>
        <v>0</v>
      </c>
      <c r="L25" s="140">
        <f>IFERROR(ROUND(CFwp_US_local!L25*L$1,),)</f>
        <v>0</v>
      </c>
      <c r="M25" s="140">
        <f>IFERROR(ROUND(CFwp_US_local!M25*M$1,),)</f>
        <v>0</v>
      </c>
      <c r="N25" s="140">
        <f>IFERROR(ROUND(CFwp_US_local!N25*N$1,),)</f>
        <v>0</v>
      </c>
      <c r="O25" s="140">
        <f>IFERROR(ROUND(CFwp_US_local!O25*O$1,),)</f>
        <v>0</v>
      </c>
      <c r="P25" s="140">
        <f>IFERROR(ROUND(CFwp_US_local!P25*P$1,),)</f>
        <v>0</v>
      </c>
      <c r="Q25" s="140">
        <f>IFERROR(ROUND(CFwp_US_local!Q25*Q$1,),)</f>
        <v>0</v>
      </c>
      <c r="R25" s="140">
        <f>IFERROR(ROUND(CFwp_US_local!R25*R$1,),)</f>
        <v>0</v>
      </c>
      <c r="S25" s="140">
        <f>IFERROR(ROUND(CFwp_US_local!S25*S$1,),)</f>
        <v>0</v>
      </c>
      <c r="T25" s="140">
        <f>IFERROR(ROUND(CFwp_US_local!T25*T$1,),)</f>
        <v>0</v>
      </c>
      <c r="U25" s="140">
        <f>IFERROR(ROUND(CFwp_US_local!U25*U$1,),)</f>
        <v>0</v>
      </c>
      <c r="V25" s="140">
        <f>IFERROR(ROUND(CFwp_US_local!V25*V$1,),)</f>
        <v>0</v>
      </c>
      <c r="W25" s="140">
        <f>IFERROR(ROUND(CFwp_US_local!W25*W$1,),)</f>
        <v>0</v>
      </c>
      <c r="X25" s="140">
        <f>IFERROR(ROUND(CFwp_US_local!X25*X$1,),)</f>
        <v>0</v>
      </c>
      <c r="Y25" s="145">
        <v>0</v>
      </c>
      <c r="Z25" s="145">
        <v>0</v>
      </c>
      <c r="AA25" s="182">
        <f t="shared" si="4"/>
        <v>0</v>
      </c>
      <c r="AB25" s="182">
        <f t="shared" si="5"/>
        <v>0</v>
      </c>
    </row>
    <row r="26" spans="2:28">
      <c r="B26" s="139" t="s">
        <v>53</v>
      </c>
      <c r="C26" s="139" t="s">
        <v>54</v>
      </c>
      <c r="D26" s="140">
        <f>IFERROR(ROUND(CFwp_US_local!D26*D$1,),)</f>
        <v>0</v>
      </c>
      <c r="E26" s="140">
        <f>IFERROR(ROUND(CFwp_US_local!E26*E$1,),)</f>
        <v>0</v>
      </c>
      <c r="F26" s="146">
        <f t="shared" si="6"/>
        <v>0</v>
      </c>
      <c r="G26" s="146">
        <f t="shared" si="3"/>
        <v>0</v>
      </c>
      <c r="H26" s="143"/>
      <c r="I26" s="140">
        <f>IFERROR(ROUND(CFwp_US_local!I26*I$1,),)</f>
        <v>0</v>
      </c>
      <c r="J26" s="140">
        <f>IFERROR(ROUND(CFwp_US_local!J26*J$1,),)</f>
        <v>0</v>
      </c>
      <c r="K26" s="140">
        <f>IFERROR(ROUND(CFwp_US_local!K26*K$1,),)</f>
        <v>0</v>
      </c>
      <c r="L26" s="140">
        <f>IFERROR(ROUND(CFwp_US_local!L26*L$1,),)</f>
        <v>0</v>
      </c>
      <c r="M26" s="140">
        <f>IFERROR(ROUND(CFwp_US_local!M26*M$1,),)</f>
        <v>0</v>
      </c>
      <c r="N26" s="140">
        <f>IFERROR(ROUND(CFwp_US_local!N26*N$1,),)</f>
        <v>0</v>
      </c>
      <c r="O26" s="140">
        <f>IFERROR(ROUND(CFwp_US_local!O26*O$1,),)</f>
        <v>0</v>
      </c>
      <c r="P26" s="140">
        <f>IFERROR(ROUND(CFwp_US_local!P26*P$1,),)</f>
        <v>0</v>
      </c>
      <c r="Q26" s="140">
        <f>IFERROR(ROUND(CFwp_US_local!Q26*Q$1,),)</f>
        <v>0</v>
      </c>
      <c r="R26" s="140">
        <f>IFERROR(ROUND(CFwp_US_local!R26*R$1,),)</f>
        <v>0</v>
      </c>
      <c r="S26" s="140">
        <f>IFERROR(ROUND(CFwp_US_local!S26*S$1,),)</f>
        <v>0</v>
      </c>
      <c r="T26" s="140">
        <f>IFERROR(ROUND(CFwp_US_local!T26*T$1,),)</f>
        <v>0</v>
      </c>
      <c r="U26" s="140">
        <f>IFERROR(ROUND(CFwp_US_local!U26*U$1,),)</f>
        <v>0</v>
      </c>
      <c r="V26" s="140">
        <f>IFERROR(ROUND(CFwp_US_local!V26*V$1,),)</f>
        <v>0</v>
      </c>
      <c r="W26" s="140">
        <f>IFERROR(ROUND(CFwp_US_local!W26*W$1,),)</f>
        <v>0</v>
      </c>
      <c r="X26" s="140">
        <f>IFERROR(ROUND(CFwp_US_local!X26*X$1,),)</f>
        <v>0</v>
      </c>
      <c r="Y26" s="145">
        <v>0</v>
      </c>
      <c r="Z26" s="145">
        <v>0</v>
      </c>
      <c r="AA26" s="182">
        <f t="shared" si="4"/>
        <v>0</v>
      </c>
      <c r="AB26" s="182">
        <f t="shared" si="5"/>
        <v>0</v>
      </c>
    </row>
    <row r="27" spans="2:28">
      <c r="B27" s="139" t="s">
        <v>57</v>
      </c>
      <c r="C27" s="139" t="s">
        <v>58</v>
      </c>
      <c r="D27" s="140">
        <f>IFERROR(ROUND(CFwp_US_local!D27*D$1,),)</f>
        <v>0</v>
      </c>
      <c r="E27" s="140">
        <f>IFERROR(ROUND(CFwp_US_local!E27*E$1,),)</f>
        <v>0</v>
      </c>
      <c r="F27" s="146">
        <f t="shared" si="6"/>
        <v>0</v>
      </c>
      <c r="G27" s="146">
        <f t="shared" si="3"/>
        <v>0</v>
      </c>
      <c r="H27" s="143"/>
      <c r="I27" s="140">
        <f>IFERROR(ROUND(CFwp_US_local!I27*I$1,),)</f>
        <v>0</v>
      </c>
      <c r="J27" s="140">
        <f>IFERROR(ROUND(CFwp_US_local!J27*J$1,),)</f>
        <v>0</v>
      </c>
      <c r="K27" s="140">
        <f>IFERROR(ROUND(CFwp_US_local!K27*K$1,),)</f>
        <v>0</v>
      </c>
      <c r="L27" s="140">
        <f>IFERROR(ROUND(CFwp_US_local!L27*L$1,),)</f>
        <v>0</v>
      </c>
      <c r="M27" s="140">
        <f>IFERROR(ROUND(CFwp_US_local!M27*M$1,),)</f>
        <v>0</v>
      </c>
      <c r="N27" s="140">
        <f>IFERROR(ROUND(CFwp_US_local!N27*N$1,),)</f>
        <v>0</v>
      </c>
      <c r="O27" s="140">
        <f>IFERROR(ROUND(CFwp_US_local!O27*O$1,),)</f>
        <v>0</v>
      </c>
      <c r="P27" s="140">
        <f>IFERROR(ROUND(CFwp_US_local!P27*P$1,),)</f>
        <v>0</v>
      </c>
      <c r="Q27" s="140">
        <f>IFERROR(ROUND(CFwp_US_local!Q27*Q$1,),)</f>
        <v>0</v>
      </c>
      <c r="R27" s="140">
        <f>IFERROR(ROUND(CFwp_US_local!R27*R$1,),)</f>
        <v>0</v>
      </c>
      <c r="S27" s="140">
        <f>IFERROR(ROUND(CFwp_US_local!S27*S$1,),)</f>
        <v>0</v>
      </c>
      <c r="T27" s="140">
        <f>IFERROR(ROUND(CFwp_US_local!T27*T$1,),)</f>
        <v>0</v>
      </c>
      <c r="U27" s="140">
        <f>IFERROR(ROUND(CFwp_US_local!U27*U$1,),)</f>
        <v>0</v>
      </c>
      <c r="V27" s="140">
        <f>IFERROR(ROUND(CFwp_US_local!V27*V$1,),)</f>
        <v>0</v>
      </c>
      <c r="W27" s="140">
        <f>IFERROR(ROUND(CFwp_US_local!W27*W$1,),)</f>
        <v>0</v>
      </c>
      <c r="X27" s="140">
        <f>IFERROR(ROUND(CFwp_US_local!X27*X$1,),)</f>
        <v>0</v>
      </c>
      <c r="Y27" s="145">
        <v>0</v>
      </c>
      <c r="Z27" s="145">
        <v>0</v>
      </c>
      <c r="AA27" s="182">
        <f t="shared" si="4"/>
        <v>0</v>
      </c>
      <c r="AB27" s="182">
        <f t="shared" si="5"/>
        <v>0</v>
      </c>
    </row>
    <row r="28" spans="2:28">
      <c r="B28" s="139" t="s">
        <v>837</v>
      </c>
      <c r="C28" s="139" t="s">
        <v>838</v>
      </c>
      <c r="D28" s="140">
        <f>IFERROR(ROUND(CFwp_US_local!D28*D$1,),)</f>
        <v>0</v>
      </c>
      <c r="E28" s="140">
        <f>IFERROR(ROUND(CFwp_US_local!E28*E$1,),)</f>
        <v>0</v>
      </c>
      <c r="F28" s="146">
        <f t="shared" ref="F28" si="7">E28-D28</f>
        <v>0</v>
      </c>
      <c r="G28" s="146">
        <f t="shared" ref="G28" si="8">J28-K28+N28+O28-P28+Q28-R28-T28+V28+F28-W28+X28-Y28+Z28</f>
        <v>0</v>
      </c>
      <c r="H28" s="143"/>
      <c r="I28" s="140">
        <f>IFERROR(ROUND(CFwp_US_local!I28*I$1,),)</f>
        <v>0</v>
      </c>
      <c r="J28" s="140">
        <f>IFERROR(ROUND(CFwp_US_local!J28*J$1,),)</f>
        <v>0</v>
      </c>
      <c r="K28" s="140">
        <f>IFERROR(ROUND(CFwp_US_local!K28*K$1,),)</f>
        <v>0</v>
      </c>
      <c r="L28" s="140">
        <f>IFERROR(ROUND(CFwp_US_local!L28*L$1,),)</f>
        <v>0</v>
      </c>
      <c r="M28" s="140">
        <f>IFERROR(ROUND(CFwp_US_local!M28*M$1,),)</f>
        <v>0</v>
      </c>
      <c r="N28" s="140">
        <f>IFERROR(ROUND(CFwp_US_local!N28*N$1,),)</f>
        <v>0</v>
      </c>
      <c r="O28" s="140">
        <f>IFERROR(ROUND(CFwp_US_local!O28*O$1,),)</f>
        <v>0</v>
      </c>
      <c r="P28" s="140">
        <f>IFERROR(ROUND(CFwp_US_local!P28*P$1,),)</f>
        <v>0</v>
      </c>
      <c r="Q28" s="140">
        <f>IFERROR(ROUND(CFwp_US_local!Q28*Q$1,),)</f>
        <v>0</v>
      </c>
      <c r="R28" s="140">
        <f>IFERROR(ROUND(CFwp_US_local!R28*R$1,),)</f>
        <v>0</v>
      </c>
      <c r="S28" s="140">
        <f>IFERROR(ROUND(CFwp_US_local!S28*S$1,),)</f>
        <v>0</v>
      </c>
      <c r="T28" s="140">
        <f>IFERROR(ROUND(CFwp_US_local!T28*T$1,),)</f>
        <v>0</v>
      </c>
      <c r="U28" s="140">
        <f>IFERROR(ROUND(CFwp_US_local!U28*U$1,),)</f>
        <v>0</v>
      </c>
      <c r="V28" s="140">
        <f>IFERROR(ROUND(CFwp_US_local!V28*V$1,),)</f>
        <v>0</v>
      </c>
      <c r="W28" s="140">
        <f>IFERROR(ROUND(CFwp_US_local!W28*W$1,),)</f>
        <v>0</v>
      </c>
      <c r="X28" s="140">
        <f>IFERROR(ROUND(CFwp_US_local!X28*X$1,),)</f>
        <v>0</v>
      </c>
      <c r="Y28" s="145">
        <v>0</v>
      </c>
      <c r="Z28" s="145">
        <v>0</v>
      </c>
      <c r="AA28" s="182">
        <f t="shared" si="4"/>
        <v>0</v>
      </c>
      <c r="AB28" s="182">
        <f t="shared" si="5"/>
        <v>0</v>
      </c>
    </row>
    <row r="29" spans="2:28">
      <c r="B29" s="139" t="s">
        <v>59</v>
      </c>
      <c r="C29" s="139" t="s">
        <v>60</v>
      </c>
      <c r="D29" s="140">
        <f>IFERROR(ROUND(CFwp_US_local!D29*D$1,),)</f>
        <v>0</v>
      </c>
      <c r="E29" s="140">
        <f>IFERROR(ROUND(CFwp_US_local!E29*E$1,),)</f>
        <v>0</v>
      </c>
      <c r="F29" s="146">
        <f t="shared" si="6"/>
        <v>0</v>
      </c>
      <c r="G29" s="146">
        <f t="shared" si="3"/>
        <v>0</v>
      </c>
      <c r="H29" s="143" t="s">
        <v>573</v>
      </c>
      <c r="I29" s="140">
        <f>IFERROR(ROUND(CFwp_US_local!I29*I$1,),)</f>
        <v>0</v>
      </c>
      <c r="J29" s="140">
        <f>IFERROR(ROUND(CFwp_US_local!J29*J$1,),)</f>
        <v>0</v>
      </c>
      <c r="K29" s="140">
        <f>IFERROR(ROUND(CFwp_US_local!K29*K$1,),)</f>
        <v>0</v>
      </c>
      <c r="L29" s="140">
        <f>IFERROR(ROUND(CFwp_US_local!L29*L$1,),)</f>
        <v>0</v>
      </c>
      <c r="M29" s="140">
        <f>IFERROR(ROUND(CFwp_US_local!M29*M$1,),)</f>
        <v>0</v>
      </c>
      <c r="N29" s="140">
        <f>IFERROR(ROUND(CFwp_US_local!N29*N$1,),)</f>
        <v>0</v>
      </c>
      <c r="O29" s="140">
        <f>IFERROR(ROUND(CFwp_US_local!O29*O$1,),)</f>
        <v>0</v>
      </c>
      <c r="P29" s="140">
        <f>IFERROR(ROUND(CFwp_US_local!P29*P$1,),)</f>
        <v>0</v>
      </c>
      <c r="Q29" s="140">
        <f>IFERROR(ROUND(CFwp_US_local!Q29*Q$1,),)</f>
        <v>0</v>
      </c>
      <c r="R29" s="140">
        <f>IFERROR(ROUND(CFwp_US_local!R29*R$1,),)</f>
        <v>0</v>
      </c>
      <c r="S29" s="140">
        <f>IFERROR(ROUND(CFwp_US_local!S29*S$1,),)</f>
        <v>0</v>
      </c>
      <c r="T29" s="140">
        <f>IFERROR(ROUND(CFwp_US_local!T29*T$1,),)</f>
        <v>0</v>
      </c>
      <c r="U29" s="140">
        <f>IFERROR(ROUND(CFwp_US_local!U29*U$1,),)</f>
        <v>0</v>
      </c>
      <c r="V29" s="140">
        <f>IFERROR(ROUND(CFwp_US_local!V29*V$1,),)</f>
        <v>0</v>
      </c>
      <c r="W29" s="140">
        <f>IFERROR(ROUND(CFwp_US_local!W29*W$1,),)</f>
        <v>0</v>
      </c>
      <c r="X29" s="140">
        <f>IFERROR(ROUND(CFwp_US_local!X29*X$1,),)</f>
        <v>0</v>
      </c>
      <c r="Y29" s="145">
        <v>0</v>
      </c>
      <c r="Z29" s="145">
        <v>0</v>
      </c>
      <c r="AA29" s="182">
        <f t="shared" si="4"/>
        <v>0</v>
      </c>
      <c r="AB29" s="182">
        <f t="shared" si="5"/>
        <v>0</v>
      </c>
    </row>
    <row r="30" spans="2:28">
      <c r="B30" s="139" t="s">
        <v>62</v>
      </c>
      <c r="C30" s="139" t="s">
        <v>63</v>
      </c>
      <c r="D30" s="140">
        <f>IFERROR(ROUND(CFwp_US_local!D30*D$1,),)</f>
        <v>0</v>
      </c>
      <c r="E30" s="140">
        <f>IFERROR(ROUND(CFwp_US_local!E30*E$1,),)</f>
        <v>0</v>
      </c>
      <c r="F30" s="146">
        <f t="shared" si="6"/>
        <v>0</v>
      </c>
      <c r="G30" s="146">
        <f t="shared" si="3"/>
        <v>0</v>
      </c>
      <c r="H30" s="143"/>
      <c r="I30" s="140">
        <f>IFERROR(ROUND(CFwp_US_local!I30*I$1,),)</f>
        <v>0</v>
      </c>
      <c r="J30" s="140">
        <f>IFERROR(ROUND(CFwp_US_local!J30*J$1,),)</f>
        <v>0</v>
      </c>
      <c r="K30" s="140">
        <f>IFERROR(ROUND(CFwp_US_local!K30*K$1,),)</f>
        <v>0</v>
      </c>
      <c r="L30" s="140">
        <f>IFERROR(ROUND(CFwp_US_local!L30*L$1,),)</f>
        <v>0</v>
      </c>
      <c r="M30" s="140">
        <f>IFERROR(ROUND(CFwp_US_local!M30*M$1,),)</f>
        <v>0</v>
      </c>
      <c r="N30" s="140">
        <f>IFERROR(ROUND(CFwp_US_local!N30*N$1,),)</f>
        <v>0</v>
      </c>
      <c r="O30" s="140">
        <f>IFERROR(ROUND(CFwp_US_local!O30*O$1,),)</f>
        <v>0</v>
      </c>
      <c r="P30" s="140">
        <f>IFERROR(ROUND(CFwp_US_local!P30*P$1,),)</f>
        <v>0</v>
      </c>
      <c r="Q30" s="140">
        <f>IFERROR(ROUND(CFwp_US_local!Q30*Q$1,),)</f>
        <v>0</v>
      </c>
      <c r="R30" s="140">
        <f>IFERROR(ROUND(CFwp_US_local!R30*R$1,),)</f>
        <v>0</v>
      </c>
      <c r="S30" s="140">
        <f>IFERROR(ROUND(CFwp_US_local!S30*S$1,),)</f>
        <v>0</v>
      </c>
      <c r="T30" s="140">
        <f>IFERROR(ROUND(CFwp_US_local!T30*T$1,),)</f>
        <v>0</v>
      </c>
      <c r="U30" s="140">
        <f>IFERROR(ROUND(CFwp_US_local!U30*U$1,),)</f>
        <v>0</v>
      </c>
      <c r="V30" s="140">
        <f>IFERROR(ROUND(CFwp_US_local!V30*V$1,),)</f>
        <v>0</v>
      </c>
      <c r="W30" s="140">
        <f>IFERROR(ROUND(CFwp_US_local!W30*W$1,),)</f>
        <v>0</v>
      </c>
      <c r="X30" s="140">
        <f>IFERROR(ROUND(CFwp_US_local!X30*X$1,),)</f>
        <v>0</v>
      </c>
      <c r="Y30" s="145">
        <v>0</v>
      </c>
      <c r="Z30" s="145">
        <v>0</v>
      </c>
      <c r="AA30" s="182">
        <f t="shared" si="4"/>
        <v>0</v>
      </c>
      <c r="AB30" s="182">
        <f t="shared" si="5"/>
        <v>0</v>
      </c>
    </row>
    <row r="31" spans="2:28">
      <c r="B31" s="50" t="s">
        <v>505</v>
      </c>
      <c r="C31" s="2" t="s">
        <v>506</v>
      </c>
      <c r="D31" s="140">
        <f>IFERROR(ROUND(CFwp_US_local!D31*D$1,),)</f>
        <v>0</v>
      </c>
      <c r="E31" s="140">
        <f>IFERROR(ROUND(CFwp_US_local!E31*E$1,),)</f>
        <v>0</v>
      </c>
      <c r="F31" s="146">
        <f t="shared" si="6"/>
        <v>0</v>
      </c>
      <c r="G31" s="146">
        <f t="shared" si="3"/>
        <v>0</v>
      </c>
      <c r="H31" s="143"/>
      <c r="I31" s="140">
        <f>IFERROR(ROUND(CFwp_US_local!I31*I$1,),)</f>
        <v>0</v>
      </c>
      <c r="J31" s="140">
        <f>IFERROR(ROUND(CFwp_US_local!J31*J$1,),)</f>
        <v>0</v>
      </c>
      <c r="K31" s="140">
        <f>IFERROR(ROUND(CFwp_US_local!K31*K$1,),)</f>
        <v>0</v>
      </c>
      <c r="L31" s="140">
        <f>IFERROR(ROUND(CFwp_US_local!L31*L$1,),)</f>
        <v>0</v>
      </c>
      <c r="M31" s="140">
        <f>IFERROR(ROUND(CFwp_US_local!M31*M$1,),)</f>
        <v>0</v>
      </c>
      <c r="N31" s="140">
        <f>IFERROR(ROUND(CFwp_US_local!N31*N$1,),)</f>
        <v>0</v>
      </c>
      <c r="O31" s="140">
        <f>IFERROR(ROUND(CFwp_US_local!O31*O$1,),)</f>
        <v>0</v>
      </c>
      <c r="P31" s="140">
        <f>IFERROR(ROUND(CFwp_US_local!P31*P$1,),)</f>
        <v>0</v>
      </c>
      <c r="Q31" s="140">
        <f>IFERROR(ROUND(CFwp_US_local!Q31*Q$1,),)</f>
        <v>0</v>
      </c>
      <c r="R31" s="140">
        <f>IFERROR(ROUND(CFwp_US_local!R31*R$1,),)</f>
        <v>0</v>
      </c>
      <c r="S31" s="140">
        <f>IFERROR(ROUND(CFwp_US_local!S31*S$1,),)</f>
        <v>0</v>
      </c>
      <c r="T31" s="140">
        <f>IFERROR(ROUND(CFwp_US_local!T31*T$1,),)</f>
        <v>0</v>
      </c>
      <c r="U31" s="140">
        <f>IFERROR(ROUND(CFwp_US_local!U31*U$1,),)</f>
        <v>0</v>
      </c>
      <c r="V31" s="140">
        <f>IFERROR(ROUND(CFwp_US_local!V31*V$1,),)</f>
        <v>0</v>
      </c>
      <c r="W31" s="140">
        <f>IFERROR(ROUND(CFwp_US_local!W31*W$1,),)</f>
        <v>0</v>
      </c>
      <c r="X31" s="140">
        <f>IFERROR(ROUND(CFwp_US_local!X31*X$1,),)</f>
        <v>0</v>
      </c>
      <c r="Y31" s="145">
        <v>0</v>
      </c>
      <c r="Z31" s="145">
        <v>0</v>
      </c>
      <c r="AA31" s="182">
        <f t="shared" si="4"/>
        <v>0</v>
      </c>
      <c r="AB31" s="182">
        <f t="shared" si="5"/>
        <v>0</v>
      </c>
    </row>
    <row r="32" spans="2:28">
      <c r="B32" s="139" t="s">
        <v>839</v>
      </c>
      <c r="C32" s="139" t="s">
        <v>840</v>
      </c>
      <c r="D32" s="140">
        <f>IFERROR(ROUND(CFwp_US_local!D32*D$1,),)</f>
        <v>0</v>
      </c>
      <c r="E32" s="140">
        <f>IFERROR(ROUND(CFwp_US_local!E32*E$1,),)</f>
        <v>0</v>
      </c>
      <c r="F32" s="146">
        <f t="shared" ref="F32" si="9">E32-D32</f>
        <v>0</v>
      </c>
      <c r="G32" s="146">
        <f t="shared" ref="G32" si="10">J32-K32+N32+O32-P32+Q32-R32-T32+V32+F32-W32+X32-Y32+Z32</f>
        <v>0</v>
      </c>
      <c r="H32" s="143"/>
      <c r="I32" s="140">
        <f>IFERROR(ROUND(CFwp_US_local!I32*I$1,),)</f>
        <v>0</v>
      </c>
      <c r="J32" s="140">
        <f>IFERROR(ROUND(CFwp_US_local!J32*J$1,),)</f>
        <v>0</v>
      </c>
      <c r="K32" s="140">
        <f>IFERROR(ROUND(CFwp_US_local!K32*K$1,),)</f>
        <v>0</v>
      </c>
      <c r="L32" s="140">
        <f>IFERROR(ROUND(CFwp_US_local!L32*L$1,),)</f>
        <v>0</v>
      </c>
      <c r="M32" s="140">
        <f>IFERROR(ROUND(CFwp_US_local!M32*M$1,),)</f>
        <v>0</v>
      </c>
      <c r="N32" s="140">
        <f>IFERROR(ROUND(CFwp_US_local!N32*N$1,),)</f>
        <v>0</v>
      </c>
      <c r="O32" s="140">
        <f>IFERROR(ROUND(CFwp_US_local!O32*O$1,),)</f>
        <v>0</v>
      </c>
      <c r="P32" s="140">
        <f>IFERROR(ROUND(CFwp_US_local!P32*P$1,),)</f>
        <v>0</v>
      </c>
      <c r="Q32" s="140">
        <f>IFERROR(ROUND(CFwp_US_local!Q32*Q$1,),)</f>
        <v>0</v>
      </c>
      <c r="R32" s="140">
        <f>IFERROR(ROUND(CFwp_US_local!R32*R$1,),)</f>
        <v>0</v>
      </c>
      <c r="S32" s="140">
        <f>IFERROR(ROUND(CFwp_US_local!S32*S$1,),)</f>
        <v>0</v>
      </c>
      <c r="T32" s="140">
        <f>IFERROR(ROUND(CFwp_US_local!T32*T$1,),)</f>
        <v>0</v>
      </c>
      <c r="U32" s="140">
        <f>IFERROR(ROUND(CFwp_US_local!U32*U$1,),)</f>
        <v>0</v>
      </c>
      <c r="V32" s="140">
        <f>IFERROR(ROUND(CFwp_US_local!V32*V$1,),)</f>
        <v>0</v>
      </c>
      <c r="W32" s="140">
        <f>IFERROR(ROUND(CFwp_US_local!W32*W$1,),)</f>
        <v>0</v>
      </c>
      <c r="X32" s="140">
        <f>IFERROR(ROUND(CFwp_US_local!X32*X$1,),)</f>
        <v>0</v>
      </c>
      <c r="Y32" s="145">
        <v>0</v>
      </c>
      <c r="Z32" s="145">
        <v>0</v>
      </c>
      <c r="AA32" s="182">
        <f t="shared" si="4"/>
        <v>0</v>
      </c>
      <c r="AB32" s="182">
        <f t="shared" si="5"/>
        <v>0</v>
      </c>
    </row>
    <row r="33" spans="2:28">
      <c r="B33" s="139"/>
      <c r="C33" s="139"/>
      <c r="D33" s="140">
        <f>IFERROR(ROUND(CFwp_US_local!D33*D$1,),)</f>
        <v>0</v>
      </c>
      <c r="E33" s="140">
        <f>IFERROR(ROUND(CFwp_US_local!E33*E$1,),)</f>
        <v>0</v>
      </c>
      <c r="F33" s="146">
        <f t="shared" si="6"/>
        <v>0</v>
      </c>
      <c r="G33" s="146">
        <f t="shared" si="3"/>
        <v>0</v>
      </c>
      <c r="H33" s="143"/>
      <c r="I33" s="140">
        <f>IFERROR(ROUND(CFwp_US_local!I33*I$1,),)</f>
        <v>0</v>
      </c>
      <c r="J33" s="140">
        <f>IFERROR(ROUND(CFwp_US_local!J33*J$1,),)</f>
        <v>0</v>
      </c>
      <c r="K33" s="140">
        <f>IFERROR(ROUND(CFwp_US_local!K33*K$1,),)</f>
        <v>0</v>
      </c>
      <c r="L33" s="140">
        <f>IFERROR(ROUND(CFwp_US_local!L33*L$1,),)</f>
        <v>0</v>
      </c>
      <c r="M33" s="140">
        <f>IFERROR(ROUND(CFwp_US_local!M33*M$1,),)</f>
        <v>0</v>
      </c>
      <c r="N33" s="140">
        <f>IFERROR(ROUND(CFwp_US_local!N33*N$1,),)</f>
        <v>0</v>
      </c>
      <c r="O33" s="140">
        <f>IFERROR(ROUND(CFwp_US_local!O33*O$1,),)</f>
        <v>0</v>
      </c>
      <c r="P33" s="140">
        <f>IFERROR(ROUND(CFwp_US_local!P33*P$1,),)</f>
        <v>0</v>
      </c>
      <c r="Q33" s="140">
        <f>IFERROR(ROUND(CFwp_US_local!Q33*Q$1,),)</f>
        <v>0</v>
      </c>
      <c r="R33" s="140">
        <f>IFERROR(ROUND(CFwp_US_local!R33*R$1,),)</f>
        <v>0</v>
      </c>
      <c r="S33" s="140">
        <f>IFERROR(ROUND(CFwp_US_local!S33*S$1,),)</f>
        <v>0</v>
      </c>
      <c r="T33" s="140">
        <f>IFERROR(ROUND(CFwp_US_local!T33*T$1,),)</f>
        <v>0</v>
      </c>
      <c r="U33" s="140">
        <f>IFERROR(ROUND(CFwp_US_local!U33*U$1,),)</f>
        <v>0</v>
      </c>
      <c r="V33" s="140">
        <f>IFERROR(ROUND(CFwp_US_local!V33*V$1,),)</f>
        <v>0</v>
      </c>
      <c r="W33" s="140">
        <f>IFERROR(ROUND(CFwp_US_local!W33*W$1,),)</f>
        <v>0</v>
      </c>
      <c r="X33" s="140">
        <f>IFERROR(ROUND(CFwp_US_local!X33*X$1,),)</f>
        <v>0</v>
      </c>
      <c r="Y33" s="145">
        <v>0</v>
      </c>
      <c r="Z33" s="145">
        <v>0</v>
      </c>
      <c r="AA33" s="182">
        <f t="shared" si="4"/>
        <v>0</v>
      </c>
      <c r="AB33" s="182">
        <f t="shared" si="5"/>
        <v>0</v>
      </c>
    </row>
    <row r="34" spans="2:28">
      <c r="B34" s="137"/>
      <c r="C34" s="137" t="s">
        <v>574</v>
      </c>
      <c r="D34" s="138">
        <f>SUM(D35:D47)</f>
        <v>0</v>
      </c>
      <c r="E34" s="138">
        <f>SUM(E35:E47)</f>
        <v>47565184</v>
      </c>
      <c r="F34" s="138">
        <f t="shared" si="6"/>
        <v>47565184</v>
      </c>
      <c r="G34" s="146">
        <f t="shared" si="3"/>
        <v>0</v>
      </c>
      <c r="H34" s="138"/>
      <c r="I34" s="149"/>
      <c r="J34" s="138"/>
      <c r="K34" s="138"/>
      <c r="L34" s="140">
        <f>IFERROR(ROUND(CFwp_US_local!L34*L$1,),)</f>
        <v>-51705279</v>
      </c>
      <c r="M34" s="151"/>
      <c r="N34" s="140">
        <f>IFERROR(ROUND(CFwp_US_local!N34*N$1,),)</f>
        <v>-51705279</v>
      </c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>
        <v>0</v>
      </c>
      <c r="Z34" s="138">
        <v>4140095</v>
      </c>
      <c r="AA34" s="182">
        <f t="shared" si="4"/>
        <v>0</v>
      </c>
      <c r="AB34" s="182">
        <f t="shared" si="5"/>
        <v>0</v>
      </c>
    </row>
    <row r="35" spans="2:28">
      <c r="B35" s="139" t="s">
        <v>67</v>
      </c>
      <c r="C35" s="139" t="s">
        <v>68</v>
      </c>
      <c r="D35" s="140">
        <f>IFERROR(ROUND(CFwp_US_local!D35*D$1,),)</f>
        <v>0</v>
      </c>
      <c r="E35" s="140">
        <f>IFERROR(ROUND(CFwp_US_local!E35*E$1,),)</f>
        <v>47565184</v>
      </c>
      <c r="F35" s="146">
        <f t="shared" si="6"/>
        <v>47565184</v>
      </c>
      <c r="G35" s="146"/>
      <c r="H35" s="143"/>
      <c r="I35" s="140">
        <f>IFERROR(ROUND(CFwp_US_local!I35*I$1,),)</f>
        <v>0</v>
      </c>
      <c r="J35" s="140">
        <f>IFERROR(ROUND(CFwp_US_local!J35*J$1,),)</f>
        <v>0</v>
      </c>
      <c r="K35" s="140">
        <f>IFERROR(ROUND(CFwp_US_local!K35*K$1,),)</f>
        <v>0</v>
      </c>
      <c r="L35" s="140">
        <f>IFERROR(ROUND(CFwp_US_local!L35*L$1,),)</f>
        <v>0</v>
      </c>
      <c r="M35" s="140">
        <f>IFERROR(ROUND(CFwp_US_local!M35*M$1,),)</f>
        <v>0</v>
      </c>
      <c r="N35" s="140">
        <f>IFERROR(ROUND(CFwp_US_local!N35*N$1,),)</f>
        <v>0</v>
      </c>
      <c r="O35" s="140">
        <f>IFERROR(ROUND(CFwp_US_local!O35*O$1,),)</f>
        <v>0</v>
      </c>
      <c r="P35" s="140">
        <f>IFERROR(ROUND(CFwp_US_local!P35*P$1,),)</f>
        <v>0</v>
      </c>
      <c r="Q35" s="140">
        <f>IFERROR(ROUND(CFwp_US_local!Q35*Q$1,),)</f>
        <v>0</v>
      </c>
      <c r="R35" s="140">
        <f>IFERROR(ROUND(CFwp_US_local!R35*R$1,),)</f>
        <v>0</v>
      </c>
      <c r="S35" s="140">
        <f>IFERROR(ROUND(CFwp_US_local!S35*S$1,),)</f>
        <v>0</v>
      </c>
      <c r="T35" s="140">
        <f>IFERROR(ROUND(CFwp_US_local!T35*T$1,),)</f>
        <v>0</v>
      </c>
      <c r="U35" s="140">
        <f>IFERROR(ROUND(CFwp_US_local!U35*U$1,),)</f>
        <v>0</v>
      </c>
      <c r="V35" s="140">
        <f>IFERROR(ROUND(CFwp_US_local!V35*V$1,),)</f>
        <v>0</v>
      </c>
      <c r="W35" s="140">
        <f>IFERROR(ROUND(CFwp_US_local!W35*W$1,),)</f>
        <v>0</v>
      </c>
      <c r="X35" s="140">
        <f>IFERROR(ROUND(CFwp_US_local!X35*X$1,),)</f>
        <v>0</v>
      </c>
      <c r="Y35" s="145">
        <v>0</v>
      </c>
      <c r="Z35" s="145">
        <v>0</v>
      </c>
      <c r="AA35" s="182">
        <f t="shared" si="4"/>
        <v>0</v>
      </c>
      <c r="AB35" s="182">
        <f t="shared" si="5"/>
        <v>0</v>
      </c>
    </row>
    <row r="36" spans="2:28">
      <c r="B36" s="139" t="s">
        <v>71</v>
      </c>
      <c r="C36" s="139" t="s">
        <v>72</v>
      </c>
      <c r="D36" s="140">
        <f>IFERROR(ROUND(CFwp_US_local!D36*D$1,),)</f>
        <v>0</v>
      </c>
      <c r="E36" s="140">
        <f>IFERROR(ROUND(CFwp_US_local!E36*E$1,),)</f>
        <v>0</v>
      </c>
      <c r="F36" s="146">
        <f t="shared" si="6"/>
        <v>0</v>
      </c>
      <c r="G36" s="146"/>
      <c r="H36" s="143"/>
      <c r="I36" s="140">
        <f>IFERROR(ROUND(CFwp_US_local!I36*I$1,),)</f>
        <v>0</v>
      </c>
      <c r="J36" s="140">
        <f>IFERROR(ROUND(CFwp_US_local!J36*J$1,),)</f>
        <v>0</v>
      </c>
      <c r="K36" s="140">
        <f>IFERROR(ROUND(CFwp_US_local!K36*K$1,),)</f>
        <v>0</v>
      </c>
      <c r="L36" s="140">
        <f>IFERROR(ROUND(CFwp_US_local!L36*L$1,),)</f>
        <v>0</v>
      </c>
      <c r="M36" s="140">
        <f>IFERROR(ROUND(CFwp_US_local!M36*M$1,),)</f>
        <v>0</v>
      </c>
      <c r="N36" s="140">
        <f>IFERROR(ROUND(CFwp_US_local!N36*N$1,),)</f>
        <v>0</v>
      </c>
      <c r="O36" s="140">
        <f>IFERROR(ROUND(CFwp_US_local!O36*O$1,),)</f>
        <v>0</v>
      </c>
      <c r="P36" s="140">
        <f>IFERROR(ROUND(CFwp_US_local!P36*P$1,),)</f>
        <v>0</v>
      </c>
      <c r="Q36" s="140">
        <f>IFERROR(ROUND(CFwp_US_local!Q36*Q$1,),)</f>
        <v>0</v>
      </c>
      <c r="R36" s="140">
        <f>IFERROR(ROUND(CFwp_US_local!R36*R$1,),)</f>
        <v>0</v>
      </c>
      <c r="S36" s="140">
        <f>IFERROR(ROUND(CFwp_US_local!S36*S$1,),)</f>
        <v>0</v>
      </c>
      <c r="T36" s="140">
        <f>IFERROR(ROUND(CFwp_US_local!T36*T$1,),)</f>
        <v>0</v>
      </c>
      <c r="U36" s="140">
        <f>IFERROR(ROUND(CFwp_US_local!U36*U$1,),)</f>
        <v>0</v>
      </c>
      <c r="V36" s="140">
        <f>IFERROR(ROUND(CFwp_US_local!V36*V$1,),)</f>
        <v>0</v>
      </c>
      <c r="W36" s="140">
        <f>IFERROR(ROUND(CFwp_US_local!W36*W$1,),)</f>
        <v>0</v>
      </c>
      <c r="X36" s="140">
        <f>IFERROR(ROUND(CFwp_US_local!X36*X$1,),)</f>
        <v>0</v>
      </c>
      <c r="Y36" s="145">
        <v>0</v>
      </c>
      <c r="Z36" s="145">
        <v>0</v>
      </c>
      <c r="AA36" s="182">
        <f t="shared" si="4"/>
        <v>0</v>
      </c>
      <c r="AB36" s="182">
        <f t="shared" si="5"/>
        <v>0</v>
      </c>
    </row>
    <row r="37" spans="2:28">
      <c r="B37" s="139" t="s">
        <v>73</v>
      </c>
      <c r="C37" s="139" t="s">
        <v>74</v>
      </c>
      <c r="D37" s="140">
        <f>IFERROR(ROUND(CFwp_US_local!D37*D$1,),)</f>
        <v>0</v>
      </c>
      <c r="E37" s="140">
        <f>IFERROR(ROUND(CFwp_US_local!E37*E$1,),)</f>
        <v>0</v>
      </c>
      <c r="F37" s="146">
        <f t="shared" si="6"/>
        <v>0</v>
      </c>
      <c r="G37" s="146"/>
      <c r="H37" s="143"/>
      <c r="I37" s="140">
        <f>IFERROR(ROUND(CFwp_US_local!I37*I$1,),)</f>
        <v>0</v>
      </c>
      <c r="J37" s="140">
        <f>IFERROR(ROUND(CFwp_US_local!J37*J$1,),)</f>
        <v>0</v>
      </c>
      <c r="K37" s="140">
        <f>IFERROR(ROUND(CFwp_US_local!K37*K$1,),)</f>
        <v>0</v>
      </c>
      <c r="L37" s="140">
        <f>IFERROR(ROUND(CFwp_US_local!L37*L$1,),)</f>
        <v>0</v>
      </c>
      <c r="M37" s="140">
        <f>IFERROR(ROUND(CFwp_US_local!M37*M$1,),)</f>
        <v>0</v>
      </c>
      <c r="N37" s="140">
        <f>IFERROR(ROUND(CFwp_US_local!N37*N$1,),)</f>
        <v>0</v>
      </c>
      <c r="O37" s="140">
        <f>IFERROR(ROUND(CFwp_US_local!O37*O$1,),)</f>
        <v>0</v>
      </c>
      <c r="P37" s="140">
        <f>IFERROR(ROUND(CFwp_US_local!P37*P$1,),)</f>
        <v>0</v>
      </c>
      <c r="Q37" s="140">
        <f>IFERROR(ROUND(CFwp_US_local!Q37*Q$1,),)</f>
        <v>0</v>
      </c>
      <c r="R37" s="140">
        <f>IFERROR(ROUND(CFwp_US_local!R37*R$1,),)</f>
        <v>0</v>
      </c>
      <c r="S37" s="140">
        <f>IFERROR(ROUND(CFwp_US_local!S37*S$1,),)</f>
        <v>0</v>
      </c>
      <c r="T37" s="140">
        <f>IFERROR(ROUND(CFwp_US_local!T37*T$1,),)</f>
        <v>0</v>
      </c>
      <c r="U37" s="140">
        <f>IFERROR(ROUND(CFwp_US_local!U37*U$1,),)</f>
        <v>0</v>
      </c>
      <c r="V37" s="140">
        <f>IFERROR(ROUND(CFwp_US_local!V37*V$1,),)</f>
        <v>0</v>
      </c>
      <c r="W37" s="140">
        <f>IFERROR(ROUND(CFwp_US_local!W37*W$1,),)</f>
        <v>0</v>
      </c>
      <c r="X37" s="140">
        <f>IFERROR(ROUND(CFwp_US_local!X37*X$1,),)</f>
        <v>0</v>
      </c>
      <c r="Y37" s="145">
        <v>0</v>
      </c>
      <c r="Z37" s="145">
        <v>0</v>
      </c>
      <c r="AA37" s="182">
        <f t="shared" si="4"/>
        <v>0</v>
      </c>
      <c r="AB37" s="182">
        <f t="shared" si="5"/>
        <v>0</v>
      </c>
    </row>
    <row r="38" spans="2:28">
      <c r="B38" s="139" t="s">
        <v>75</v>
      </c>
      <c r="C38" s="139" t="s">
        <v>76</v>
      </c>
      <c r="D38" s="140">
        <f>IFERROR(ROUND(CFwp_US_local!D38*D$1,),)</f>
        <v>0</v>
      </c>
      <c r="E38" s="140">
        <f>IFERROR(ROUND(CFwp_US_local!E38*E$1,),)</f>
        <v>0</v>
      </c>
      <c r="F38" s="146">
        <f t="shared" si="6"/>
        <v>0</v>
      </c>
      <c r="G38" s="146"/>
      <c r="H38" s="143"/>
      <c r="I38" s="140">
        <f>IFERROR(ROUND(CFwp_US_local!I38*I$1,),)</f>
        <v>0</v>
      </c>
      <c r="J38" s="140">
        <f>IFERROR(ROUND(CFwp_US_local!J38*J$1,),)</f>
        <v>0</v>
      </c>
      <c r="K38" s="140">
        <f>IFERROR(ROUND(CFwp_US_local!K38*K$1,),)</f>
        <v>0</v>
      </c>
      <c r="L38" s="140">
        <f>IFERROR(ROUND(CFwp_US_local!L38*L$1,),)</f>
        <v>0</v>
      </c>
      <c r="M38" s="140">
        <f>IFERROR(ROUND(CFwp_US_local!M38*M$1,),)</f>
        <v>0</v>
      </c>
      <c r="N38" s="140">
        <f>IFERROR(ROUND(CFwp_US_local!N38*N$1,),)</f>
        <v>0</v>
      </c>
      <c r="O38" s="140">
        <f>IFERROR(ROUND(CFwp_US_local!O38*O$1,),)</f>
        <v>0</v>
      </c>
      <c r="P38" s="140">
        <f>IFERROR(ROUND(CFwp_US_local!P38*P$1,),)</f>
        <v>0</v>
      </c>
      <c r="Q38" s="140">
        <f>IFERROR(ROUND(CFwp_US_local!Q38*Q$1,),)</f>
        <v>0</v>
      </c>
      <c r="R38" s="140">
        <f>IFERROR(ROUND(CFwp_US_local!R38*R$1,),)</f>
        <v>0</v>
      </c>
      <c r="S38" s="140">
        <f>IFERROR(ROUND(CFwp_US_local!S38*S$1,),)</f>
        <v>0</v>
      </c>
      <c r="T38" s="140">
        <f>IFERROR(ROUND(CFwp_US_local!T38*T$1,),)</f>
        <v>0</v>
      </c>
      <c r="U38" s="140">
        <f>IFERROR(ROUND(CFwp_US_local!U38*U$1,),)</f>
        <v>0</v>
      </c>
      <c r="V38" s="140">
        <f>IFERROR(ROUND(CFwp_US_local!V38*V$1,),)</f>
        <v>0</v>
      </c>
      <c r="W38" s="140">
        <f>IFERROR(ROUND(CFwp_US_local!W38*W$1,),)</f>
        <v>0</v>
      </c>
      <c r="X38" s="140">
        <f>IFERROR(ROUND(CFwp_US_local!X38*X$1,),)</f>
        <v>0</v>
      </c>
      <c r="Y38" s="145">
        <v>0</v>
      </c>
      <c r="Z38" s="145">
        <v>0</v>
      </c>
      <c r="AA38" s="182">
        <f t="shared" si="4"/>
        <v>0</v>
      </c>
      <c r="AB38" s="182">
        <f t="shared" si="5"/>
        <v>0</v>
      </c>
    </row>
    <row r="39" spans="2:28">
      <c r="B39" s="139" t="s">
        <v>77</v>
      </c>
      <c r="C39" s="139" t="s">
        <v>78</v>
      </c>
      <c r="D39" s="140">
        <f>IFERROR(ROUND(CFwp_US_local!D39*D$1,),)</f>
        <v>0</v>
      </c>
      <c r="E39" s="140">
        <f>IFERROR(ROUND(CFwp_US_local!E39*E$1,),)</f>
        <v>0</v>
      </c>
      <c r="F39" s="146">
        <f t="shared" si="6"/>
        <v>0</v>
      </c>
      <c r="G39" s="146"/>
      <c r="H39" s="143"/>
      <c r="I39" s="140">
        <f>IFERROR(ROUND(CFwp_US_local!I39*I$1,),)</f>
        <v>0</v>
      </c>
      <c r="J39" s="140">
        <f>IFERROR(ROUND(CFwp_US_local!J39*J$1,),)</f>
        <v>0</v>
      </c>
      <c r="K39" s="140">
        <f>IFERROR(ROUND(CFwp_US_local!K39*K$1,),)</f>
        <v>0</v>
      </c>
      <c r="L39" s="140">
        <f>IFERROR(ROUND(CFwp_US_local!L39*L$1,),)</f>
        <v>0</v>
      </c>
      <c r="M39" s="140">
        <f>IFERROR(ROUND(CFwp_US_local!M39*M$1,),)</f>
        <v>0</v>
      </c>
      <c r="N39" s="140">
        <f>IFERROR(ROUND(CFwp_US_local!N39*N$1,),)</f>
        <v>0</v>
      </c>
      <c r="O39" s="140">
        <f>IFERROR(ROUND(CFwp_US_local!O39*O$1,),)</f>
        <v>0</v>
      </c>
      <c r="P39" s="140">
        <f>IFERROR(ROUND(CFwp_US_local!P39*P$1,),)</f>
        <v>0</v>
      </c>
      <c r="Q39" s="140">
        <f>IFERROR(ROUND(CFwp_US_local!Q39*Q$1,),)</f>
        <v>0</v>
      </c>
      <c r="R39" s="140">
        <f>IFERROR(ROUND(CFwp_US_local!R39*R$1,),)</f>
        <v>0</v>
      </c>
      <c r="S39" s="140">
        <f>IFERROR(ROUND(CFwp_US_local!S39*S$1,),)</f>
        <v>0</v>
      </c>
      <c r="T39" s="140">
        <f>IFERROR(ROUND(CFwp_US_local!T39*T$1,),)</f>
        <v>0</v>
      </c>
      <c r="U39" s="140">
        <f>IFERROR(ROUND(CFwp_US_local!U39*U$1,),)</f>
        <v>0</v>
      </c>
      <c r="V39" s="140">
        <f>IFERROR(ROUND(CFwp_US_local!V39*V$1,),)</f>
        <v>0</v>
      </c>
      <c r="W39" s="140">
        <f>IFERROR(ROUND(CFwp_US_local!W39*W$1,),)</f>
        <v>0</v>
      </c>
      <c r="X39" s="140">
        <f>IFERROR(ROUND(CFwp_US_local!X39*X$1,),)</f>
        <v>0</v>
      </c>
      <c r="Y39" s="145">
        <v>0</v>
      </c>
      <c r="Z39" s="145">
        <v>0</v>
      </c>
      <c r="AA39" s="182">
        <f t="shared" si="4"/>
        <v>0</v>
      </c>
      <c r="AB39" s="182">
        <f t="shared" si="5"/>
        <v>0</v>
      </c>
    </row>
    <row r="40" spans="2:28">
      <c r="B40" s="139" t="s">
        <v>79</v>
      </c>
      <c r="C40" s="139" t="s">
        <v>80</v>
      </c>
      <c r="D40" s="140">
        <f>IFERROR(ROUND(CFwp_US_local!D40*D$1,),)</f>
        <v>0</v>
      </c>
      <c r="E40" s="140">
        <f>IFERROR(ROUND(CFwp_US_local!E40*E$1,),)</f>
        <v>0</v>
      </c>
      <c r="F40" s="146">
        <f t="shared" si="6"/>
        <v>0</v>
      </c>
      <c r="G40" s="146"/>
      <c r="H40" s="143"/>
      <c r="I40" s="140">
        <f>IFERROR(ROUND(CFwp_US_local!I40*I$1,),)</f>
        <v>0</v>
      </c>
      <c r="J40" s="140">
        <f>IFERROR(ROUND(CFwp_US_local!J40*J$1,),)</f>
        <v>0</v>
      </c>
      <c r="K40" s="140">
        <f>IFERROR(ROUND(CFwp_US_local!K40*K$1,),)</f>
        <v>0</v>
      </c>
      <c r="L40" s="140">
        <f>IFERROR(ROUND(CFwp_US_local!L40*L$1,),)</f>
        <v>0</v>
      </c>
      <c r="M40" s="140">
        <f>IFERROR(ROUND(CFwp_US_local!M40*M$1,),)</f>
        <v>0</v>
      </c>
      <c r="N40" s="140">
        <f>IFERROR(ROUND(CFwp_US_local!N40*N$1,),)</f>
        <v>0</v>
      </c>
      <c r="O40" s="140">
        <f>IFERROR(ROUND(CFwp_US_local!O40*O$1,),)</f>
        <v>0</v>
      </c>
      <c r="P40" s="140">
        <f>IFERROR(ROUND(CFwp_US_local!P40*P$1,),)</f>
        <v>0</v>
      </c>
      <c r="Q40" s="140">
        <f>IFERROR(ROUND(CFwp_US_local!Q40*Q$1,),)</f>
        <v>0</v>
      </c>
      <c r="R40" s="140">
        <f>IFERROR(ROUND(CFwp_US_local!R40*R$1,),)</f>
        <v>0</v>
      </c>
      <c r="S40" s="140">
        <f>IFERROR(ROUND(CFwp_US_local!S40*S$1,),)</f>
        <v>0</v>
      </c>
      <c r="T40" s="140">
        <f>IFERROR(ROUND(CFwp_US_local!T40*T$1,),)</f>
        <v>0</v>
      </c>
      <c r="U40" s="140">
        <f>IFERROR(ROUND(CFwp_US_local!U40*U$1,),)</f>
        <v>0</v>
      </c>
      <c r="V40" s="140">
        <f>IFERROR(ROUND(CFwp_US_local!V40*V$1,),)</f>
        <v>0</v>
      </c>
      <c r="W40" s="140">
        <f>IFERROR(ROUND(CFwp_US_local!W40*W$1,),)</f>
        <v>0</v>
      </c>
      <c r="X40" s="140">
        <f>IFERROR(ROUND(CFwp_US_local!X40*X$1,),)</f>
        <v>0</v>
      </c>
      <c r="Y40" s="145">
        <v>0</v>
      </c>
      <c r="Z40" s="145">
        <v>0</v>
      </c>
      <c r="AA40" s="182">
        <f t="shared" si="4"/>
        <v>0</v>
      </c>
      <c r="AB40" s="182">
        <f t="shared" si="5"/>
        <v>0</v>
      </c>
    </row>
    <row r="41" spans="2:28">
      <c r="B41" s="139" t="s">
        <v>81</v>
      </c>
      <c r="C41" s="139" t="s">
        <v>82</v>
      </c>
      <c r="D41" s="140">
        <f>IFERROR(ROUND(CFwp_US_local!D41*D$1,),)</f>
        <v>0</v>
      </c>
      <c r="E41" s="140">
        <f>IFERROR(ROUND(CFwp_US_local!E41*E$1,),)</f>
        <v>0</v>
      </c>
      <c r="F41" s="146">
        <f t="shared" si="6"/>
        <v>0</v>
      </c>
      <c r="G41" s="146"/>
      <c r="H41" s="143"/>
      <c r="I41" s="140">
        <f>IFERROR(ROUND(CFwp_US_local!I41*I$1,),)</f>
        <v>0</v>
      </c>
      <c r="J41" s="140">
        <f>IFERROR(ROUND(CFwp_US_local!J41*J$1,),)</f>
        <v>0</v>
      </c>
      <c r="K41" s="140">
        <f>IFERROR(ROUND(CFwp_US_local!K41*K$1,),)</f>
        <v>0</v>
      </c>
      <c r="L41" s="140">
        <f>IFERROR(ROUND(CFwp_US_local!L41*L$1,),)</f>
        <v>0</v>
      </c>
      <c r="M41" s="140">
        <f>IFERROR(ROUND(CFwp_US_local!M41*M$1,),)</f>
        <v>0</v>
      </c>
      <c r="N41" s="140">
        <f>IFERROR(ROUND(CFwp_US_local!N41*N$1,),)</f>
        <v>0</v>
      </c>
      <c r="O41" s="140">
        <f>IFERROR(ROUND(CFwp_US_local!O41*O$1,),)</f>
        <v>0</v>
      </c>
      <c r="P41" s="140">
        <f>IFERROR(ROUND(CFwp_US_local!P41*P$1,),)</f>
        <v>0</v>
      </c>
      <c r="Q41" s="140">
        <f>IFERROR(ROUND(CFwp_US_local!Q41*Q$1,),)</f>
        <v>0</v>
      </c>
      <c r="R41" s="140">
        <f>IFERROR(ROUND(CFwp_US_local!R41*R$1,),)</f>
        <v>0</v>
      </c>
      <c r="S41" s="140">
        <f>IFERROR(ROUND(CFwp_US_local!S41*S$1,),)</f>
        <v>0</v>
      </c>
      <c r="T41" s="140">
        <f>IFERROR(ROUND(CFwp_US_local!T41*T$1,),)</f>
        <v>0</v>
      </c>
      <c r="U41" s="140">
        <f>IFERROR(ROUND(CFwp_US_local!U41*U$1,),)</f>
        <v>0</v>
      </c>
      <c r="V41" s="140">
        <f>IFERROR(ROUND(CFwp_US_local!V41*V$1,),)</f>
        <v>0</v>
      </c>
      <c r="W41" s="140">
        <f>IFERROR(ROUND(CFwp_US_local!W41*W$1,),)</f>
        <v>0</v>
      </c>
      <c r="X41" s="140">
        <f>IFERROR(ROUND(CFwp_US_local!X41*X$1,),)</f>
        <v>0</v>
      </c>
      <c r="Y41" s="145">
        <v>0</v>
      </c>
      <c r="Z41" s="145">
        <v>0</v>
      </c>
      <c r="AA41" s="182">
        <f t="shared" si="4"/>
        <v>0</v>
      </c>
      <c r="AB41" s="182">
        <f t="shared" si="5"/>
        <v>0</v>
      </c>
    </row>
    <row r="42" spans="2:28">
      <c r="B42" s="139" t="s">
        <v>83</v>
      </c>
      <c r="C42" s="139" t="s">
        <v>84</v>
      </c>
      <c r="D42" s="140">
        <f>IFERROR(ROUND(CFwp_US_local!D42*D$1,),)</f>
        <v>0</v>
      </c>
      <c r="E42" s="140">
        <f>IFERROR(ROUND(CFwp_US_local!E42*E$1,),)</f>
        <v>0</v>
      </c>
      <c r="F42" s="146">
        <f t="shared" si="6"/>
        <v>0</v>
      </c>
      <c r="G42" s="146"/>
      <c r="H42" s="143"/>
      <c r="I42" s="140">
        <f>IFERROR(ROUND(CFwp_US_local!I42*I$1,),)</f>
        <v>0</v>
      </c>
      <c r="J42" s="140">
        <f>IFERROR(ROUND(CFwp_US_local!J42*J$1,),)</f>
        <v>0</v>
      </c>
      <c r="K42" s="140">
        <f>IFERROR(ROUND(CFwp_US_local!K42*K$1,),)</f>
        <v>0</v>
      </c>
      <c r="L42" s="140">
        <f>IFERROR(ROUND(CFwp_US_local!L42*L$1,),)</f>
        <v>0</v>
      </c>
      <c r="M42" s="140">
        <f>IFERROR(ROUND(CFwp_US_local!M42*M$1,),)</f>
        <v>0</v>
      </c>
      <c r="N42" s="140">
        <f>IFERROR(ROUND(CFwp_US_local!N42*N$1,),)</f>
        <v>0</v>
      </c>
      <c r="O42" s="140">
        <f>IFERROR(ROUND(CFwp_US_local!O42*O$1,),)</f>
        <v>0</v>
      </c>
      <c r="P42" s="140">
        <f>IFERROR(ROUND(CFwp_US_local!P42*P$1,),)</f>
        <v>0</v>
      </c>
      <c r="Q42" s="140">
        <f>IFERROR(ROUND(CFwp_US_local!Q42*Q$1,),)</f>
        <v>0</v>
      </c>
      <c r="R42" s="140">
        <f>IFERROR(ROUND(CFwp_US_local!R42*R$1,),)</f>
        <v>0</v>
      </c>
      <c r="S42" s="140">
        <f>IFERROR(ROUND(CFwp_US_local!S42*S$1,),)</f>
        <v>0</v>
      </c>
      <c r="T42" s="140">
        <f>IFERROR(ROUND(CFwp_US_local!T42*T$1,),)</f>
        <v>0</v>
      </c>
      <c r="U42" s="140">
        <f>IFERROR(ROUND(CFwp_US_local!U42*U$1,),)</f>
        <v>0</v>
      </c>
      <c r="V42" s="140">
        <f>IFERROR(ROUND(CFwp_US_local!V42*V$1,),)</f>
        <v>0</v>
      </c>
      <c r="W42" s="140">
        <f>IFERROR(ROUND(CFwp_US_local!W42*W$1,),)</f>
        <v>0</v>
      </c>
      <c r="X42" s="140">
        <f>IFERROR(ROUND(CFwp_US_local!X42*X$1,),)</f>
        <v>0</v>
      </c>
      <c r="Y42" s="145">
        <v>0</v>
      </c>
      <c r="Z42" s="145">
        <v>0</v>
      </c>
      <c r="AA42" s="182">
        <f t="shared" si="4"/>
        <v>0</v>
      </c>
      <c r="AB42" s="182">
        <f t="shared" si="5"/>
        <v>0</v>
      </c>
    </row>
    <row r="43" spans="2:28">
      <c r="B43" s="139" t="s">
        <v>85</v>
      </c>
      <c r="C43" s="139" t="s">
        <v>86</v>
      </c>
      <c r="D43" s="140">
        <f>IFERROR(ROUND(CFwp_US_local!D43*D$1,),)</f>
        <v>0</v>
      </c>
      <c r="E43" s="140">
        <f>IFERROR(ROUND(CFwp_US_local!E43*E$1,),)</f>
        <v>0</v>
      </c>
      <c r="F43" s="146">
        <f t="shared" si="6"/>
        <v>0</v>
      </c>
      <c r="G43" s="146"/>
      <c r="H43" s="143"/>
      <c r="I43" s="140">
        <f>IFERROR(ROUND(CFwp_US_local!I43*I$1,),)</f>
        <v>0</v>
      </c>
      <c r="J43" s="140">
        <f>IFERROR(ROUND(CFwp_US_local!J43*J$1,),)</f>
        <v>0</v>
      </c>
      <c r="K43" s="140">
        <f>IFERROR(ROUND(CFwp_US_local!K43*K$1,),)</f>
        <v>0</v>
      </c>
      <c r="L43" s="140">
        <f>IFERROR(ROUND(CFwp_US_local!L43*L$1,),)</f>
        <v>0</v>
      </c>
      <c r="M43" s="140">
        <f>IFERROR(ROUND(CFwp_US_local!M43*M$1,),)</f>
        <v>0</v>
      </c>
      <c r="N43" s="140">
        <f>IFERROR(ROUND(CFwp_US_local!N43*N$1,),)</f>
        <v>0</v>
      </c>
      <c r="O43" s="140">
        <f>IFERROR(ROUND(CFwp_US_local!O43*O$1,),)</f>
        <v>0</v>
      </c>
      <c r="P43" s="140">
        <f>IFERROR(ROUND(CFwp_US_local!P43*P$1,),)</f>
        <v>0</v>
      </c>
      <c r="Q43" s="140">
        <f>IFERROR(ROUND(CFwp_US_local!Q43*Q$1,),)</f>
        <v>0</v>
      </c>
      <c r="R43" s="140">
        <f>IFERROR(ROUND(CFwp_US_local!R43*R$1,),)</f>
        <v>0</v>
      </c>
      <c r="S43" s="140">
        <f>IFERROR(ROUND(CFwp_US_local!S43*S$1,),)</f>
        <v>0</v>
      </c>
      <c r="T43" s="140">
        <f>IFERROR(ROUND(CFwp_US_local!T43*T$1,),)</f>
        <v>0</v>
      </c>
      <c r="U43" s="140">
        <f>IFERROR(ROUND(CFwp_US_local!U43*U$1,),)</f>
        <v>0</v>
      </c>
      <c r="V43" s="140">
        <f>IFERROR(ROUND(CFwp_US_local!V43*V$1,),)</f>
        <v>0</v>
      </c>
      <c r="W43" s="140">
        <f>IFERROR(ROUND(CFwp_US_local!W43*W$1,),)</f>
        <v>0</v>
      </c>
      <c r="X43" s="140">
        <f>IFERROR(ROUND(CFwp_US_local!X43*X$1,),)</f>
        <v>0</v>
      </c>
      <c r="Y43" s="145">
        <v>0</v>
      </c>
      <c r="Z43" s="145">
        <v>0</v>
      </c>
      <c r="AA43" s="182">
        <f t="shared" si="4"/>
        <v>0</v>
      </c>
      <c r="AB43" s="182">
        <f t="shared" si="5"/>
        <v>0</v>
      </c>
    </row>
    <row r="44" spans="2:28">
      <c r="B44" s="139" t="s">
        <v>87</v>
      </c>
      <c r="C44" s="139" t="s">
        <v>88</v>
      </c>
      <c r="D44" s="140">
        <f>IFERROR(ROUND(CFwp_US_local!D44*D$1,),)</f>
        <v>0</v>
      </c>
      <c r="E44" s="140">
        <f>IFERROR(ROUND(CFwp_US_local!E44*E$1,),)</f>
        <v>0</v>
      </c>
      <c r="F44" s="146">
        <f t="shared" si="6"/>
        <v>0</v>
      </c>
      <c r="G44" s="146"/>
      <c r="H44" s="143"/>
      <c r="I44" s="140">
        <f>IFERROR(ROUND(CFwp_US_local!I44*I$1,),)</f>
        <v>0</v>
      </c>
      <c r="J44" s="140">
        <f>IFERROR(ROUND(CFwp_US_local!J44*J$1,),)</f>
        <v>0</v>
      </c>
      <c r="K44" s="140">
        <f>IFERROR(ROUND(CFwp_US_local!K44*K$1,),)</f>
        <v>0</v>
      </c>
      <c r="L44" s="140">
        <f>IFERROR(ROUND(CFwp_US_local!L44*L$1,),)</f>
        <v>0</v>
      </c>
      <c r="M44" s="140">
        <f>IFERROR(ROUND(CFwp_US_local!M44*M$1,),)</f>
        <v>0</v>
      </c>
      <c r="N44" s="140">
        <f>IFERROR(ROUND(CFwp_US_local!N44*N$1,),)</f>
        <v>0</v>
      </c>
      <c r="O44" s="140">
        <f>IFERROR(ROUND(CFwp_US_local!O44*O$1,),)</f>
        <v>0</v>
      </c>
      <c r="P44" s="140">
        <f>IFERROR(ROUND(CFwp_US_local!P44*P$1,),)</f>
        <v>0</v>
      </c>
      <c r="Q44" s="140">
        <f>IFERROR(ROUND(CFwp_US_local!Q44*Q$1,),)</f>
        <v>0</v>
      </c>
      <c r="R44" s="140">
        <f>IFERROR(ROUND(CFwp_US_local!R44*R$1,),)</f>
        <v>0</v>
      </c>
      <c r="S44" s="140">
        <f>IFERROR(ROUND(CFwp_US_local!S44*S$1,),)</f>
        <v>0</v>
      </c>
      <c r="T44" s="140">
        <f>IFERROR(ROUND(CFwp_US_local!T44*T$1,),)</f>
        <v>0</v>
      </c>
      <c r="U44" s="140">
        <f>IFERROR(ROUND(CFwp_US_local!U44*U$1,),)</f>
        <v>0</v>
      </c>
      <c r="V44" s="140">
        <f>IFERROR(ROUND(CFwp_US_local!V44*V$1,),)</f>
        <v>0</v>
      </c>
      <c r="W44" s="140">
        <f>IFERROR(ROUND(CFwp_US_local!W44*W$1,),)</f>
        <v>0</v>
      </c>
      <c r="X44" s="140">
        <f>IFERROR(ROUND(CFwp_US_local!X44*X$1,),)</f>
        <v>0</v>
      </c>
      <c r="Y44" s="145">
        <v>0</v>
      </c>
      <c r="Z44" s="145">
        <v>0</v>
      </c>
      <c r="AA44" s="182">
        <f t="shared" si="4"/>
        <v>0</v>
      </c>
      <c r="AB44" s="182">
        <f t="shared" si="5"/>
        <v>0</v>
      </c>
    </row>
    <row r="45" spans="2:28">
      <c r="B45" s="139" t="s">
        <v>89</v>
      </c>
      <c r="C45" s="139" t="s">
        <v>90</v>
      </c>
      <c r="D45" s="140">
        <f>IFERROR(ROUND(CFwp_US_local!D45*D$1,),)</f>
        <v>0</v>
      </c>
      <c r="E45" s="140">
        <f>IFERROR(ROUND(CFwp_US_local!E45*E$1,),)</f>
        <v>0</v>
      </c>
      <c r="F45" s="146">
        <f t="shared" si="6"/>
        <v>0</v>
      </c>
      <c r="G45" s="146"/>
      <c r="H45" s="143"/>
      <c r="I45" s="140">
        <f>IFERROR(ROUND(CFwp_US_local!I45*I$1,),)</f>
        <v>0</v>
      </c>
      <c r="J45" s="140">
        <f>IFERROR(ROUND(CFwp_US_local!J45*J$1,),)</f>
        <v>0</v>
      </c>
      <c r="K45" s="140">
        <f>IFERROR(ROUND(CFwp_US_local!K45*K$1,),)</f>
        <v>0</v>
      </c>
      <c r="L45" s="140">
        <f>IFERROR(ROUND(CFwp_US_local!L45*L$1,),)</f>
        <v>0</v>
      </c>
      <c r="M45" s="140">
        <f>IFERROR(ROUND(CFwp_US_local!M45*M$1,),)</f>
        <v>0</v>
      </c>
      <c r="N45" s="140">
        <f>IFERROR(ROUND(CFwp_US_local!N45*N$1,),)</f>
        <v>0</v>
      </c>
      <c r="O45" s="140">
        <f>IFERROR(ROUND(CFwp_US_local!O45*O$1,),)</f>
        <v>0</v>
      </c>
      <c r="P45" s="140">
        <f>IFERROR(ROUND(CFwp_US_local!P45*P$1,),)</f>
        <v>0</v>
      </c>
      <c r="Q45" s="140">
        <f>IFERROR(ROUND(CFwp_US_local!Q45*Q$1,),)</f>
        <v>0</v>
      </c>
      <c r="R45" s="140">
        <f>IFERROR(ROUND(CFwp_US_local!R45*R$1,),)</f>
        <v>0</v>
      </c>
      <c r="S45" s="140">
        <f>IFERROR(ROUND(CFwp_US_local!S45*S$1,),)</f>
        <v>0</v>
      </c>
      <c r="T45" s="140">
        <f>IFERROR(ROUND(CFwp_US_local!T45*T$1,),)</f>
        <v>0</v>
      </c>
      <c r="U45" s="140">
        <f>IFERROR(ROUND(CFwp_US_local!U45*U$1,),)</f>
        <v>0</v>
      </c>
      <c r="V45" s="140">
        <f>IFERROR(ROUND(CFwp_US_local!V45*V$1,),)</f>
        <v>0</v>
      </c>
      <c r="W45" s="140">
        <f>IFERROR(ROUND(CFwp_US_local!W45*W$1,),)</f>
        <v>0</v>
      </c>
      <c r="X45" s="140">
        <f>IFERROR(ROUND(CFwp_US_local!X45*X$1,),)</f>
        <v>0</v>
      </c>
      <c r="Y45" s="145">
        <v>0</v>
      </c>
      <c r="Z45" s="145">
        <v>0</v>
      </c>
      <c r="AA45" s="182">
        <f t="shared" si="4"/>
        <v>0</v>
      </c>
      <c r="AB45" s="182">
        <f t="shared" si="5"/>
        <v>0</v>
      </c>
    </row>
    <row r="46" spans="2:28">
      <c r="B46" s="139" t="s">
        <v>66</v>
      </c>
      <c r="C46" s="139"/>
      <c r="D46" s="140">
        <f>IFERROR(ROUND(CFwp_US_local!D46*D$1,),)</f>
        <v>0</v>
      </c>
      <c r="E46" s="140">
        <f>IFERROR(ROUND(CFwp_US_local!E46*E$1,),)</f>
        <v>0</v>
      </c>
      <c r="F46" s="146"/>
      <c r="G46" s="146"/>
      <c r="H46" s="143"/>
      <c r="I46" s="140">
        <f>IFERROR(ROUND(CFwp_US_local!I46*I$1,),)</f>
        <v>0</v>
      </c>
      <c r="J46" s="140">
        <f>IFERROR(ROUND(CFwp_US_local!J46*J$1,),)</f>
        <v>0</v>
      </c>
      <c r="K46" s="140">
        <f>IFERROR(ROUND(CFwp_US_local!K46*K$1,),)</f>
        <v>0</v>
      </c>
      <c r="L46" s="140">
        <f>IFERROR(ROUND(CFwp_US_local!L46*L$1,),)</f>
        <v>0</v>
      </c>
      <c r="M46" s="140">
        <f>IFERROR(ROUND(CFwp_US_local!M46*M$1,),)</f>
        <v>0</v>
      </c>
      <c r="N46" s="140">
        <f>IFERROR(ROUND(CFwp_US_local!N46*N$1,),)</f>
        <v>0</v>
      </c>
      <c r="O46" s="140">
        <f>IFERROR(ROUND(CFwp_US_local!O46*O$1,),)</f>
        <v>0</v>
      </c>
      <c r="P46" s="140">
        <f>IFERROR(ROUND(CFwp_US_local!P46*P$1,),)</f>
        <v>0</v>
      </c>
      <c r="Q46" s="140">
        <f>IFERROR(ROUND(CFwp_US_local!Q46*Q$1,),)</f>
        <v>0</v>
      </c>
      <c r="R46" s="140">
        <f>IFERROR(ROUND(CFwp_US_local!R46*R$1,),)</f>
        <v>0</v>
      </c>
      <c r="S46" s="140">
        <f>IFERROR(ROUND(CFwp_US_local!S46*S$1,),)</f>
        <v>0</v>
      </c>
      <c r="T46" s="140">
        <f>IFERROR(ROUND(CFwp_US_local!T46*T$1,),)</f>
        <v>0</v>
      </c>
      <c r="U46" s="140">
        <f>IFERROR(ROUND(CFwp_US_local!U46*U$1,),)</f>
        <v>0</v>
      </c>
      <c r="V46" s="140">
        <f>IFERROR(ROUND(CFwp_US_local!V46*V$1,),)</f>
        <v>0</v>
      </c>
      <c r="W46" s="140">
        <f>IFERROR(ROUND(CFwp_US_local!W46*W$1,),)</f>
        <v>0</v>
      </c>
      <c r="X46" s="140">
        <f>IFERROR(ROUND(CFwp_US_local!X46*X$1,),)</f>
        <v>0</v>
      </c>
      <c r="Y46" s="145">
        <v>0</v>
      </c>
      <c r="Z46" s="145">
        <v>0</v>
      </c>
      <c r="AA46" s="182">
        <f t="shared" si="4"/>
        <v>0</v>
      </c>
      <c r="AB46" s="182">
        <f t="shared" si="5"/>
        <v>0</v>
      </c>
    </row>
    <row r="47" spans="2:28">
      <c r="B47" s="139" t="s">
        <v>66</v>
      </c>
      <c r="C47" s="139"/>
      <c r="D47" s="140">
        <f>IFERROR(ROUND(CFwp_US_local!D47*D$1,),)</f>
        <v>0</v>
      </c>
      <c r="E47" s="140">
        <f>IFERROR(ROUND(CFwp_US_local!E47*E$1,),)</f>
        <v>0</v>
      </c>
      <c r="F47" s="146"/>
      <c r="G47" s="146"/>
      <c r="H47" s="143"/>
      <c r="I47" s="144"/>
      <c r="J47" s="140"/>
      <c r="K47" s="140"/>
      <c r="L47" s="140"/>
      <c r="M47" s="140"/>
      <c r="N47" s="145"/>
      <c r="O47" s="145"/>
      <c r="P47" s="145"/>
      <c r="Q47" s="145"/>
      <c r="R47" s="145"/>
      <c r="S47" s="140"/>
      <c r="T47" s="145"/>
      <c r="U47" s="145"/>
      <c r="V47" s="145"/>
      <c r="W47" s="145"/>
      <c r="X47" s="145"/>
      <c r="Y47" s="145">
        <v>0</v>
      </c>
      <c r="Z47" s="145">
        <v>0</v>
      </c>
      <c r="AA47" s="182">
        <f t="shared" si="4"/>
        <v>0</v>
      </c>
      <c r="AB47" s="182">
        <f t="shared" si="5"/>
        <v>0</v>
      </c>
    </row>
    <row r="48" spans="2:28">
      <c r="B48" s="134"/>
      <c r="C48" s="134" t="s">
        <v>575</v>
      </c>
      <c r="D48" s="136">
        <f>D49+D59+D82+D90</f>
        <v>8667290</v>
      </c>
      <c r="E48" s="136">
        <f>E49+E59+E82+E90</f>
        <v>12019517</v>
      </c>
      <c r="F48" s="152"/>
      <c r="G48" s="152"/>
      <c r="H48" s="136"/>
      <c r="I48" s="153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>
        <v>0</v>
      </c>
      <c r="Z48" s="136">
        <v>0</v>
      </c>
      <c r="AA48" s="182">
        <f t="shared" si="4"/>
        <v>0</v>
      </c>
      <c r="AB48" s="182">
        <f t="shared" si="5"/>
        <v>0</v>
      </c>
    </row>
    <row r="49" spans="2:28">
      <c r="B49" s="137"/>
      <c r="C49" s="137" t="s">
        <v>576</v>
      </c>
      <c r="D49" s="138">
        <f>SUM(D50:D57)</f>
        <v>0</v>
      </c>
      <c r="E49" s="138">
        <f>SUM(E50:E57)</f>
        <v>0</v>
      </c>
      <c r="F49" s="154"/>
      <c r="G49" s="154"/>
      <c r="H49" s="138"/>
      <c r="I49" s="149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>
        <v>0</v>
      </c>
      <c r="Z49" s="138">
        <v>0</v>
      </c>
      <c r="AA49" s="182">
        <f t="shared" si="4"/>
        <v>0</v>
      </c>
      <c r="AB49" s="182">
        <f t="shared" si="5"/>
        <v>0</v>
      </c>
    </row>
    <row r="50" spans="2:28">
      <c r="B50" s="139" t="s">
        <v>92</v>
      </c>
      <c r="C50" s="139" t="s">
        <v>93</v>
      </c>
      <c r="D50" s="140">
        <f>IFERROR(ROUND(CFwp_US_local!D50*D$1,),)</f>
        <v>0</v>
      </c>
      <c r="E50" s="140">
        <f>IFERROR(ROUND(CFwp_US_local!E50*E$1,),)</f>
        <v>0</v>
      </c>
      <c r="F50" s="146">
        <f>E50-D50</f>
        <v>0</v>
      </c>
      <c r="G50" s="146">
        <f t="shared" ref="G50:G58" si="11">J50-K50+N50+O50-P50+Q50-R50-T50+V50+F50-W50+X50-Y50+Z50</f>
        <v>0</v>
      </c>
      <c r="H50" s="143"/>
      <c r="I50" s="140">
        <f>IFERROR(ROUND(CFwp_US_local!I50*I$1,),)</f>
        <v>0</v>
      </c>
      <c r="J50" s="140">
        <f>IFERROR(ROUND(CFwp_US_local!J50*J$1,),)</f>
        <v>0</v>
      </c>
      <c r="K50" s="140">
        <f>IFERROR(ROUND(CFwp_US_local!K50*K$1,),)</f>
        <v>0</v>
      </c>
      <c r="L50" s="140">
        <f>IFERROR(ROUND(CFwp_US_local!L50*L$1,),)</f>
        <v>0</v>
      </c>
      <c r="M50" s="140">
        <f>IFERROR(ROUND(CFwp_US_local!M50*M$1,),)</f>
        <v>0</v>
      </c>
      <c r="N50" s="140">
        <f>IFERROR(ROUND(CFwp_US_local!N50*N$1,),)</f>
        <v>0</v>
      </c>
      <c r="O50" s="140">
        <f>IFERROR(ROUND(CFwp_US_local!O50*O$1,),)</f>
        <v>0</v>
      </c>
      <c r="P50" s="140">
        <f>IFERROR(ROUND(CFwp_US_local!P50*P$1,),)</f>
        <v>0</v>
      </c>
      <c r="Q50" s="140">
        <f>IFERROR(ROUND(CFwp_US_local!Q50*Q$1,),)</f>
        <v>0</v>
      </c>
      <c r="R50" s="140">
        <f>IFERROR(ROUND(CFwp_US_local!R50*R$1,),)</f>
        <v>0</v>
      </c>
      <c r="S50" s="140">
        <f>IFERROR(ROUND(CFwp_US_local!S50*S$1,),)</f>
        <v>0</v>
      </c>
      <c r="T50" s="140">
        <f>IFERROR(ROUND(CFwp_US_local!T50*T$1,),)</f>
        <v>0</v>
      </c>
      <c r="U50" s="140">
        <f>IFERROR(ROUND(CFwp_US_local!U50*U$1,),)</f>
        <v>0</v>
      </c>
      <c r="V50" s="140">
        <f>IFERROR(ROUND(CFwp_US_local!V50*V$1,),)</f>
        <v>0</v>
      </c>
      <c r="W50" s="140">
        <f>IFERROR(ROUND(CFwp_US_local!W50*W$1,),)</f>
        <v>0</v>
      </c>
      <c r="X50" s="140">
        <f>IFERROR(ROUND(CFwp_US_local!X50*X$1,),)</f>
        <v>0</v>
      </c>
      <c r="Y50" s="145">
        <v>0</v>
      </c>
      <c r="Z50" s="145">
        <v>0</v>
      </c>
      <c r="AA50" s="182">
        <f t="shared" si="4"/>
        <v>0</v>
      </c>
      <c r="AB50" s="182">
        <f t="shared" si="5"/>
        <v>0</v>
      </c>
    </row>
    <row r="51" spans="2:28">
      <c r="B51" s="139" t="s">
        <v>96</v>
      </c>
      <c r="C51" s="139" t="s">
        <v>97</v>
      </c>
      <c r="D51" s="140">
        <f>IFERROR(ROUND(CFwp_US_local!D51*D$1,),)</f>
        <v>0</v>
      </c>
      <c r="E51" s="140">
        <f>IFERROR(ROUND(CFwp_US_local!E51*E$1,),)</f>
        <v>0</v>
      </c>
      <c r="F51" s="146">
        <f>E51-D51</f>
        <v>0</v>
      </c>
      <c r="G51" s="146">
        <f t="shared" si="11"/>
        <v>0</v>
      </c>
      <c r="H51" s="143" t="s">
        <v>572</v>
      </c>
      <c r="I51" s="140">
        <f>IFERROR(ROUND(CFwp_US_local!I51*I$1,),)</f>
        <v>0</v>
      </c>
      <c r="J51" s="140">
        <f>IFERROR(ROUND(CFwp_US_local!J51*J$1,),)</f>
        <v>0</v>
      </c>
      <c r="K51" s="140">
        <f>IFERROR(ROUND(CFwp_US_local!K51*K$1,),)</f>
        <v>0</v>
      </c>
      <c r="L51" s="140">
        <f>IFERROR(ROUND(CFwp_US_local!L51*L$1,),)</f>
        <v>0</v>
      </c>
      <c r="M51" s="140">
        <f>IFERROR(ROUND(CFwp_US_local!M51*M$1,),)</f>
        <v>0</v>
      </c>
      <c r="N51" s="140">
        <f>IFERROR(ROUND(CFwp_US_local!N51*N$1,),)</f>
        <v>0</v>
      </c>
      <c r="O51" s="140">
        <f>IFERROR(ROUND(CFwp_US_local!O51*O$1,),)</f>
        <v>0</v>
      </c>
      <c r="P51" s="140">
        <f>IFERROR(ROUND(CFwp_US_local!P51*P$1,),)</f>
        <v>0</v>
      </c>
      <c r="Q51" s="140">
        <f>IFERROR(ROUND(CFwp_US_local!Q51*Q$1,),)</f>
        <v>0</v>
      </c>
      <c r="R51" s="140">
        <f>IFERROR(ROUND(CFwp_US_local!R51*R$1,),)</f>
        <v>0</v>
      </c>
      <c r="S51" s="140">
        <f>IFERROR(ROUND(CFwp_US_local!S51*S$1,),)</f>
        <v>0</v>
      </c>
      <c r="T51" s="140">
        <f>IFERROR(ROUND(CFwp_US_local!T51*T$1,),)</f>
        <v>0</v>
      </c>
      <c r="U51" s="140">
        <f>IFERROR(ROUND(CFwp_US_local!U51*U$1,),)</f>
        <v>0</v>
      </c>
      <c r="V51" s="140">
        <f>IFERROR(ROUND(CFwp_US_local!V51*V$1,),)</f>
        <v>0</v>
      </c>
      <c r="W51" s="140">
        <f>IFERROR(ROUND(CFwp_US_local!W51*W$1,),)</f>
        <v>0</v>
      </c>
      <c r="X51" s="140">
        <f>IFERROR(ROUND(CFwp_US_local!X51*X$1,),)</f>
        <v>0</v>
      </c>
      <c r="Y51" s="145">
        <v>0</v>
      </c>
      <c r="Z51" s="145">
        <v>0</v>
      </c>
      <c r="AA51" s="182">
        <f t="shared" si="4"/>
        <v>0</v>
      </c>
      <c r="AB51" s="182">
        <f t="shared" si="5"/>
        <v>0</v>
      </c>
    </row>
    <row r="52" spans="2:28">
      <c r="B52" s="139" t="s">
        <v>100</v>
      </c>
      <c r="C52" s="139" t="s">
        <v>101</v>
      </c>
      <c r="D52" s="140">
        <f>IFERROR(ROUND(CFwp_US_local!D52*D$1,),)</f>
        <v>0</v>
      </c>
      <c r="E52" s="140">
        <f>IFERROR(ROUND(CFwp_US_local!E52*E$1,),)</f>
        <v>0</v>
      </c>
      <c r="F52" s="146">
        <f>E52-D52</f>
        <v>0</v>
      </c>
      <c r="G52" s="146">
        <f t="shared" si="11"/>
        <v>0</v>
      </c>
      <c r="H52" s="143"/>
      <c r="I52" s="140">
        <f>IFERROR(ROUND(CFwp_US_local!I52*I$1,),)</f>
        <v>0</v>
      </c>
      <c r="J52" s="140">
        <f>IFERROR(ROUND(CFwp_US_local!J52*J$1,),)</f>
        <v>0</v>
      </c>
      <c r="K52" s="140">
        <f>IFERROR(ROUND(CFwp_US_local!K52*K$1,),)</f>
        <v>0</v>
      </c>
      <c r="L52" s="140">
        <f>IFERROR(ROUND(CFwp_US_local!L52*L$1,),)</f>
        <v>0</v>
      </c>
      <c r="M52" s="140">
        <f>IFERROR(ROUND(CFwp_US_local!M52*M$1,),)</f>
        <v>0</v>
      </c>
      <c r="N52" s="140">
        <f>IFERROR(ROUND(CFwp_US_local!N52*N$1,),)</f>
        <v>0</v>
      </c>
      <c r="O52" s="140">
        <f>IFERROR(ROUND(CFwp_US_local!O52*O$1,),)</f>
        <v>0</v>
      </c>
      <c r="P52" s="140">
        <f>IFERROR(ROUND(CFwp_US_local!P52*P$1,),)</f>
        <v>0</v>
      </c>
      <c r="Q52" s="140">
        <f>IFERROR(ROUND(CFwp_US_local!Q52*Q$1,),)</f>
        <v>0</v>
      </c>
      <c r="R52" s="140">
        <f>IFERROR(ROUND(CFwp_US_local!R52*R$1,),)</f>
        <v>0</v>
      </c>
      <c r="S52" s="140">
        <f>IFERROR(ROUND(CFwp_US_local!S52*S$1,),)</f>
        <v>0</v>
      </c>
      <c r="T52" s="140">
        <f>IFERROR(ROUND(CFwp_US_local!T52*T$1,),)</f>
        <v>0</v>
      </c>
      <c r="U52" s="140">
        <f>IFERROR(ROUND(CFwp_US_local!U52*U$1,),)</f>
        <v>0</v>
      </c>
      <c r="V52" s="140">
        <f>IFERROR(ROUND(CFwp_US_local!V52*V$1,),)</f>
        <v>0</v>
      </c>
      <c r="W52" s="140">
        <f>IFERROR(ROUND(CFwp_US_local!W52*W$1,),)</f>
        <v>0</v>
      </c>
      <c r="X52" s="140">
        <f>IFERROR(ROUND(CFwp_US_local!X52*X$1,),)</f>
        <v>0</v>
      </c>
      <c r="Y52" s="145">
        <v>0</v>
      </c>
      <c r="Z52" s="145">
        <v>0</v>
      </c>
      <c r="AA52" s="182">
        <f t="shared" si="4"/>
        <v>0</v>
      </c>
      <c r="AB52" s="182">
        <f t="shared" si="5"/>
        <v>0</v>
      </c>
    </row>
    <row r="53" spans="2:28">
      <c r="B53" s="139" t="s">
        <v>98</v>
      </c>
      <c r="C53" s="139" t="s">
        <v>99</v>
      </c>
      <c r="D53" s="140">
        <f>IFERROR(ROUND(CFwp_US_local!D53*D$1,),)</f>
        <v>0</v>
      </c>
      <c r="E53" s="140">
        <f>IFERROR(ROUND(CFwp_US_local!E53*E$1,),)</f>
        <v>0</v>
      </c>
      <c r="F53" s="146">
        <f>E53-D53</f>
        <v>0</v>
      </c>
      <c r="G53" s="146">
        <f t="shared" si="11"/>
        <v>0</v>
      </c>
      <c r="H53" s="143" t="s">
        <v>577</v>
      </c>
      <c r="I53" s="140">
        <f>IFERROR(ROUND(CFwp_US_local!I53*I$1,),)</f>
        <v>0</v>
      </c>
      <c r="J53" s="140">
        <f>IFERROR(ROUND(CFwp_US_local!J53*J$1,),)</f>
        <v>0</v>
      </c>
      <c r="K53" s="140">
        <f>IFERROR(ROUND(CFwp_US_local!K53*K$1,),)</f>
        <v>0</v>
      </c>
      <c r="L53" s="140">
        <f>IFERROR(ROUND(CFwp_US_local!L53*L$1,),)</f>
        <v>0</v>
      </c>
      <c r="M53" s="140">
        <f>IFERROR(ROUND(CFwp_US_local!M53*M$1,),)</f>
        <v>0</v>
      </c>
      <c r="N53" s="140">
        <f>IFERROR(ROUND(CFwp_US_local!N53*N$1,),)</f>
        <v>0</v>
      </c>
      <c r="O53" s="140">
        <f>IFERROR(ROUND(CFwp_US_local!O53*O$1,),)</f>
        <v>0</v>
      </c>
      <c r="P53" s="140">
        <f>IFERROR(ROUND(CFwp_US_local!P53*P$1,),)</f>
        <v>0</v>
      </c>
      <c r="Q53" s="140">
        <f>IFERROR(ROUND(CFwp_US_local!Q53*Q$1,),)</f>
        <v>0</v>
      </c>
      <c r="R53" s="140">
        <f>IFERROR(ROUND(CFwp_US_local!R53*R$1,),)</f>
        <v>0</v>
      </c>
      <c r="S53" s="140">
        <f>IFERROR(ROUND(CFwp_US_local!S53*S$1,),)</f>
        <v>0</v>
      </c>
      <c r="T53" s="140">
        <f>IFERROR(ROUND(CFwp_US_local!T53*T$1,),)</f>
        <v>0</v>
      </c>
      <c r="U53" s="140">
        <f>IFERROR(ROUND(CFwp_US_local!U53*U$1,),)</f>
        <v>0</v>
      </c>
      <c r="V53" s="140">
        <f>IFERROR(ROUND(CFwp_US_local!V53*V$1,),)</f>
        <v>0</v>
      </c>
      <c r="W53" s="140">
        <f>IFERROR(ROUND(CFwp_US_local!W53*W$1,),)</f>
        <v>0</v>
      </c>
      <c r="X53" s="140">
        <f>IFERROR(ROUND(CFwp_US_local!X53*X$1,),)</f>
        <v>0</v>
      </c>
      <c r="Y53" s="145">
        <v>0</v>
      </c>
      <c r="Z53" s="145">
        <v>0</v>
      </c>
      <c r="AA53" s="182">
        <f t="shared" si="4"/>
        <v>0</v>
      </c>
      <c r="AB53" s="182">
        <f t="shared" si="5"/>
        <v>0</v>
      </c>
    </row>
    <row r="54" spans="2:28">
      <c r="B54" s="139"/>
      <c r="C54" s="139"/>
      <c r="D54" s="140"/>
      <c r="E54" s="140"/>
      <c r="F54" s="146"/>
      <c r="G54" s="146"/>
      <c r="H54" s="143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5">
        <v>0</v>
      </c>
      <c r="Z54" s="145">
        <v>0</v>
      </c>
      <c r="AA54" s="182">
        <f t="shared" si="4"/>
        <v>0</v>
      </c>
      <c r="AB54" s="182">
        <f t="shared" si="5"/>
        <v>0</v>
      </c>
    </row>
    <row r="55" spans="2:28">
      <c r="B55" s="139" t="s">
        <v>104</v>
      </c>
      <c r="C55" s="139" t="s">
        <v>105</v>
      </c>
      <c r="D55" s="140">
        <f>IFERROR(ROUND(CFwp_US_local!D55*D$1,),)</f>
        <v>0</v>
      </c>
      <c r="E55" s="140">
        <f>IFERROR(ROUND(CFwp_US_local!E55*E$1,),)</f>
        <v>0</v>
      </c>
      <c r="F55" s="146">
        <f t="shared" ref="F55" si="12">E55-D55</f>
        <v>0</v>
      </c>
      <c r="G55" s="146">
        <f t="shared" si="11"/>
        <v>0</v>
      </c>
      <c r="H55" s="143" t="s">
        <v>417</v>
      </c>
      <c r="I55" s="140">
        <f>IFERROR(ROUND(CFwp_US_local!I55*I$1,),)</f>
        <v>0</v>
      </c>
      <c r="J55" s="140">
        <f>IFERROR(ROUND(CFwp_US_local!J55*J$1,),)</f>
        <v>0</v>
      </c>
      <c r="K55" s="140">
        <f>IFERROR(ROUND(CFwp_US_local!K55*K$1,),)</f>
        <v>0</v>
      </c>
      <c r="L55" s="140">
        <f>IFERROR(ROUND(CFwp_US_local!L55*L$1,),)</f>
        <v>0</v>
      </c>
      <c r="M55" s="140">
        <f>IFERROR(ROUND(CFwp_US_local!M55*M$1,),)</f>
        <v>0</v>
      </c>
      <c r="N55" s="140">
        <f>IFERROR(ROUND(CFwp_US_local!N55*N$1,),)</f>
        <v>0</v>
      </c>
      <c r="O55" s="140">
        <f>IFERROR(ROUND(CFwp_US_local!O55*O$1,),)</f>
        <v>0</v>
      </c>
      <c r="P55" s="140">
        <f>IFERROR(ROUND(CFwp_US_local!P55*P$1,),)</f>
        <v>0</v>
      </c>
      <c r="Q55" s="140">
        <f>IFERROR(ROUND(CFwp_US_local!Q55*Q$1,),)</f>
        <v>0</v>
      </c>
      <c r="R55" s="140">
        <f>IFERROR(ROUND(CFwp_US_local!R55*R$1,),)</f>
        <v>0</v>
      </c>
      <c r="S55" s="140">
        <f>IFERROR(ROUND(CFwp_US_local!S55*S$1,),)</f>
        <v>0</v>
      </c>
      <c r="T55" s="140">
        <f>IFERROR(ROUND(CFwp_US_local!T55*T$1,),)</f>
        <v>0</v>
      </c>
      <c r="U55" s="140">
        <f>IFERROR(ROUND(CFwp_US_local!U55*U$1,),)</f>
        <v>0</v>
      </c>
      <c r="V55" s="140">
        <f>IFERROR(ROUND(CFwp_US_local!V55*V$1,),)</f>
        <v>0</v>
      </c>
      <c r="W55" s="140">
        <f>IFERROR(ROUND(CFwp_US_local!W55*W$1,),)</f>
        <v>0</v>
      </c>
      <c r="X55" s="140">
        <f>IFERROR(ROUND(CFwp_US_local!X55*X$1,),)</f>
        <v>0</v>
      </c>
      <c r="Y55" s="145">
        <v>0</v>
      </c>
      <c r="Z55" s="145">
        <v>0</v>
      </c>
      <c r="AA55" s="182">
        <f t="shared" si="4"/>
        <v>0</v>
      </c>
      <c r="AB55" s="182">
        <f t="shared" si="5"/>
        <v>0</v>
      </c>
    </row>
    <row r="56" spans="2:28">
      <c r="B56" s="139"/>
      <c r="C56" s="139"/>
      <c r="D56" s="140">
        <f>IFERROR(ROUND(CFwp_US_local!D56*D$1,),)</f>
        <v>0</v>
      </c>
      <c r="E56" s="140">
        <f>IFERROR(ROUND(CFwp_US_local!E56*E$1,),)</f>
        <v>0</v>
      </c>
      <c r="F56" s="146"/>
      <c r="G56" s="146">
        <f t="shared" si="11"/>
        <v>0</v>
      </c>
      <c r="H56" s="143"/>
      <c r="I56" s="140">
        <f>IFERROR(ROUND(CFwp_US_local!I56*I$1,),)</f>
        <v>0</v>
      </c>
      <c r="J56" s="140">
        <f>IFERROR(ROUND(CFwp_US_local!J56*J$1,),)</f>
        <v>0</v>
      </c>
      <c r="K56" s="140">
        <f>IFERROR(ROUND(CFwp_US_local!K56*K$1,),)</f>
        <v>0</v>
      </c>
      <c r="L56" s="140">
        <f>IFERROR(ROUND(CFwp_US_local!L56*L$1,),)</f>
        <v>0</v>
      </c>
      <c r="M56" s="140">
        <f>IFERROR(ROUND(CFwp_US_local!M56*M$1,),)</f>
        <v>0</v>
      </c>
      <c r="N56" s="140">
        <f>IFERROR(ROUND(CFwp_US_local!N56*N$1,),)</f>
        <v>0</v>
      </c>
      <c r="O56" s="140">
        <f>IFERROR(ROUND(CFwp_US_local!O56*O$1,),)</f>
        <v>0</v>
      </c>
      <c r="P56" s="140">
        <f>IFERROR(ROUND(CFwp_US_local!P56*P$1,),)</f>
        <v>0</v>
      </c>
      <c r="Q56" s="140">
        <f>IFERROR(ROUND(CFwp_US_local!Q56*Q$1,),)</f>
        <v>0</v>
      </c>
      <c r="R56" s="140">
        <f>IFERROR(ROUND(CFwp_US_local!R56*R$1,),)</f>
        <v>0</v>
      </c>
      <c r="S56" s="140">
        <f>IFERROR(ROUND(CFwp_US_local!S56*S$1,),)</f>
        <v>0</v>
      </c>
      <c r="T56" s="140">
        <f>IFERROR(ROUND(CFwp_US_local!T56*T$1,),)</f>
        <v>0</v>
      </c>
      <c r="U56" s="140">
        <f>IFERROR(ROUND(CFwp_US_local!U56*U$1,),)</f>
        <v>0</v>
      </c>
      <c r="V56" s="140">
        <f>IFERROR(ROUND(CFwp_US_local!V56*V$1,),)</f>
        <v>0</v>
      </c>
      <c r="W56" s="140">
        <f>IFERROR(ROUND(CFwp_US_local!W56*W$1,),)</f>
        <v>0</v>
      </c>
      <c r="X56" s="140">
        <f>IFERROR(ROUND(CFwp_US_local!X56*X$1,),)</f>
        <v>0</v>
      </c>
      <c r="Y56" s="145">
        <v>0</v>
      </c>
      <c r="Z56" s="145">
        <v>0</v>
      </c>
      <c r="AA56" s="182">
        <f t="shared" si="4"/>
        <v>0</v>
      </c>
      <c r="AB56" s="182">
        <f t="shared" si="5"/>
        <v>0</v>
      </c>
    </row>
    <row r="57" spans="2:28">
      <c r="B57" s="139" t="s">
        <v>108</v>
      </c>
      <c r="C57" s="139" t="s">
        <v>109</v>
      </c>
      <c r="D57" s="140">
        <f>IFERROR(ROUND(CFwp_US_local!D57*D$1,),)</f>
        <v>0</v>
      </c>
      <c r="E57" s="140">
        <f>IFERROR(ROUND(CFwp_US_local!E57*E$1,),)</f>
        <v>0</v>
      </c>
      <c r="F57" s="146">
        <f t="shared" ref="F57" si="13">E57-D57</f>
        <v>0</v>
      </c>
      <c r="G57" s="146">
        <f t="shared" si="11"/>
        <v>0</v>
      </c>
      <c r="H57" s="143" t="s">
        <v>417</v>
      </c>
      <c r="I57" s="140">
        <f>IFERROR(ROUND(CFwp_US_local!I57*I$1,),)</f>
        <v>0</v>
      </c>
      <c r="J57" s="140">
        <f>IFERROR(ROUND(CFwp_US_local!J57*J$1,),)</f>
        <v>0</v>
      </c>
      <c r="K57" s="140">
        <f>IFERROR(ROUND(CFwp_US_local!K57*K$1,),)</f>
        <v>0</v>
      </c>
      <c r="L57" s="140">
        <f>IFERROR(ROUND(CFwp_US_local!L57*L$1,),)</f>
        <v>0</v>
      </c>
      <c r="M57" s="140">
        <f>IFERROR(ROUND(CFwp_US_local!M57*M$1,),)</f>
        <v>0</v>
      </c>
      <c r="N57" s="140">
        <f>IFERROR(ROUND(CFwp_US_local!N57*N$1,),)</f>
        <v>0</v>
      </c>
      <c r="O57" s="140">
        <f>IFERROR(ROUND(CFwp_US_local!O57*O$1,),)</f>
        <v>0</v>
      </c>
      <c r="P57" s="140">
        <f>IFERROR(ROUND(CFwp_US_local!P57*P$1,),)</f>
        <v>0</v>
      </c>
      <c r="Q57" s="140">
        <f>IFERROR(ROUND(CFwp_US_local!Q57*Q$1,),)</f>
        <v>0</v>
      </c>
      <c r="R57" s="140">
        <f>IFERROR(ROUND(CFwp_US_local!R57*R$1,),)</f>
        <v>0</v>
      </c>
      <c r="S57" s="140">
        <f>IFERROR(ROUND(CFwp_US_local!S57*S$1,),)</f>
        <v>0</v>
      </c>
      <c r="T57" s="140">
        <f>IFERROR(ROUND(CFwp_US_local!T57*T$1,),)</f>
        <v>0</v>
      </c>
      <c r="U57" s="140">
        <f>IFERROR(ROUND(CFwp_US_local!U57*U$1,),)</f>
        <v>0</v>
      </c>
      <c r="V57" s="140">
        <f>IFERROR(ROUND(CFwp_US_local!V57*V$1,),)</f>
        <v>0</v>
      </c>
      <c r="W57" s="140">
        <f>IFERROR(ROUND(CFwp_US_local!W57*W$1,),)</f>
        <v>0</v>
      </c>
      <c r="X57" s="140">
        <f>IFERROR(ROUND(CFwp_US_local!X57*X$1,),)</f>
        <v>0</v>
      </c>
      <c r="Y57" s="145">
        <v>0</v>
      </c>
      <c r="Z57" s="145">
        <v>0</v>
      </c>
      <c r="AA57" s="182">
        <f t="shared" si="4"/>
        <v>0</v>
      </c>
      <c r="AB57" s="182">
        <f t="shared" si="5"/>
        <v>0</v>
      </c>
    </row>
    <row r="58" spans="2:28">
      <c r="B58" s="139"/>
      <c r="C58" s="139"/>
      <c r="D58" s="140">
        <f>IFERROR(ROUND(CFwp_US_local!D58*D$1,),)</f>
        <v>0</v>
      </c>
      <c r="E58" s="140">
        <f>IFERROR(ROUND(CFwp_US_local!E58*E$1,),)</f>
        <v>0</v>
      </c>
      <c r="F58" s="146"/>
      <c r="G58" s="146">
        <f t="shared" si="11"/>
        <v>0</v>
      </c>
      <c r="H58" s="143" t="s">
        <v>578</v>
      </c>
      <c r="I58" s="140">
        <f>IFERROR(ROUND(CFwp_US_local!I58*I$1,),)</f>
        <v>0</v>
      </c>
      <c r="J58" s="140">
        <f>IFERROR(ROUND(CFwp_US_local!J58*J$1,),)</f>
        <v>0</v>
      </c>
      <c r="K58" s="140">
        <f>IFERROR(ROUND(CFwp_US_local!K58*K$1,),)</f>
        <v>0</v>
      </c>
      <c r="L58" s="140">
        <f>IFERROR(ROUND(CFwp_US_local!L58*L$1,),)</f>
        <v>0</v>
      </c>
      <c r="M58" s="140">
        <f>IFERROR(ROUND(CFwp_US_local!M58*M$1,),)</f>
        <v>0</v>
      </c>
      <c r="N58" s="140">
        <f>IFERROR(ROUND(CFwp_US_local!N58*N$1,),)</f>
        <v>0</v>
      </c>
      <c r="O58" s="140">
        <f>IFERROR(ROUND(CFwp_US_local!O58*O$1,),)</f>
        <v>0</v>
      </c>
      <c r="P58" s="140">
        <f>IFERROR(ROUND(CFwp_US_local!P58*P$1,),)</f>
        <v>0</v>
      </c>
      <c r="Q58" s="140">
        <f>IFERROR(ROUND(CFwp_US_local!Q58*Q$1,),)</f>
        <v>0</v>
      </c>
      <c r="R58" s="140">
        <f>IFERROR(ROUND(CFwp_US_local!R58*R$1,),)</f>
        <v>0</v>
      </c>
      <c r="S58" s="140">
        <f>IFERROR(ROUND(CFwp_US_local!S58*S$1,),)</f>
        <v>0</v>
      </c>
      <c r="T58" s="140">
        <f>IFERROR(ROUND(CFwp_US_local!T58*T$1,),)</f>
        <v>0</v>
      </c>
      <c r="U58" s="140">
        <f>IFERROR(ROUND(CFwp_US_local!U58*U$1,),)</f>
        <v>0</v>
      </c>
      <c r="V58" s="140">
        <f>IFERROR(ROUND(CFwp_US_local!V58*V$1,),)</f>
        <v>0</v>
      </c>
      <c r="W58" s="140">
        <f>IFERROR(ROUND(CFwp_US_local!W58*W$1,),)</f>
        <v>0</v>
      </c>
      <c r="X58" s="140">
        <f>IFERROR(ROUND(CFwp_US_local!X58*X$1,),)</f>
        <v>0</v>
      </c>
      <c r="Y58" s="145">
        <v>0</v>
      </c>
      <c r="Z58" s="145">
        <v>0</v>
      </c>
      <c r="AA58" s="182">
        <f t="shared" si="4"/>
        <v>0</v>
      </c>
      <c r="AB58" s="182">
        <f t="shared" si="5"/>
        <v>0</v>
      </c>
    </row>
    <row r="59" spans="2:28">
      <c r="B59" s="137"/>
      <c r="C59" s="137" t="s">
        <v>129</v>
      </c>
      <c r="D59" s="138">
        <f>SUM(D60:D80)</f>
        <v>8667290</v>
      </c>
      <c r="E59" s="138">
        <f>SUM(E60:E80)</f>
        <v>12019517</v>
      </c>
      <c r="F59" s="154"/>
      <c r="G59" s="154"/>
      <c r="H59" s="138"/>
      <c r="I59" s="149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>
        <v>0</v>
      </c>
      <c r="Z59" s="138">
        <v>0</v>
      </c>
      <c r="AA59" s="182">
        <f t="shared" si="4"/>
        <v>0</v>
      </c>
      <c r="AB59" s="182">
        <f t="shared" si="5"/>
        <v>0</v>
      </c>
    </row>
    <row r="60" spans="2:28">
      <c r="B60" s="139" t="s">
        <v>126</v>
      </c>
      <c r="C60" s="139" t="s">
        <v>127</v>
      </c>
      <c r="D60" s="140">
        <f>IFERROR(ROUND(CFwp_US_local!D60*D$1,),)</f>
        <v>0</v>
      </c>
      <c r="E60" s="140">
        <f>IFERROR(ROUND(CFwp_US_local!E60*E$1,),)</f>
        <v>0</v>
      </c>
      <c r="F60" s="146">
        <f>E60-D60</f>
        <v>0</v>
      </c>
      <c r="G60" s="146">
        <f t="shared" ref="G60:G81" si="14">J60-K60+N60+O60-P60+Q60-R60-T60+V60+F60-W60+X60-Y60+Z60</f>
        <v>0</v>
      </c>
      <c r="H60" s="143"/>
      <c r="I60" s="140">
        <f>IFERROR(ROUND(CFwp_US_local!I60*I$1,),)</f>
        <v>0</v>
      </c>
      <c r="J60" s="140">
        <f>IFERROR(ROUND(CFwp_US_local!J60*J$1,),)</f>
        <v>0</v>
      </c>
      <c r="K60" s="140">
        <f>IFERROR(ROUND(CFwp_US_local!K60*K$1,),)</f>
        <v>0</v>
      </c>
      <c r="L60" s="140">
        <f>IFERROR(ROUND(CFwp_US_local!L60*L$1,),)</f>
        <v>0</v>
      </c>
      <c r="M60" s="140">
        <f>IFERROR(ROUND(CFwp_US_local!M60*M$1,),)</f>
        <v>0</v>
      </c>
      <c r="N60" s="140">
        <f>IFERROR(ROUND(CFwp_US_local!N60*N$1,),)</f>
        <v>0</v>
      </c>
      <c r="O60" s="140">
        <f>IFERROR(ROUND(CFwp_US_local!O60*O$1,),)</f>
        <v>0</v>
      </c>
      <c r="P60" s="140">
        <f>IFERROR(ROUND(CFwp_US_local!P60*P$1,),)</f>
        <v>0</v>
      </c>
      <c r="Q60" s="140">
        <f>IFERROR(ROUND(CFwp_US_local!Q60*Q$1,),)</f>
        <v>0</v>
      </c>
      <c r="R60" s="140">
        <f>IFERROR(ROUND(CFwp_US_local!R60*R$1,),)</f>
        <v>0</v>
      </c>
      <c r="S60" s="140">
        <f>IFERROR(ROUND(CFwp_US_local!S60*S$1,),)</f>
        <v>0</v>
      </c>
      <c r="T60" s="140">
        <f>IFERROR(ROUND(CFwp_US_local!T60*T$1,),)</f>
        <v>0</v>
      </c>
      <c r="U60" s="140">
        <f>IFERROR(ROUND(CFwp_US_local!U60*U$1,),)</f>
        <v>0</v>
      </c>
      <c r="V60" s="140">
        <f>IFERROR(ROUND(CFwp_US_local!V60*V$1,),)</f>
        <v>0</v>
      </c>
      <c r="W60" s="140">
        <f>IFERROR(ROUND(CFwp_US_local!W60*W$1,),)</f>
        <v>0</v>
      </c>
      <c r="X60" s="140">
        <f>IFERROR(ROUND(CFwp_US_local!X60*X$1,),)</f>
        <v>0</v>
      </c>
      <c r="Y60" s="145">
        <v>0</v>
      </c>
      <c r="Z60" s="145">
        <v>0</v>
      </c>
      <c r="AA60" s="182">
        <f t="shared" si="4"/>
        <v>0</v>
      </c>
      <c r="AB60" s="182">
        <f t="shared" si="5"/>
        <v>0</v>
      </c>
    </row>
    <row r="61" spans="2:28">
      <c r="B61" s="139" t="s">
        <v>130</v>
      </c>
      <c r="C61" s="139" t="s">
        <v>131</v>
      </c>
      <c r="D61" s="140">
        <f>IFERROR(ROUND(CFwp_US_local!D61*D$1,),)</f>
        <v>0</v>
      </c>
      <c r="E61" s="140">
        <f>IFERROR(ROUND(CFwp_US_local!E61*E$1,),)</f>
        <v>0</v>
      </c>
      <c r="F61" s="146">
        <f t="shared" ref="F61:F80" si="15">E61-D61</f>
        <v>0</v>
      </c>
      <c r="G61" s="146">
        <f t="shared" si="14"/>
        <v>0</v>
      </c>
      <c r="H61" s="143"/>
      <c r="I61" s="140">
        <f>IFERROR(ROUND(CFwp_US_local!I61*I$1,),)</f>
        <v>0</v>
      </c>
      <c r="J61" s="140">
        <f>IFERROR(ROUND(CFwp_US_local!J61*J$1,),)</f>
        <v>0</v>
      </c>
      <c r="K61" s="140">
        <f>IFERROR(ROUND(CFwp_US_local!K61*K$1,),)</f>
        <v>0</v>
      </c>
      <c r="L61" s="140">
        <f>IFERROR(ROUND(CFwp_US_local!L61*L$1,),)</f>
        <v>0</v>
      </c>
      <c r="M61" s="140">
        <f>IFERROR(ROUND(CFwp_US_local!M61*M$1,),)</f>
        <v>0</v>
      </c>
      <c r="N61" s="140">
        <f>IFERROR(ROUND(CFwp_US_local!N61*N$1,),)</f>
        <v>0</v>
      </c>
      <c r="O61" s="140">
        <f>IFERROR(ROUND(CFwp_US_local!O61*O$1,),)</f>
        <v>0</v>
      </c>
      <c r="P61" s="140">
        <f>IFERROR(ROUND(CFwp_US_local!P61*P$1,),)</f>
        <v>0</v>
      </c>
      <c r="Q61" s="140">
        <f>IFERROR(ROUND(CFwp_US_local!Q61*Q$1,),)</f>
        <v>0</v>
      </c>
      <c r="R61" s="140">
        <f>IFERROR(ROUND(CFwp_US_local!R61*R$1,),)</f>
        <v>0</v>
      </c>
      <c r="S61" s="140">
        <f>IFERROR(ROUND(CFwp_US_local!S61*S$1,),)</f>
        <v>0</v>
      </c>
      <c r="T61" s="140">
        <f>IFERROR(ROUND(CFwp_US_local!T61*T$1,),)</f>
        <v>0</v>
      </c>
      <c r="U61" s="140">
        <f>IFERROR(ROUND(CFwp_US_local!U61*U$1,),)</f>
        <v>0</v>
      </c>
      <c r="V61" s="140">
        <f>IFERROR(ROUND(CFwp_US_local!V61*V$1,),)</f>
        <v>0</v>
      </c>
      <c r="W61" s="140">
        <f>IFERROR(ROUND(CFwp_US_local!W61*W$1,),)</f>
        <v>0</v>
      </c>
      <c r="X61" s="140">
        <f>IFERROR(ROUND(CFwp_US_local!X61*X$1,),)</f>
        <v>0</v>
      </c>
      <c r="Y61" s="145">
        <v>0</v>
      </c>
      <c r="Z61" s="145">
        <v>0</v>
      </c>
      <c r="AA61" s="182">
        <f t="shared" si="4"/>
        <v>0</v>
      </c>
      <c r="AB61" s="182">
        <f t="shared" si="5"/>
        <v>0</v>
      </c>
    </row>
    <row r="62" spans="2:28">
      <c r="B62" s="139" t="s">
        <v>132</v>
      </c>
      <c r="C62" s="139" t="s">
        <v>133</v>
      </c>
      <c r="D62" s="140">
        <f>IFERROR(ROUND(CFwp_US_local!D62*D$1,),)</f>
        <v>0</v>
      </c>
      <c r="E62" s="140">
        <f>IFERROR(ROUND(CFwp_US_local!E62*E$1,),)</f>
        <v>0</v>
      </c>
      <c r="F62" s="146">
        <f t="shared" si="15"/>
        <v>0</v>
      </c>
      <c r="G62" s="146">
        <f t="shared" si="14"/>
        <v>0</v>
      </c>
      <c r="H62" s="143" t="s">
        <v>579</v>
      </c>
      <c r="I62" s="140">
        <f>IFERROR(ROUND(CFwp_US_local!I62*I$1,),)</f>
        <v>0</v>
      </c>
      <c r="J62" s="140">
        <f>IFERROR(ROUND(CFwp_US_local!J62*J$1,),)</f>
        <v>0</v>
      </c>
      <c r="K62" s="140">
        <f>IFERROR(ROUND(CFwp_US_local!K62*K$1,),)</f>
        <v>0</v>
      </c>
      <c r="L62" s="140">
        <f>IFERROR(ROUND(CFwp_US_local!L62*L$1,),)</f>
        <v>0</v>
      </c>
      <c r="M62" s="140">
        <f>IFERROR(ROUND(CFwp_US_local!M62*M$1,),)</f>
        <v>0</v>
      </c>
      <c r="N62" s="140">
        <f>IFERROR(ROUND(CFwp_US_local!N62*N$1,),)</f>
        <v>0</v>
      </c>
      <c r="O62" s="140">
        <f>IFERROR(ROUND(CFwp_US_local!O62*O$1,),)</f>
        <v>0</v>
      </c>
      <c r="P62" s="140">
        <f>IFERROR(ROUND(CFwp_US_local!P62*P$1,),)</f>
        <v>0</v>
      </c>
      <c r="Q62" s="140">
        <f>IFERROR(ROUND(CFwp_US_local!Q62*Q$1,),)</f>
        <v>0</v>
      </c>
      <c r="R62" s="140">
        <f>IFERROR(ROUND(CFwp_US_local!R62*R$1,),)</f>
        <v>0</v>
      </c>
      <c r="S62" s="140">
        <f>IFERROR(ROUND(CFwp_US_local!S62*S$1,),)</f>
        <v>0</v>
      </c>
      <c r="T62" s="140">
        <f>IFERROR(ROUND(CFwp_US_local!T62*T$1,),)</f>
        <v>0</v>
      </c>
      <c r="U62" s="140">
        <f>IFERROR(ROUND(CFwp_US_local!U62*U$1,),)</f>
        <v>0</v>
      </c>
      <c r="V62" s="140">
        <f>IFERROR(ROUND(CFwp_US_local!V62*V$1,),)</f>
        <v>0</v>
      </c>
      <c r="W62" s="140">
        <f>IFERROR(ROUND(CFwp_US_local!W62*W$1,),)</f>
        <v>0</v>
      </c>
      <c r="X62" s="140">
        <f>IFERROR(ROUND(CFwp_US_local!X62*X$1,),)</f>
        <v>0</v>
      </c>
      <c r="Y62" s="145">
        <v>0</v>
      </c>
      <c r="Z62" s="145">
        <v>0</v>
      </c>
      <c r="AA62" s="182">
        <f t="shared" si="4"/>
        <v>0</v>
      </c>
      <c r="AB62" s="182">
        <f t="shared" si="5"/>
        <v>0</v>
      </c>
    </row>
    <row r="63" spans="2:28">
      <c r="B63" s="139" t="s">
        <v>134</v>
      </c>
      <c r="C63" s="139" t="s">
        <v>135</v>
      </c>
      <c r="D63" s="140">
        <f>IFERROR(ROUND(CFwp_US_local!D63*D$1,),)</f>
        <v>0</v>
      </c>
      <c r="E63" s="140">
        <f>IFERROR(ROUND(CFwp_US_local!E63*E$1,),)</f>
        <v>0</v>
      </c>
      <c r="F63" s="146">
        <f t="shared" si="15"/>
        <v>0</v>
      </c>
      <c r="G63" s="146">
        <f t="shared" si="14"/>
        <v>0</v>
      </c>
      <c r="H63" s="143"/>
      <c r="I63" s="140">
        <f>IFERROR(ROUND(CFwp_US_local!I63*I$1,),)</f>
        <v>0</v>
      </c>
      <c r="J63" s="140">
        <f>IFERROR(ROUND(CFwp_US_local!J63*J$1,),)</f>
        <v>0</v>
      </c>
      <c r="K63" s="140">
        <f>IFERROR(ROUND(CFwp_US_local!K63*K$1,),)</f>
        <v>0</v>
      </c>
      <c r="L63" s="140">
        <f>IFERROR(ROUND(CFwp_US_local!L63*L$1,),)</f>
        <v>0</v>
      </c>
      <c r="M63" s="140">
        <f>IFERROR(ROUND(CFwp_US_local!M63*M$1,),)</f>
        <v>0</v>
      </c>
      <c r="N63" s="140">
        <f>IFERROR(ROUND(CFwp_US_local!N63*N$1,),)</f>
        <v>0</v>
      </c>
      <c r="O63" s="140">
        <f>IFERROR(ROUND(CFwp_US_local!O63*O$1,),)</f>
        <v>0</v>
      </c>
      <c r="P63" s="140">
        <f>IFERROR(ROUND(CFwp_US_local!P63*P$1,),)</f>
        <v>0</v>
      </c>
      <c r="Q63" s="140">
        <f>IFERROR(ROUND(CFwp_US_local!Q63*Q$1,),)</f>
        <v>0</v>
      </c>
      <c r="R63" s="140">
        <f>IFERROR(ROUND(CFwp_US_local!R63*R$1,),)</f>
        <v>0</v>
      </c>
      <c r="S63" s="140">
        <f>IFERROR(ROUND(CFwp_US_local!S63*S$1,),)</f>
        <v>0</v>
      </c>
      <c r="T63" s="140">
        <f>IFERROR(ROUND(CFwp_US_local!T63*T$1,),)</f>
        <v>0</v>
      </c>
      <c r="U63" s="140">
        <f>IFERROR(ROUND(CFwp_US_local!U63*U$1,),)</f>
        <v>0</v>
      </c>
      <c r="V63" s="140">
        <f>IFERROR(ROUND(CFwp_US_local!V63*V$1,),)</f>
        <v>0</v>
      </c>
      <c r="W63" s="140">
        <f>IFERROR(ROUND(CFwp_US_local!W63*W$1,),)</f>
        <v>0</v>
      </c>
      <c r="X63" s="140">
        <f>IFERROR(ROUND(CFwp_US_local!X63*X$1,),)</f>
        <v>0</v>
      </c>
      <c r="Y63" s="145">
        <v>0</v>
      </c>
      <c r="Z63" s="145">
        <v>0</v>
      </c>
      <c r="AA63" s="182">
        <f t="shared" si="4"/>
        <v>0</v>
      </c>
      <c r="AB63" s="182">
        <f t="shared" si="5"/>
        <v>0</v>
      </c>
    </row>
    <row r="64" spans="2:28">
      <c r="B64" s="139" t="s">
        <v>136</v>
      </c>
      <c r="C64" s="139" t="s">
        <v>137</v>
      </c>
      <c r="D64" s="140">
        <f>IFERROR(ROUND(CFwp_US_local!D64*D$1,),)</f>
        <v>0</v>
      </c>
      <c r="E64" s="140">
        <f>IFERROR(ROUND(CFwp_US_local!E64*E$1,),)</f>
        <v>0</v>
      </c>
      <c r="F64" s="146">
        <f t="shared" si="15"/>
        <v>0</v>
      </c>
      <c r="G64" s="146">
        <f t="shared" si="14"/>
        <v>0</v>
      </c>
      <c r="H64" s="143" t="s">
        <v>579</v>
      </c>
      <c r="I64" s="140">
        <f>IFERROR(ROUND(CFwp_US_local!I64*I$1,),)</f>
        <v>0</v>
      </c>
      <c r="J64" s="140">
        <f>IFERROR(ROUND(CFwp_US_local!J64*J$1,),)</f>
        <v>0</v>
      </c>
      <c r="K64" s="140">
        <f>IFERROR(ROUND(CFwp_US_local!K64*K$1,),)</f>
        <v>0</v>
      </c>
      <c r="L64" s="140">
        <f>IFERROR(ROUND(CFwp_US_local!L64*L$1,),)</f>
        <v>0</v>
      </c>
      <c r="M64" s="140">
        <f>IFERROR(ROUND(CFwp_US_local!M64*M$1,),)</f>
        <v>0</v>
      </c>
      <c r="N64" s="140">
        <f>IFERROR(ROUND(CFwp_US_local!N64*N$1,),)</f>
        <v>0</v>
      </c>
      <c r="O64" s="140">
        <f>IFERROR(ROUND(CFwp_US_local!O64*O$1,),)</f>
        <v>0</v>
      </c>
      <c r="P64" s="140">
        <f>IFERROR(ROUND(CFwp_US_local!P64*P$1,),)</f>
        <v>0</v>
      </c>
      <c r="Q64" s="140">
        <f>IFERROR(ROUND(CFwp_US_local!Q64*Q$1,),)</f>
        <v>0</v>
      </c>
      <c r="R64" s="140">
        <f>IFERROR(ROUND(CFwp_US_local!R64*R$1,),)</f>
        <v>0</v>
      </c>
      <c r="S64" s="140">
        <f>IFERROR(ROUND(CFwp_US_local!S64*S$1,),)</f>
        <v>0</v>
      </c>
      <c r="T64" s="140">
        <f>IFERROR(ROUND(CFwp_US_local!T64*T$1,),)</f>
        <v>0</v>
      </c>
      <c r="U64" s="140">
        <f>IFERROR(ROUND(CFwp_US_local!U64*U$1,),)</f>
        <v>0</v>
      </c>
      <c r="V64" s="140">
        <f>IFERROR(ROUND(CFwp_US_local!V64*V$1,),)</f>
        <v>0</v>
      </c>
      <c r="W64" s="140">
        <f>IFERROR(ROUND(CFwp_US_local!W64*W$1,),)</f>
        <v>0</v>
      </c>
      <c r="X64" s="140">
        <f>IFERROR(ROUND(CFwp_US_local!X64*X$1,),)</f>
        <v>0</v>
      </c>
      <c r="Y64" s="145">
        <v>0</v>
      </c>
      <c r="Z64" s="145">
        <v>0</v>
      </c>
      <c r="AA64" s="182">
        <f t="shared" si="4"/>
        <v>0</v>
      </c>
      <c r="AB64" s="182">
        <f t="shared" si="5"/>
        <v>0</v>
      </c>
    </row>
    <row r="65" spans="2:29">
      <c r="B65" s="139" t="s">
        <v>138</v>
      </c>
      <c r="C65" s="139" t="s">
        <v>139</v>
      </c>
      <c r="D65" s="140">
        <f>IFERROR(ROUND(CFwp_US_local!D65*D$1,),)</f>
        <v>0</v>
      </c>
      <c r="E65" s="140">
        <f>IFERROR(ROUND(CFwp_US_local!E65*E$1,),)</f>
        <v>0</v>
      </c>
      <c r="F65" s="146">
        <f t="shared" si="15"/>
        <v>0</v>
      </c>
      <c r="G65" s="146">
        <f t="shared" si="14"/>
        <v>0</v>
      </c>
      <c r="H65" s="143" t="s">
        <v>580</v>
      </c>
      <c r="I65" s="140">
        <f>IFERROR(ROUND(CFwp_US_local!I65*I$1,),)</f>
        <v>0</v>
      </c>
      <c r="J65" s="140">
        <f>IFERROR(ROUND(CFwp_US_local!J65*J$1,),)</f>
        <v>0</v>
      </c>
      <c r="K65" s="140">
        <f>IFERROR(ROUND(CFwp_US_local!K65*K$1,),)</f>
        <v>0</v>
      </c>
      <c r="L65" s="140">
        <f>IFERROR(ROUND(CFwp_US_local!L65*L$1,),)</f>
        <v>0</v>
      </c>
      <c r="M65" s="140">
        <f>IFERROR(ROUND(CFwp_US_local!M65*M$1,),)</f>
        <v>0</v>
      </c>
      <c r="N65" s="140">
        <f>IFERROR(ROUND(CFwp_US_local!N65*N$1,),)</f>
        <v>0</v>
      </c>
      <c r="O65" s="140">
        <f>IFERROR(ROUND(CFwp_US_local!O65*O$1,),)</f>
        <v>0</v>
      </c>
      <c r="P65" s="140">
        <f>IFERROR(ROUND(CFwp_US_local!P65*P$1,),)</f>
        <v>0</v>
      </c>
      <c r="Q65" s="140">
        <f>IFERROR(ROUND(CFwp_US_local!Q65*Q$1,),)</f>
        <v>0</v>
      </c>
      <c r="R65" s="140">
        <f>IFERROR(ROUND(CFwp_US_local!R65*R$1,),)</f>
        <v>0</v>
      </c>
      <c r="S65" s="140">
        <f>IFERROR(ROUND(CFwp_US_local!S65*S$1,),)</f>
        <v>0</v>
      </c>
      <c r="T65" s="140">
        <f>IFERROR(ROUND(CFwp_US_local!T65*T$1,),)</f>
        <v>0</v>
      </c>
      <c r="U65" s="140">
        <f>IFERROR(ROUND(CFwp_US_local!U65*U$1,),)</f>
        <v>0</v>
      </c>
      <c r="V65" s="140">
        <f>IFERROR(ROUND(CFwp_US_local!V65*V$1,),)</f>
        <v>0</v>
      </c>
      <c r="W65" s="140">
        <f>IFERROR(ROUND(CFwp_US_local!W65*W$1,),)</f>
        <v>0</v>
      </c>
      <c r="X65" s="140">
        <f>IFERROR(ROUND(CFwp_US_local!X65*X$1,),)</f>
        <v>0</v>
      </c>
      <c r="Y65" s="145">
        <v>0</v>
      </c>
      <c r="Z65" s="145">
        <v>0</v>
      </c>
      <c r="AA65" s="182">
        <f t="shared" si="4"/>
        <v>0</v>
      </c>
      <c r="AB65" s="182">
        <f t="shared" si="5"/>
        <v>0</v>
      </c>
    </row>
    <row r="66" spans="2:29">
      <c r="B66" s="139"/>
      <c r="C66" s="139"/>
      <c r="D66" s="140">
        <f>IFERROR(ROUND(CFwp_US_local!D66*D$1,),)</f>
        <v>0</v>
      </c>
      <c r="E66" s="140">
        <f>IFERROR(ROUND(CFwp_US_local!E66*E$1,),)</f>
        <v>0</v>
      </c>
      <c r="F66" s="146"/>
      <c r="G66" s="146">
        <f t="shared" si="14"/>
        <v>0</v>
      </c>
      <c r="H66" s="143" t="s">
        <v>581</v>
      </c>
      <c r="I66" s="140">
        <f>IFERROR(ROUND(CFwp_US_local!I66*I$1,),)</f>
        <v>0</v>
      </c>
      <c r="J66" s="140">
        <f>IFERROR(ROUND(CFwp_US_local!J66*J$1,),)</f>
        <v>0</v>
      </c>
      <c r="K66" s="140">
        <f>IFERROR(ROUND(CFwp_US_local!K66*K$1,),)</f>
        <v>0</v>
      </c>
      <c r="L66" s="140">
        <f>IFERROR(ROUND(CFwp_US_local!L66*L$1,),)</f>
        <v>0</v>
      </c>
      <c r="M66" s="140">
        <f>IFERROR(ROUND(CFwp_US_local!M66*M$1,),)</f>
        <v>0</v>
      </c>
      <c r="N66" s="140">
        <f>IFERROR(ROUND(CFwp_US_local!N66*N$1,),)</f>
        <v>0</v>
      </c>
      <c r="O66" s="140">
        <f>IFERROR(ROUND(CFwp_US_local!O66*O$1,),)</f>
        <v>0</v>
      </c>
      <c r="P66" s="140">
        <f>IFERROR(ROUND(CFwp_US_local!P66*P$1,),)</f>
        <v>0</v>
      </c>
      <c r="Q66" s="140">
        <f>IFERROR(ROUND(CFwp_US_local!Q66*Q$1,),)</f>
        <v>0</v>
      </c>
      <c r="R66" s="140">
        <f>IFERROR(ROUND(CFwp_US_local!R66*R$1,),)</f>
        <v>0</v>
      </c>
      <c r="S66" s="140">
        <f>IFERROR(ROUND(CFwp_US_local!S66*S$1,),)</f>
        <v>0</v>
      </c>
      <c r="T66" s="140">
        <f>IFERROR(ROUND(CFwp_US_local!T66*T$1,),)</f>
        <v>0</v>
      </c>
      <c r="U66" s="140">
        <f>IFERROR(ROUND(CFwp_US_local!U66*U$1,),)</f>
        <v>0</v>
      </c>
      <c r="V66" s="140">
        <f>IFERROR(ROUND(CFwp_US_local!V66*V$1,),)</f>
        <v>0</v>
      </c>
      <c r="W66" s="140">
        <f>IFERROR(ROUND(CFwp_US_local!W66*W$1,),)</f>
        <v>0</v>
      </c>
      <c r="X66" s="140">
        <f>IFERROR(ROUND(CFwp_US_local!X66*X$1,),)</f>
        <v>0</v>
      </c>
      <c r="Y66" s="145">
        <v>0</v>
      </c>
      <c r="Z66" s="145">
        <v>0</v>
      </c>
      <c r="AA66" s="182">
        <f t="shared" si="4"/>
        <v>0</v>
      </c>
      <c r="AB66" s="182">
        <f t="shared" si="5"/>
        <v>0</v>
      </c>
    </row>
    <row r="67" spans="2:29">
      <c r="B67" s="139" t="s">
        <v>140</v>
      </c>
      <c r="C67" s="139" t="s">
        <v>141</v>
      </c>
      <c r="D67" s="140">
        <f>IFERROR(ROUND(CFwp_US_local!D67*D$1,),)</f>
        <v>0</v>
      </c>
      <c r="E67" s="140">
        <f>IFERROR(ROUND(CFwp_US_local!E67*E$1,),)</f>
        <v>0</v>
      </c>
      <c r="F67" s="146">
        <f t="shared" si="15"/>
        <v>0</v>
      </c>
      <c r="G67" s="146">
        <f t="shared" si="14"/>
        <v>0</v>
      </c>
      <c r="H67" s="143" t="s">
        <v>579</v>
      </c>
      <c r="I67" s="140">
        <f>IFERROR(ROUND(CFwp_US_local!I67*I$1,),)</f>
        <v>0</v>
      </c>
      <c r="J67" s="140">
        <f>IFERROR(ROUND(CFwp_US_local!J67*J$1,),)</f>
        <v>0</v>
      </c>
      <c r="K67" s="140">
        <f>IFERROR(ROUND(CFwp_US_local!K67*K$1,),)</f>
        <v>0</v>
      </c>
      <c r="L67" s="140">
        <f>IFERROR(ROUND(CFwp_US_local!L67*L$1,),)</f>
        <v>0</v>
      </c>
      <c r="M67" s="140">
        <f>IFERROR(ROUND(CFwp_US_local!M67*M$1,),)</f>
        <v>0</v>
      </c>
      <c r="N67" s="140">
        <f>IFERROR(ROUND(CFwp_US_local!N67*N$1,),)</f>
        <v>0</v>
      </c>
      <c r="O67" s="140">
        <f>IFERROR(ROUND(CFwp_US_local!O67*O$1,),)</f>
        <v>0</v>
      </c>
      <c r="P67" s="140">
        <f>IFERROR(ROUND(CFwp_US_local!P67*P$1,),)</f>
        <v>0</v>
      </c>
      <c r="Q67" s="140">
        <f>IFERROR(ROUND(CFwp_US_local!Q67*Q$1,),)</f>
        <v>0</v>
      </c>
      <c r="R67" s="140">
        <f>IFERROR(ROUND(CFwp_US_local!R67*R$1,),)</f>
        <v>0</v>
      </c>
      <c r="S67" s="140">
        <f>IFERROR(ROUND(CFwp_US_local!S67*S$1,),)</f>
        <v>0</v>
      </c>
      <c r="T67" s="140">
        <f>IFERROR(ROUND(CFwp_US_local!T67*T$1,),)</f>
        <v>0</v>
      </c>
      <c r="U67" s="140">
        <f>IFERROR(ROUND(CFwp_US_local!U67*U$1,),)</f>
        <v>0</v>
      </c>
      <c r="V67" s="140">
        <f>IFERROR(ROUND(CFwp_US_local!V67*V$1,),)</f>
        <v>0</v>
      </c>
      <c r="W67" s="140">
        <f>IFERROR(ROUND(CFwp_US_local!W67*W$1,),)</f>
        <v>0</v>
      </c>
      <c r="X67" s="140">
        <f>IFERROR(ROUND(CFwp_US_local!X67*X$1,),)</f>
        <v>0</v>
      </c>
      <c r="Y67" s="145">
        <v>0</v>
      </c>
      <c r="Z67" s="145">
        <v>0</v>
      </c>
      <c r="AA67" s="182">
        <f t="shared" si="4"/>
        <v>0</v>
      </c>
      <c r="AB67" s="182">
        <f t="shared" si="5"/>
        <v>0</v>
      </c>
    </row>
    <row r="68" spans="2:29">
      <c r="B68" s="139" t="s">
        <v>142</v>
      </c>
      <c r="C68" s="139" t="s">
        <v>143</v>
      </c>
      <c r="D68" s="140">
        <f>IFERROR(ROUND(CFwp_US_local!D68*D$1,),)</f>
        <v>0</v>
      </c>
      <c r="E68" s="140">
        <f>IFERROR(ROUND(CFwp_US_local!E68*E$1,),)</f>
        <v>0</v>
      </c>
      <c r="F68" s="146">
        <f t="shared" si="15"/>
        <v>0</v>
      </c>
      <c r="G68" s="146">
        <f t="shared" si="14"/>
        <v>0</v>
      </c>
      <c r="H68" s="143"/>
      <c r="I68" s="140">
        <f>IFERROR(ROUND(CFwp_US_local!I68*I$1,),)</f>
        <v>0</v>
      </c>
      <c r="J68" s="140">
        <f>IFERROR(ROUND(CFwp_US_local!J68*J$1,),)</f>
        <v>0</v>
      </c>
      <c r="K68" s="140">
        <f>IFERROR(ROUND(CFwp_US_local!K68*K$1,),)</f>
        <v>0</v>
      </c>
      <c r="L68" s="140">
        <f>IFERROR(ROUND(CFwp_US_local!L68*L$1,),)</f>
        <v>0</v>
      </c>
      <c r="M68" s="140">
        <f>IFERROR(ROUND(CFwp_US_local!M68*M$1,),)</f>
        <v>0</v>
      </c>
      <c r="N68" s="140">
        <f>IFERROR(ROUND(CFwp_US_local!N68*N$1,),)</f>
        <v>0</v>
      </c>
      <c r="O68" s="140">
        <f>IFERROR(ROUND(CFwp_US_local!O68*O$1,),)</f>
        <v>0</v>
      </c>
      <c r="P68" s="140">
        <f>IFERROR(ROUND(CFwp_US_local!P68*P$1,),)</f>
        <v>0</v>
      </c>
      <c r="Q68" s="140">
        <f>IFERROR(ROUND(CFwp_US_local!Q68*Q$1,),)</f>
        <v>0</v>
      </c>
      <c r="R68" s="140">
        <f>IFERROR(ROUND(CFwp_US_local!R68*R$1,),)</f>
        <v>0</v>
      </c>
      <c r="S68" s="140">
        <f>IFERROR(ROUND(CFwp_US_local!S68*S$1,),)</f>
        <v>0</v>
      </c>
      <c r="T68" s="140">
        <f>IFERROR(ROUND(CFwp_US_local!T68*T$1,),)</f>
        <v>0</v>
      </c>
      <c r="U68" s="140">
        <f>IFERROR(ROUND(CFwp_US_local!U68*U$1,),)</f>
        <v>0</v>
      </c>
      <c r="V68" s="140">
        <f>IFERROR(ROUND(CFwp_US_local!V68*V$1,),)</f>
        <v>0</v>
      </c>
      <c r="W68" s="140">
        <f>IFERROR(ROUND(CFwp_US_local!W68*W$1,),)</f>
        <v>0</v>
      </c>
      <c r="X68" s="140">
        <f>IFERROR(ROUND(CFwp_US_local!X68*X$1,),)</f>
        <v>0</v>
      </c>
      <c r="Y68" s="145">
        <v>0</v>
      </c>
      <c r="Z68" s="145">
        <v>0</v>
      </c>
      <c r="AA68" s="182">
        <f t="shared" si="4"/>
        <v>0</v>
      </c>
      <c r="AB68" s="182">
        <f t="shared" si="5"/>
        <v>0</v>
      </c>
    </row>
    <row r="69" spans="2:29">
      <c r="B69" s="139" t="s">
        <v>144</v>
      </c>
      <c r="C69" s="139" t="s">
        <v>145</v>
      </c>
      <c r="D69" s="140">
        <f>IFERROR(ROUND(CFwp_US_local!D69*D$1,),)</f>
        <v>0</v>
      </c>
      <c r="E69" s="140">
        <f>IFERROR(ROUND(CFwp_US_local!E69*E$1,),)</f>
        <v>0</v>
      </c>
      <c r="F69" s="146">
        <f t="shared" si="15"/>
        <v>0</v>
      </c>
      <c r="G69" s="146">
        <f t="shared" si="14"/>
        <v>0</v>
      </c>
      <c r="H69" s="143"/>
      <c r="I69" s="140">
        <f>IFERROR(ROUND(CFwp_US_local!I69*I$1,),)</f>
        <v>0</v>
      </c>
      <c r="J69" s="140">
        <f>IFERROR(ROUND(CFwp_US_local!J69*J$1,),)</f>
        <v>0</v>
      </c>
      <c r="K69" s="140">
        <f>IFERROR(ROUND(CFwp_US_local!K69*K$1,),)</f>
        <v>0</v>
      </c>
      <c r="L69" s="140">
        <f>IFERROR(ROUND(CFwp_US_local!L69*L$1,),)</f>
        <v>0</v>
      </c>
      <c r="M69" s="140">
        <f>IFERROR(ROUND(CFwp_US_local!M69*M$1,),)</f>
        <v>0</v>
      </c>
      <c r="N69" s="140">
        <f>IFERROR(ROUND(CFwp_US_local!N69*N$1,),)</f>
        <v>0</v>
      </c>
      <c r="O69" s="140">
        <f>IFERROR(ROUND(CFwp_US_local!O69*O$1,),)</f>
        <v>0</v>
      </c>
      <c r="P69" s="140">
        <f>IFERROR(ROUND(CFwp_US_local!P69*P$1,),)</f>
        <v>0</v>
      </c>
      <c r="Q69" s="140">
        <f>IFERROR(ROUND(CFwp_US_local!Q69*Q$1,),)</f>
        <v>0</v>
      </c>
      <c r="R69" s="140">
        <f>IFERROR(ROUND(CFwp_US_local!R69*R$1,),)</f>
        <v>0</v>
      </c>
      <c r="S69" s="140">
        <f>IFERROR(ROUND(CFwp_US_local!S69*S$1,),)</f>
        <v>0</v>
      </c>
      <c r="T69" s="140">
        <f>IFERROR(ROUND(CFwp_US_local!T69*T$1,),)</f>
        <v>0</v>
      </c>
      <c r="U69" s="140">
        <f>IFERROR(ROUND(CFwp_US_local!U69*U$1,),)</f>
        <v>0</v>
      </c>
      <c r="V69" s="140">
        <f>IFERROR(ROUND(CFwp_US_local!V69*V$1,),)</f>
        <v>0</v>
      </c>
      <c r="W69" s="140">
        <f>IFERROR(ROUND(CFwp_US_local!W69*W$1,),)</f>
        <v>0</v>
      </c>
      <c r="X69" s="140">
        <f>IFERROR(ROUND(CFwp_US_local!X69*X$1,),)</f>
        <v>0</v>
      </c>
      <c r="Y69" s="145">
        <v>0</v>
      </c>
      <c r="Z69" s="145">
        <v>0</v>
      </c>
      <c r="AA69" s="182">
        <f t="shared" si="4"/>
        <v>0</v>
      </c>
      <c r="AB69" s="182">
        <f t="shared" si="5"/>
        <v>0</v>
      </c>
    </row>
    <row r="70" spans="2:29">
      <c r="B70" s="139" t="s">
        <v>146</v>
      </c>
      <c r="C70" s="139" t="s">
        <v>147</v>
      </c>
      <c r="D70" s="140">
        <f>IFERROR(ROUND(CFwp_US_local!D70*D$1,),)</f>
        <v>0</v>
      </c>
      <c r="E70" s="140">
        <f>IFERROR(ROUND(CFwp_US_local!E70*E$1,),)</f>
        <v>0</v>
      </c>
      <c r="F70" s="146">
        <f t="shared" si="15"/>
        <v>0</v>
      </c>
      <c r="G70" s="146">
        <f t="shared" si="14"/>
        <v>0</v>
      </c>
      <c r="H70" s="143" t="s">
        <v>579</v>
      </c>
      <c r="I70" s="140">
        <f>IFERROR(ROUND(CFwp_US_local!I70*I$1,),)</f>
        <v>0</v>
      </c>
      <c r="J70" s="140">
        <f>IFERROR(ROUND(CFwp_US_local!J70*J$1,),)</f>
        <v>0</v>
      </c>
      <c r="K70" s="140">
        <f>IFERROR(ROUND(CFwp_US_local!K70*K$1,),)</f>
        <v>0</v>
      </c>
      <c r="L70" s="140">
        <f>IFERROR(ROUND(CFwp_US_local!L70*L$1,),)</f>
        <v>0</v>
      </c>
      <c r="M70" s="140">
        <f>IFERROR(ROUND(CFwp_US_local!M70*M$1,),)</f>
        <v>0</v>
      </c>
      <c r="N70" s="140">
        <f>IFERROR(ROUND(CFwp_US_local!N70*N$1,),)</f>
        <v>0</v>
      </c>
      <c r="O70" s="140">
        <f>IFERROR(ROUND(CFwp_US_local!O70*O$1,),)</f>
        <v>0</v>
      </c>
      <c r="P70" s="140">
        <f>IFERROR(ROUND(CFwp_US_local!P70*P$1,),)</f>
        <v>0</v>
      </c>
      <c r="Q70" s="140">
        <f>IFERROR(ROUND(CFwp_US_local!Q70*Q$1,),)</f>
        <v>0</v>
      </c>
      <c r="R70" s="140">
        <f>IFERROR(ROUND(CFwp_US_local!R70*R$1,),)</f>
        <v>0</v>
      </c>
      <c r="S70" s="140">
        <f>IFERROR(ROUND(CFwp_US_local!S70*S$1,),)</f>
        <v>0</v>
      </c>
      <c r="T70" s="140">
        <f>IFERROR(ROUND(CFwp_US_local!T70*T$1,),)</f>
        <v>0</v>
      </c>
      <c r="U70" s="140">
        <f>IFERROR(ROUND(CFwp_US_local!U70*U$1,),)</f>
        <v>0</v>
      </c>
      <c r="V70" s="140">
        <f>IFERROR(ROUND(CFwp_US_local!V70*V$1,),)</f>
        <v>0</v>
      </c>
      <c r="W70" s="140">
        <f>IFERROR(ROUND(CFwp_US_local!W70*W$1,),)</f>
        <v>0</v>
      </c>
      <c r="X70" s="140">
        <f>IFERROR(ROUND(CFwp_US_local!X70*X$1,),)</f>
        <v>0</v>
      </c>
      <c r="Y70" s="145">
        <v>0</v>
      </c>
      <c r="Z70" s="145">
        <v>0</v>
      </c>
      <c r="AA70" s="182">
        <f t="shared" si="4"/>
        <v>0</v>
      </c>
      <c r="AB70" s="182">
        <f t="shared" si="5"/>
        <v>0</v>
      </c>
    </row>
    <row r="71" spans="2:29">
      <c r="B71" s="139" t="s">
        <v>148</v>
      </c>
      <c r="C71" s="139" t="s">
        <v>149</v>
      </c>
      <c r="D71" s="140">
        <f>IFERROR(ROUND(CFwp_US_local!D71*D$1,),)</f>
        <v>0</v>
      </c>
      <c r="E71" s="140">
        <f>IFERROR(ROUND(CFwp_US_local!E71*E$1,),)</f>
        <v>0</v>
      </c>
      <c r="F71" s="146">
        <f t="shared" si="15"/>
        <v>0</v>
      </c>
      <c r="G71" s="146">
        <f t="shared" si="14"/>
        <v>0</v>
      </c>
      <c r="H71" s="143"/>
      <c r="I71" s="140">
        <f>IFERROR(ROUND(CFwp_US_local!I71*I$1,),)</f>
        <v>0</v>
      </c>
      <c r="J71" s="140">
        <f>IFERROR(ROUND(CFwp_US_local!J71*J$1,),)</f>
        <v>0</v>
      </c>
      <c r="K71" s="140">
        <f>IFERROR(ROUND(CFwp_US_local!K71*K$1,),)</f>
        <v>0</v>
      </c>
      <c r="L71" s="140">
        <f>IFERROR(ROUND(CFwp_US_local!L71*L$1,),)</f>
        <v>0</v>
      </c>
      <c r="M71" s="140">
        <f>IFERROR(ROUND(CFwp_US_local!M71*M$1,),)</f>
        <v>0</v>
      </c>
      <c r="N71" s="140">
        <f>IFERROR(ROUND(CFwp_US_local!N71*N$1,),)</f>
        <v>0</v>
      </c>
      <c r="O71" s="140">
        <f>IFERROR(ROUND(CFwp_US_local!O71*O$1,),)</f>
        <v>0</v>
      </c>
      <c r="P71" s="140">
        <f>IFERROR(ROUND(CFwp_US_local!P71*P$1,),)</f>
        <v>0</v>
      </c>
      <c r="Q71" s="140">
        <f>IFERROR(ROUND(CFwp_US_local!Q71*Q$1,),)</f>
        <v>0</v>
      </c>
      <c r="R71" s="140">
        <f>IFERROR(ROUND(CFwp_US_local!R71*R$1,),)</f>
        <v>0</v>
      </c>
      <c r="S71" s="140">
        <f>IFERROR(ROUND(CFwp_US_local!S71*S$1,),)</f>
        <v>0</v>
      </c>
      <c r="T71" s="140">
        <f>IFERROR(ROUND(CFwp_US_local!T71*T$1,),)</f>
        <v>0</v>
      </c>
      <c r="U71" s="140">
        <f>IFERROR(ROUND(CFwp_US_local!U71*U$1,),)</f>
        <v>0</v>
      </c>
      <c r="V71" s="140">
        <f>IFERROR(ROUND(CFwp_US_local!V71*V$1,),)</f>
        <v>0</v>
      </c>
      <c r="W71" s="140">
        <f>IFERROR(ROUND(CFwp_US_local!W71*W$1,),)</f>
        <v>0</v>
      </c>
      <c r="X71" s="140">
        <f>IFERROR(ROUND(CFwp_US_local!X71*X$1,),)</f>
        <v>0</v>
      </c>
      <c r="Y71" s="145">
        <v>0</v>
      </c>
      <c r="Z71" s="145">
        <v>0</v>
      </c>
      <c r="AA71" s="182">
        <f t="shared" si="4"/>
        <v>0</v>
      </c>
      <c r="AB71" s="182">
        <f t="shared" si="5"/>
        <v>0</v>
      </c>
    </row>
    <row r="72" spans="2:29">
      <c r="B72" s="139" t="s">
        <v>150</v>
      </c>
      <c r="C72" s="139" t="s">
        <v>151</v>
      </c>
      <c r="D72" s="140">
        <f>IFERROR(ROUND(CFwp_US_local!D72*D$1,),)</f>
        <v>0</v>
      </c>
      <c r="E72" s="140">
        <f>IFERROR(ROUND(CFwp_US_local!E72*E$1,),)</f>
        <v>0</v>
      </c>
      <c r="F72" s="146">
        <f t="shared" si="15"/>
        <v>0</v>
      </c>
      <c r="G72" s="146">
        <f t="shared" si="14"/>
        <v>0</v>
      </c>
      <c r="H72" s="143" t="s">
        <v>579</v>
      </c>
      <c r="I72" s="140">
        <f>IFERROR(ROUND(CFwp_US_local!I72*I$1,),)</f>
        <v>0</v>
      </c>
      <c r="J72" s="140">
        <f>IFERROR(ROUND(CFwp_US_local!J72*J$1,),)</f>
        <v>0</v>
      </c>
      <c r="K72" s="140">
        <f>IFERROR(ROUND(CFwp_US_local!K72*K$1,),)</f>
        <v>0</v>
      </c>
      <c r="L72" s="140">
        <f>IFERROR(ROUND(CFwp_US_local!L72*L$1,),)</f>
        <v>0</v>
      </c>
      <c r="M72" s="140">
        <f>IFERROR(ROUND(CFwp_US_local!M72*M$1,),)</f>
        <v>0</v>
      </c>
      <c r="N72" s="140">
        <f>IFERROR(ROUND(CFwp_US_local!N72*N$1,),)</f>
        <v>0</v>
      </c>
      <c r="O72" s="140">
        <f>IFERROR(ROUND(CFwp_US_local!O72*O$1,),)</f>
        <v>0</v>
      </c>
      <c r="P72" s="140">
        <f>IFERROR(ROUND(CFwp_US_local!P72*P$1,),)</f>
        <v>0</v>
      </c>
      <c r="Q72" s="140">
        <f>IFERROR(ROUND(CFwp_US_local!Q72*Q$1,),)</f>
        <v>0</v>
      </c>
      <c r="R72" s="140">
        <f>IFERROR(ROUND(CFwp_US_local!R72*R$1,),)</f>
        <v>0</v>
      </c>
      <c r="S72" s="140">
        <f>IFERROR(ROUND(CFwp_US_local!S72*S$1,),)</f>
        <v>0</v>
      </c>
      <c r="T72" s="140">
        <f>IFERROR(ROUND(CFwp_US_local!T72*T$1,),)</f>
        <v>0</v>
      </c>
      <c r="U72" s="140">
        <f>IFERROR(ROUND(CFwp_US_local!U72*U$1,),)</f>
        <v>0</v>
      </c>
      <c r="V72" s="140">
        <f>IFERROR(ROUND(CFwp_US_local!V72*V$1,),)</f>
        <v>0</v>
      </c>
      <c r="W72" s="140">
        <f>IFERROR(ROUND(CFwp_US_local!W72*W$1,),)</f>
        <v>0</v>
      </c>
      <c r="X72" s="140">
        <f>IFERROR(ROUND(CFwp_US_local!X72*X$1,),)</f>
        <v>0</v>
      </c>
      <c r="Y72" s="145">
        <v>0</v>
      </c>
      <c r="Z72" s="145">
        <v>0</v>
      </c>
      <c r="AA72" s="182">
        <f t="shared" si="4"/>
        <v>0</v>
      </c>
      <c r="AB72" s="182">
        <f t="shared" si="5"/>
        <v>0</v>
      </c>
    </row>
    <row r="73" spans="2:29">
      <c r="B73" s="139" t="s">
        <v>152</v>
      </c>
      <c r="C73" s="139" t="s">
        <v>153</v>
      </c>
      <c r="D73" s="140">
        <f>IFERROR(ROUND(CFwp_US_local!D73*D$1,),)</f>
        <v>0</v>
      </c>
      <c r="E73" s="140">
        <f>IFERROR(ROUND(CFwp_US_local!E73*E$1,),)</f>
        <v>0</v>
      </c>
      <c r="F73" s="146">
        <f t="shared" si="15"/>
        <v>0</v>
      </c>
      <c r="G73" s="146">
        <f t="shared" si="14"/>
        <v>0</v>
      </c>
      <c r="H73" s="143"/>
      <c r="I73" s="140">
        <f>IFERROR(ROUND(CFwp_US_local!I73*I$1,),)</f>
        <v>0</v>
      </c>
      <c r="J73" s="140">
        <f>IFERROR(ROUND(CFwp_US_local!J73*J$1,),)</f>
        <v>0</v>
      </c>
      <c r="K73" s="140">
        <f>IFERROR(ROUND(CFwp_US_local!K73*K$1,),)</f>
        <v>0</v>
      </c>
      <c r="L73" s="140">
        <f>IFERROR(ROUND(CFwp_US_local!L73*L$1,),)</f>
        <v>0</v>
      </c>
      <c r="M73" s="140">
        <f>IFERROR(ROUND(CFwp_US_local!M73*M$1,),)</f>
        <v>0</v>
      </c>
      <c r="N73" s="140">
        <f>IFERROR(ROUND(CFwp_US_local!N73*N$1,),)</f>
        <v>0</v>
      </c>
      <c r="O73" s="140">
        <f>IFERROR(ROUND(CFwp_US_local!O73*O$1,),)</f>
        <v>0</v>
      </c>
      <c r="P73" s="140">
        <f>IFERROR(ROUND(CFwp_US_local!P73*P$1,),)</f>
        <v>0</v>
      </c>
      <c r="Q73" s="140">
        <f>IFERROR(ROUND(CFwp_US_local!Q73*Q$1,),)</f>
        <v>0</v>
      </c>
      <c r="R73" s="140">
        <f>IFERROR(ROUND(CFwp_US_local!R73*R$1,),)</f>
        <v>0</v>
      </c>
      <c r="S73" s="140">
        <f>IFERROR(ROUND(CFwp_US_local!S73*S$1,),)</f>
        <v>0</v>
      </c>
      <c r="T73" s="140">
        <f>IFERROR(ROUND(CFwp_US_local!T73*T$1,),)</f>
        <v>0</v>
      </c>
      <c r="U73" s="140">
        <f>IFERROR(ROUND(CFwp_US_local!U73*U$1,),)</f>
        <v>0</v>
      </c>
      <c r="V73" s="140">
        <f>IFERROR(ROUND(CFwp_US_local!V73*V$1,),)</f>
        <v>0</v>
      </c>
      <c r="W73" s="140">
        <f>IFERROR(ROUND(CFwp_US_local!W73*W$1,),)</f>
        <v>0</v>
      </c>
      <c r="X73" s="140">
        <f>IFERROR(ROUND(CFwp_US_local!X73*X$1,),)</f>
        <v>0</v>
      </c>
      <c r="Y73" s="145">
        <v>0</v>
      </c>
      <c r="Z73" s="145">
        <v>0</v>
      </c>
      <c r="AA73" s="182">
        <f t="shared" si="4"/>
        <v>0</v>
      </c>
      <c r="AB73" s="182">
        <f t="shared" si="5"/>
        <v>0</v>
      </c>
    </row>
    <row r="74" spans="2:29">
      <c r="B74" s="139" t="s">
        <v>154</v>
      </c>
      <c r="C74" s="139" t="s">
        <v>155</v>
      </c>
      <c r="D74" s="140">
        <f>IFERROR(ROUND(CFwp_US_local!D74*D$1,),)</f>
        <v>8814331</v>
      </c>
      <c r="E74" s="115">
        <f>IFERROR(ROUND(CFwp_US_local!E74*E$1,),)</f>
        <v>16604349</v>
      </c>
      <c r="F74" s="146">
        <f t="shared" si="15"/>
        <v>7790018</v>
      </c>
      <c r="G74" s="146">
        <f t="shared" si="14"/>
        <v>0</v>
      </c>
      <c r="H74" s="143"/>
      <c r="I74" s="140">
        <f>IFERROR(ROUND(CFwp_US_local!I74*I$1,),)</f>
        <v>0</v>
      </c>
      <c r="J74" s="140">
        <f>IFERROR(ROUND(CFwp_US_local!J74*J$1,),)</f>
        <v>0</v>
      </c>
      <c r="K74" s="140">
        <f>IFERROR(ROUND(CFwp_US_local!K74*K$1,),)</f>
        <v>0</v>
      </c>
      <c r="L74" s="140">
        <f>IFERROR(ROUND(CFwp_US_local!L74*L$1,),)</f>
        <v>0</v>
      </c>
      <c r="M74" s="140">
        <f>IFERROR(ROUND(CFwp_US_local!M74*M$1,),)</f>
        <v>0</v>
      </c>
      <c r="N74" s="140">
        <f>IFERROR(ROUND(CFwp_US_local!N74*N$1,),)</f>
        <v>0</v>
      </c>
      <c r="O74" s="140">
        <f>IFERROR(ROUND(CFwp_US_local!O74*O$1,),)</f>
        <v>0</v>
      </c>
      <c r="P74" s="140">
        <f>IFERROR(ROUND(CFwp_US_local!P74*P$1,),)</f>
        <v>9045704</v>
      </c>
      <c r="Q74" s="140">
        <f>IFERROR(ROUND(CFwp_US_local!Q74*Q$1,),)</f>
        <v>0</v>
      </c>
      <c r="R74" s="140">
        <f>IFERROR(ROUND(CFwp_US_local!R74*R$1,),)</f>
        <v>0</v>
      </c>
      <c r="S74" s="140">
        <f>IFERROR(ROUND(CFwp_US_local!S74*S$1,),)</f>
        <v>0</v>
      </c>
      <c r="T74" s="140">
        <f>IFERROR(ROUND(CFwp_US_local!T74*T$1,),)</f>
        <v>0</v>
      </c>
      <c r="U74" s="140">
        <f>IFERROR(ROUND(CFwp_US_local!U74*U$1,),)</f>
        <v>0</v>
      </c>
      <c r="V74" s="140">
        <f>IFERROR(ROUND(CFwp_US_local!V74*V$1,),)</f>
        <v>0</v>
      </c>
      <c r="W74" s="140">
        <f>IFERROR(ROUND(CFwp_US_local!W74*W$1,),)</f>
        <v>0</v>
      </c>
      <c r="X74" s="140">
        <f>IFERROR(ROUND(CFwp_US_local!X74*X$1,),)</f>
        <v>0</v>
      </c>
      <c r="Y74" s="145">
        <v>0</v>
      </c>
      <c r="Z74" s="145">
        <v>1255686</v>
      </c>
      <c r="AA74" s="182">
        <f t="shared" si="4"/>
        <v>0</v>
      </c>
      <c r="AB74" s="182">
        <f t="shared" si="5"/>
        <v>0</v>
      </c>
    </row>
    <row r="75" spans="2:29">
      <c r="B75" s="139" t="s">
        <v>156</v>
      </c>
      <c r="C75" s="139" t="s">
        <v>157</v>
      </c>
      <c r="D75" s="140">
        <f>IFERROR(ROUND(CFwp_US_local!D75*D$1,),)</f>
        <v>-147041</v>
      </c>
      <c r="E75" s="140">
        <f>IFERROR(ROUND(CFwp_US_local!E75*E$1,),)</f>
        <v>-4584832</v>
      </c>
      <c r="F75" s="146">
        <f t="shared" si="15"/>
        <v>-4437791</v>
      </c>
      <c r="G75" s="146">
        <f t="shared" si="14"/>
        <v>0</v>
      </c>
      <c r="H75" s="143" t="s">
        <v>579</v>
      </c>
      <c r="I75" s="140">
        <f>IFERROR(ROUND(CFwp_US_local!I75*I$1,),)</f>
        <v>4833695</v>
      </c>
      <c r="J75" s="140">
        <f>IFERROR(ROUND(CFwp_US_local!J75*J$1,),)</f>
        <v>4833695</v>
      </c>
      <c r="K75" s="140">
        <f>IFERROR(ROUND(CFwp_US_local!K75*K$1,),)</f>
        <v>0</v>
      </c>
      <c r="L75" s="140">
        <f>IFERROR(ROUND(CFwp_US_local!L75*L$1,),)</f>
        <v>0</v>
      </c>
      <c r="M75" s="140">
        <f>IFERROR(ROUND(CFwp_US_local!M75*M$1,),)</f>
        <v>0</v>
      </c>
      <c r="N75" s="140">
        <f>IFERROR(ROUND(CFwp_US_local!N75*N$1,),)</f>
        <v>0</v>
      </c>
      <c r="O75" s="140">
        <f>IFERROR(ROUND(CFwp_US_local!O75*O$1,),)</f>
        <v>0</v>
      </c>
      <c r="P75" s="140">
        <f>IFERROR(ROUND(CFwp_US_local!P75*P$1,),)</f>
        <v>0</v>
      </c>
      <c r="Q75" s="140">
        <f>IFERROR(ROUND(CFwp_US_local!Q75*Q$1,),)</f>
        <v>0</v>
      </c>
      <c r="R75" s="140">
        <f>IFERROR(ROUND(CFwp_US_local!R75*R$1,),)</f>
        <v>0</v>
      </c>
      <c r="S75" s="140">
        <f>IFERROR(ROUND(CFwp_US_local!S75*S$1,),)</f>
        <v>0</v>
      </c>
      <c r="T75" s="140">
        <f>IFERROR(ROUND(CFwp_US_local!T75*T$1,),)</f>
        <v>0</v>
      </c>
      <c r="U75" s="140">
        <f>IFERROR(ROUND(CFwp_US_local!U75*U$1,),)</f>
        <v>0</v>
      </c>
      <c r="V75" s="140">
        <f>IFERROR(ROUND(CFwp_US_local!V75*V$1,),)</f>
        <v>0</v>
      </c>
      <c r="W75" s="140">
        <f>IFERROR(ROUND(CFwp_US_local!W75*W$1,),)</f>
        <v>0</v>
      </c>
      <c r="X75" s="140">
        <f>IFERROR(ROUND(CFwp_US_local!X75*X$1,),)</f>
        <v>0</v>
      </c>
      <c r="Y75" s="145">
        <v>395904</v>
      </c>
      <c r="Z75" s="145">
        <v>0</v>
      </c>
      <c r="AA75" s="182">
        <f t="shared" si="4"/>
        <v>0</v>
      </c>
      <c r="AB75" s="182">
        <f t="shared" si="5"/>
        <v>0</v>
      </c>
      <c r="AC75" s="115">
        <f>SUM(E74:E75)</f>
        <v>12019517</v>
      </c>
    </row>
    <row r="76" spans="2:29">
      <c r="B76" s="139" t="s">
        <v>158</v>
      </c>
      <c r="C76" s="139" t="s">
        <v>159</v>
      </c>
      <c r="D76" s="140">
        <f>IFERROR(ROUND(CFwp_US_local!D76*D$1,),)</f>
        <v>0</v>
      </c>
      <c r="E76" s="140">
        <f>IFERROR(ROUND(CFwp_US_local!E76*E$1,),)</f>
        <v>0</v>
      </c>
      <c r="F76" s="146">
        <f t="shared" si="15"/>
        <v>0</v>
      </c>
      <c r="G76" s="146">
        <f t="shared" si="14"/>
        <v>0</v>
      </c>
      <c r="H76" s="143"/>
      <c r="I76" s="140">
        <f>IFERROR(ROUND(CFwp_US_local!I76*I$1,),)</f>
        <v>0</v>
      </c>
      <c r="J76" s="140">
        <f>IFERROR(ROUND(CFwp_US_local!J76*J$1,),)</f>
        <v>0</v>
      </c>
      <c r="K76" s="140">
        <f>IFERROR(ROUND(CFwp_US_local!K76*K$1,),)</f>
        <v>0</v>
      </c>
      <c r="L76" s="140">
        <f>IFERROR(ROUND(CFwp_US_local!L76*L$1,),)</f>
        <v>0</v>
      </c>
      <c r="M76" s="140">
        <f>IFERROR(ROUND(CFwp_US_local!M76*M$1,),)</f>
        <v>0</v>
      </c>
      <c r="N76" s="140">
        <f>IFERROR(ROUND(CFwp_US_local!N76*N$1,),)</f>
        <v>0</v>
      </c>
      <c r="O76" s="140">
        <f>IFERROR(ROUND(CFwp_US_local!O76*O$1,),)</f>
        <v>0</v>
      </c>
      <c r="P76" s="140">
        <f>IFERROR(ROUND(CFwp_US_local!P76*P$1,),)</f>
        <v>0</v>
      </c>
      <c r="Q76" s="140">
        <f>IFERROR(ROUND(CFwp_US_local!Q76*Q$1,),)</f>
        <v>0</v>
      </c>
      <c r="R76" s="140">
        <f>IFERROR(ROUND(CFwp_US_local!R76*R$1,),)</f>
        <v>0</v>
      </c>
      <c r="S76" s="140">
        <f>IFERROR(ROUND(CFwp_US_local!S76*S$1,),)</f>
        <v>0</v>
      </c>
      <c r="T76" s="140">
        <f>IFERROR(ROUND(CFwp_US_local!T76*T$1,),)</f>
        <v>0</v>
      </c>
      <c r="U76" s="140">
        <f>IFERROR(ROUND(CFwp_US_local!U76*U$1,),)</f>
        <v>0</v>
      </c>
      <c r="V76" s="140">
        <f>IFERROR(ROUND(CFwp_US_local!V76*V$1,),)</f>
        <v>0</v>
      </c>
      <c r="W76" s="140">
        <f>IFERROR(ROUND(CFwp_US_local!W76*W$1,),)</f>
        <v>0</v>
      </c>
      <c r="X76" s="140">
        <f>IFERROR(ROUND(CFwp_US_local!X76*X$1,),)</f>
        <v>0</v>
      </c>
      <c r="Y76" s="145">
        <v>0</v>
      </c>
      <c r="Z76" s="145">
        <v>0</v>
      </c>
      <c r="AA76" s="182">
        <f t="shared" si="4"/>
        <v>0</v>
      </c>
      <c r="AB76" s="182">
        <f t="shared" si="5"/>
        <v>0</v>
      </c>
    </row>
    <row r="77" spans="2:29">
      <c r="B77" s="139" t="s">
        <v>160</v>
      </c>
      <c r="C77" s="139" t="s">
        <v>161</v>
      </c>
      <c r="D77" s="140">
        <f>IFERROR(ROUND(CFwp_US_local!D77*D$1,),)</f>
        <v>0</v>
      </c>
      <c r="E77" s="140">
        <f>IFERROR(ROUND(CFwp_US_local!E77*E$1,),)</f>
        <v>0</v>
      </c>
      <c r="F77" s="146">
        <f t="shared" si="15"/>
        <v>0</v>
      </c>
      <c r="G77" s="146">
        <f t="shared" si="14"/>
        <v>0</v>
      </c>
      <c r="H77" s="143"/>
      <c r="I77" s="140">
        <f>IFERROR(ROUND(CFwp_US_local!I77*I$1,),)</f>
        <v>0</v>
      </c>
      <c r="J77" s="140">
        <f>IFERROR(ROUND(CFwp_US_local!J77*J$1,),)</f>
        <v>0</v>
      </c>
      <c r="K77" s="140">
        <f>IFERROR(ROUND(CFwp_US_local!K77*K$1,),)</f>
        <v>0</v>
      </c>
      <c r="L77" s="140">
        <f>IFERROR(ROUND(CFwp_US_local!L77*L$1,),)</f>
        <v>0</v>
      </c>
      <c r="M77" s="140">
        <f>IFERROR(ROUND(CFwp_US_local!M77*M$1,),)</f>
        <v>0</v>
      </c>
      <c r="N77" s="140">
        <f>IFERROR(ROUND(CFwp_US_local!N77*N$1,),)</f>
        <v>0</v>
      </c>
      <c r="O77" s="140">
        <f>IFERROR(ROUND(CFwp_US_local!O77*O$1,),)</f>
        <v>0</v>
      </c>
      <c r="P77" s="140">
        <f>IFERROR(ROUND(CFwp_US_local!P77*P$1,),)</f>
        <v>0</v>
      </c>
      <c r="Q77" s="140">
        <f>IFERROR(ROUND(CFwp_US_local!Q77*Q$1,),)</f>
        <v>0</v>
      </c>
      <c r="R77" s="140">
        <f>IFERROR(ROUND(CFwp_US_local!R77*R$1,),)</f>
        <v>0</v>
      </c>
      <c r="S77" s="140">
        <f>IFERROR(ROUND(CFwp_US_local!S77*S$1,),)</f>
        <v>0</v>
      </c>
      <c r="T77" s="140">
        <f>IFERROR(ROUND(CFwp_US_local!T77*T$1,),)</f>
        <v>0</v>
      </c>
      <c r="U77" s="140">
        <f>IFERROR(ROUND(CFwp_US_local!U77*U$1,),)</f>
        <v>0</v>
      </c>
      <c r="V77" s="140">
        <f>IFERROR(ROUND(CFwp_US_local!V77*V$1,),)</f>
        <v>0</v>
      </c>
      <c r="W77" s="140">
        <f>IFERROR(ROUND(CFwp_US_local!W77*W$1,),)</f>
        <v>0</v>
      </c>
      <c r="X77" s="140">
        <f>IFERROR(ROUND(CFwp_US_local!X77*X$1,),)</f>
        <v>0</v>
      </c>
      <c r="Y77" s="145">
        <v>0</v>
      </c>
      <c r="Z77" s="145">
        <v>0</v>
      </c>
      <c r="AA77" s="182">
        <f t="shared" si="4"/>
        <v>0</v>
      </c>
      <c r="AB77" s="182">
        <f t="shared" si="5"/>
        <v>0</v>
      </c>
    </row>
    <row r="78" spans="2:29">
      <c r="B78" s="139" t="s">
        <v>162</v>
      </c>
      <c r="C78" s="139" t="s">
        <v>163</v>
      </c>
      <c r="D78" s="140">
        <f>IFERROR(ROUND(CFwp_US_local!D78*D$1,),)</f>
        <v>0</v>
      </c>
      <c r="E78" s="140">
        <f>IFERROR(ROUND(CFwp_US_local!E78*E$1,),)</f>
        <v>0</v>
      </c>
      <c r="F78" s="146">
        <f t="shared" si="15"/>
        <v>0</v>
      </c>
      <c r="G78" s="146">
        <f t="shared" si="14"/>
        <v>0</v>
      </c>
      <c r="H78" s="143" t="s">
        <v>579</v>
      </c>
      <c r="I78" s="140">
        <f>IFERROR(ROUND(CFwp_US_local!I78*I$1,),)</f>
        <v>0</v>
      </c>
      <c r="J78" s="140">
        <f>IFERROR(ROUND(CFwp_US_local!J78*J$1,),)</f>
        <v>0</v>
      </c>
      <c r="K78" s="140">
        <f>IFERROR(ROUND(CFwp_US_local!K78*K$1,),)</f>
        <v>0</v>
      </c>
      <c r="L78" s="140">
        <f>IFERROR(ROUND(CFwp_US_local!L78*L$1,),)</f>
        <v>0</v>
      </c>
      <c r="M78" s="140">
        <f>IFERROR(ROUND(CFwp_US_local!M78*M$1,),)</f>
        <v>0</v>
      </c>
      <c r="N78" s="140">
        <f>IFERROR(ROUND(CFwp_US_local!N78*N$1,),)</f>
        <v>0</v>
      </c>
      <c r="O78" s="140">
        <f>IFERROR(ROUND(CFwp_US_local!O78*O$1,),)</f>
        <v>0</v>
      </c>
      <c r="P78" s="140">
        <f>IFERROR(ROUND(CFwp_US_local!P78*P$1,),)</f>
        <v>0</v>
      </c>
      <c r="Q78" s="140">
        <f>IFERROR(ROUND(CFwp_US_local!Q78*Q$1,),)</f>
        <v>0</v>
      </c>
      <c r="R78" s="140">
        <f>IFERROR(ROUND(CFwp_US_local!R78*R$1,),)</f>
        <v>0</v>
      </c>
      <c r="S78" s="140">
        <f>IFERROR(ROUND(CFwp_US_local!S78*S$1,),)</f>
        <v>0</v>
      </c>
      <c r="T78" s="140">
        <f>IFERROR(ROUND(CFwp_US_local!T78*T$1,),)</f>
        <v>0</v>
      </c>
      <c r="U78" s="140">
        <f>IFERROR(ROUND(CFwp_US_local!U78*U$1,),)</f>
        <v>0</v>
      </c>
      <c r="V78" s="140">
        <f>IFERROR(ROUND(CFwp_US_local!V78*V$1,),)</f>
        <v>0</v>
      </c>
      <c r="W78" s="140">
        <f>IFERROR(ROUND(CFwp_US_local!W78*W$1,),)</f>
        <v>0</v>
      </c>
      <c r="X78" s="140">
        <f>IFERROR(ROUND(CFwp_US_local!X78*X$1,),)</f>
        <v>0</v>
      </c>
      <c r="Y78" s="145">
        <v>0</v>
      </c>
      <c r="Z78" s="145">
        <v>0</v>
      </c>
      <c r="AA78" s="182">
        <f t="shared" ref="AA78:AA141" si="16">IF(G78&gt;0,G78,0)</f>
        <v>0</v>
      </c>
      <c r="AB78" s="182">
        <f t="shared" ref="AB78:AB141" si="17">IF(G78&lt;0,-G78,0)</f>
        <v>0</v>
      </c>
    </row>
    <row r="79" spans="2:29">
      <c r="B79" s="139" t="s">
        <v>164</v>
      </c>
      <c r="C79" s="139" t="s">
        <v>165</v>
      </c>
      <c r="D79" s="140">
        <f>IFERROR(ROUND(CFwp_US_local!D79*D$1,),)</f>
        <v>0</v>
      </c>
      <c r="E79" s="140">
        <f>IFERROR(ROUND(CFwp_US_local!E79*E$1,),)</f>
        <v>0</v>
      </c>
      <c r="F79" s="146">
        <f t="shared" si="15"/>
        <v>0</v>
      </c>
      <c r="G79" s="146">
        <f t="shared" si="14"/>
        <v>0</v>
      </c>
      <c r="H79" s="143"/>
      <c r="I79" s="140">
        <f>IFERROR(ROUND(CFwp_US_local!I79*I$1,),)</f>
        <v>0</v>
      </c>
      <c r="J79" s="140">
        <f>IFERROR(ROUND(CFwp_US_local!J79*J$1,),)</f>
        <v>0</v>
      </c>
      <c r="K79" s="140">
        <f>IFERROR(ROUND(CFwp_US_local!K79*K$1,),)</f>
        <v>0</v>
      </c>
      <c r="L79" s="140">
        <f>IFERROR(ROUND(CFwp_US_local!L79*L$1,),)</f>
        <v>0</v>
      </c>
      <c r="M79" s="140">
        <f>IFERROR(ROUND(CFwp_US_local!M79*M$1,),)</f>
        <v>0</v>
      </c>
      <c r="N79" s="140">
        <f>IFERROR(ROUND(CFwp_US_local!N79*N$1,),)</f>
        <v>0</v>
      </c>
      <c r="O79" s="140">
        <f>IFERROR(ROUND(CFwp_US_local!O79*O$1,),)</f>
        <v>0</v>
      </c>
      <c r="P79" s="140">
        <f>IFERROR(ROUND(CFwp_US_local!P79*P$1,),)</f>
        <v>0</v>
      </c>
      <c r="Q79" s="140">
        <f>IFERROR(ROUND(CFwp_US_local!Q79*Q$1,),)</f>
        <v>0</v>
      </c>
      <c r="R79" s="140">
        <f>IFERROR(ROUND(CFwp_US_local!R79*R$1,),)</f>
        <v>0</v>
      </c>
      <c r="S79" s="140">
        <f>IFERROR(ROUND(CFwp_US_local!S79*S$1,),)</f>
        <v>0</v>
      </c>
      <c r="T79" s="140">
        <f>IFERROR(ROUND(CFwp_US_local!T79*T$1,),)</f>
        <v>0</v>
      </c>
      <c r="U79" s="140">
        <f>IFERROR(ROUND(CFwp_US_local!U79*U$1,),)</f>
        <v>0</v>
      </c>
      <c r="V79" s="140">
        <f>IFERROR(ROUND(CFwp_US_local!V79*V$1,),)</f>
        <v>0</v>
      </c>
      <c r="W79" s="140">
        <f>IFERROR(ROUND(CFwp_US_local!W79*W$1,),)</f>
        <v>0</v>
      </c>
      <c r="X79" s="140">
        <f>IFERROR(ROUND(CFwp_US_local!X79*X$1,),)</f>
        <v>0</v>
      </c>
      <c r="Y79" s="145">
        <v>0</v>
      </c>
      <c r="Z79" s="145">
        <v>0</v>
      </c>
      <c r="AA79" s="182">
        <f t="shared" si="16"/>
        <v>0</v>
      </c>
      <c r="AB79" s="182">
        <f t="shared" si="17"/>
        <v>0</v>
      </c>
    </row>
    <row r="80" spans="2:29">
      <c r="B80" s="139" t="s">
        <v>166</v>
      </c>
      <c r="C80" s="139" t="s">
        <v>167</v>
      </c>
      <c r="D80" s="140">
        <f>IFERROR(ROUND(CFwp_US_local!D80*D$1,),)</f>
        <v>0</v>
      </c>
      <c r="E80" s="140">
        <f>IFERROR(ROUND(CFwp_US_local!E80*E$1,),)</f>
        <v>0</v>
      </c>
      <c r="F80" s="146">
        <f t="shared" si="15"/>
        <v>0</v>
      </c>
      <c r="G80" s="146">
        <f t="shared" si="14"/>
        <v>0</v>
      </c>
      <c r="H80" s="143" t="s">
        <v>579</v>
      </c>
      <c r="I80" s="140">
        <f>IFERROR(ROUND(CFwp_US_local!I80*I$1,),)</f>
        <v>0</v>
      </c>
      <c r="J80" s="140">
        <f>IFERROR(ROUND(CFwp_US_local!J80*J$1,),)</f>
        <v>0</v>
      </c>
      <c r="K80" s="140">
        <f>IFERROR(ROUND(CFwp_US_local!K80*K$1,),)</f>
        <v>0</v>
      </c>
      <c r="L80" s="140">
        <f>IFERROR(ROUND(CFwp_US_local!L80*L$1,),)</f>
        <v>0</v>
      </c>
      <c r="M80" s="140">
        <f>IFERROR(ROUND(CFwp_US_local!M80*M$1,),)</f>
        <v>0</v>
      </c>
      <c r="N80" s="140">
        <f>IFERROR(ROUND(CFwp_US_local!N80*N$1,),)</f>
        <v>0</v>
      </c>
      <c r="O80" s="140">
        <f>IFERROR(ROUND(CFwp_US_local!O80*O$1,),)</f>
        <v>0</v>
      </c>
      <c r="P80" s="140">
        <f>IFERROR(ROUND(CFwp_US_local!P80*P$1,),)</f>
        <v>0</v>
      </c>
      <c r="Q80" s="140">
        <f>IFERROR(ROUND(CFwp_US_local!Q80*Q$1,),)</f>
        <v>0</v>
      </c>
      <c r="R80" s="140">
        <f>IFERROR(ROUND(CFwp_US_local!R80*R$1,),)</f>
        <v>0</v>
      </c>
      <c r="S80" s="140">
        <f>IFERROR(ROUND(CFwp_US_local!S80*S$1,),)</f>
        <v>0</v>
      </c>
      <c r="T80" s="140">
        <f>IFERROR(ROUND(CFwp_US_local!T80*T$1,),)</f>
        <v>0</v>
      </c>
      <c r="U80" s="140">
        <f>IFERROR(ROUND(CFwp_US_local!U80*U$1,),)</f>
        <v>0</v>
      </c>
      <c r="V80" s="140">
        <f>IFERROR(ROUND(CFwp_US_local!V80*V$1,),)</f>
        <v>0</v>
      </c>
      <c r="W80" s="140">
        <f>IFERROR(ROUND(CFwp_US_local!W80*W$1,),)</f>
        <v>0</v>
      </c>
      <c r="X80" s="140">
        <f>IFERROR(ROUND(CFwp_US_local!X80*X$1,),)</f>
        <v>0</v>
      </c>
      <c r="Y80" s="145">
        <v>0</v>
      </c>
      <c r="Z80" s="145">
        <v>0</v>
      </c>
      <c r="AA80" s="182">
        <f t="shared" si="16"/>
        <v>0</v>
      </c>
      <c r="AB80" s="182">
        <f t="shared" si="17"/>
        <v>0</v>
      </c>
    </row>
    <row r="81" spans="2:28">
      <c r="B81" s="139"/>
      <c r="C81" s="139"/>
      <c r="D81" s="140"/>
      <c r="E81" s="140"/>
      <c r="F81" s="146"/>
      <c r="G81" s="146">
        <f t="shared" si="14"/>
        <v>0</v>
      </c>
      <c r="H81" s="143"/>
      <c r="I81" s="140">
        <f>IFERROR(ROUND(CFwp_US_local!I81*I$1,),)</f>
        <v>0</v>
      </c>
      <c r="J81" s="140">
        <f>IFERROR(ROUND(CFwp_US_local!J81*J$1,),)</f>
        <v>0</v>
      </c>
      <c r="K81" s="140">
        <f>IFERROR(ROUND(CFwp_US_local!K81*K$1,),)</f>
        <v>0</v>
      </c>
      <c r="L81" s="140">
        <f>IFERROR(ROUND(CFwp_US_local!L81*L$1,),)</f>
        <v>0</v>
      </c>
      <c r="M81" s="140">
        <f>IFERROR(ROUND(CFwp_US_local!M81*M$1,),)</f>
        <v>0</v>
      </c>
      <c r="N81" s="140">
        <f>IFERROR(ROUND(CFwp_US_local!N81*N$1,),)</f>
        <v>0</v>
      </c>
      <c r="O81" s="140">
        <f>IFERROR(ROUND(CFwp_US_local!O81*O$1,),)</f>
        <v>0</v>
      </c>
      <c r="P81" s="140">
        <f>IFERROR(ROUND(CFwp_US_local!P81*P$1,),)</f>
        <v>0</v>
      </c>
      <c r="Q81" s="140">
        <f>IFERROR(ROUND(CFwp_US_local!Q81*Q$1,),)</f>
        <v>0</v>
      </c>
      <c r="R81" s="140">
        <f>IFERROR(ROUND(CFwp_US_local!R81*R$1,),)</f>
        <v>0</v>
      </c>
      <c r="S81" s="140">
        <f>IFERROR(ROUND(CFwp_US_local!S81*S$1,),)</f>
        <v>0</v>
      </c>
      <c r="T81" s="140">
        <f>IFERROR(ROUND(CFwp_US_local!T81*T$1,),)</f>
        <v>0</v>
      </c>
      <c r="U81" s="140">
        <f>IFERROR(ROUND(CFwp_US_local!U81*U$1,),)</f>
        <v>0</v>
      </c>
      <c r="V81" s="140">
        <f>IFERROR(ROUND(CFwp_US_local!V81*V$1,),)</f>
        <v>0</v>
      </c>
      <c r="W81" s="140">
        <f>IFERROR(ROUND(CFwp_US_local!W81*W$1,),)</f>
        <v>0</v>
      </c>
      <c r="X81" s="140">
        <f>IFERROR(ROUND(CFwp_US_local!X81*X$1,),)</f>
        <v>0</v>
      </c>
      <c r="Y81" s="145">
        <v>0</v>
      </c>
      <c r="Z81" s="145">
        <v>0</v>
      </c>
      <c r="AA81" s="182">
        <f t="shared" si="16"/>
        <v>0</v>
      </c>
      <c r="AB81" s="182">
        <f t="shared" si="17"/>
        <v>0</v>
      </c>
    </row>
    <row r="82" spans="2:28">
      <c r="B82" s="137"/>
      <c r="C82" s="137" t="s">
        <v>172</v>
      </c>
      <c r="D82" s="138">
        <f>SUM(D83:D89)</f>
        <v>0</v>
      </c>
      <c r="E82" s="138">
        <f>SUM(E83:E89)</f>
        <v>0</v>
      </c>
      <c r="F82" s="154"/>
      <c r="G82" s="154"/>
      <c r="H82" s="138"/>
      <c r="I82" s="149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>
        <v>0</v>
      </c>
      <c r="Z82" s="138">
        <v>0</v>
      </c>
      <c r="AA82" s="182">
        <f t="shared" si="16"/>
        <v>0</v>
      </c>
      <c r="AB82" s="182">
        <f t="shared" si="17"/>
        <v>0</v>
      </c>
    </row>
    <row r="83" spans="2:28">
      <c r="B83" s="139" t="s">
        <v>169</v>
      </c>
      <c r="C83" s="139" t="s">
        <v>170</v>
      </c>
      <c r="D83" s="140">
        <f>IFERROR(ROUND(CFwp_US_local!D83*D$1,),)</f>
        <v>0</v>
      </c>
      <c r="E83" s="140">
        <f>IFERROR(ROUND(CFwp_US_local!E83*E$1,),)</f>
        <v>0</v>
      </c>
      <c r="F83" s="146">
        <f>E83-D83</f>
        <v>0</v>
      </c>
      <c r="G83" s="146">
        <f t="shared" ref="G83:G89" si="18">J83-K83+N83+O83-P83+Q83-R83-T83+V83+F83-W83+X83-Y83+Z83</f>
        <v>0</v>
      </c>
      <c r="H83" s="143"/>
      <c r="I83" s="140">
        <f>IFERROR(ROUND(CFwp_US_local!I83*I$1,),)</f>
        <v>0</v>
      </c>
      <c r="J83" s="140">
        <f>IFERROR(ROUND(CFwp_US_local!J83*J$1,),)</f>
        <v>0</v>
      </c>
      <c r="K83" s="140">
        <f>IFERROR(ROUND(CFwp_US_local!K83*K$1,),)</f>
        <v>0</v>
      </c>
      <c r="L83" s="140">
        <f>IFERROR(ROUND(CFwp_US_local!L83*L$1,),)</f>
        <v>0</v>
      </c>
      <c r="M83" s="140">
        <f>IFERROR(ROUND(CFwp_US_local!M83*M$1,),)</f>
        <v>0</v>
      </c>
      <c r="N83" s="140">
        <f>IFERROR(ROUND(CFwp_US_local!N83*N$1,),)</f>
        <v>0</v>
      </c>
      <c r="O83" s="140">
        <f>IFERROR(ROUND(CFwp_US_local!O83*O$1,),)</f>
        <v>0</v>
      </c>
      <c r="P83" s="140">
        <f>IFERROR(ROUND(CFwp_US_local!P83*P$1,),)</f>
        <v>0</v>
      </c>
      <c r="Q83" s="140">
        <f>IFERROR(ROUND(CFwp_US_local!Q83*Q$1,),)</f>
        <v>0</v>
      </c>
      <c r="R83" s="140">
        <f>IFERROR(ROUND(CFwp_US_local!R83*R$1,),)</f>
        <v>0</v>
      </c>
      <c r="S83" s="140">
        <f>IFERROR(ROUND(CFwp_US_local!S83*S$1,),)</f>
        <v>0</v>
      </c>
      <c r="T83" s="140">
        <f>IFERROR(ROUND(CFwp_US_local!T83*T$1,),)</f>
        <v>0</v>
      </c>
      <c r="U83" s="140">
        <f>IFERROR(ROUND(CFwp_US_local!U83*U$1,),)</f>
        <v>0</v>
      </c>
      <c r="V83" s="140">
        <f>IFERROR(ROUND(CFwp_US_local!V83*V$1,),)</f>
        <v>0</v>
      </c>
      <c r="W83" s="140">
        <f>IFERROR(ROUND(CFwp_US_local!W83*W$1,),)</f>
        <v>0</v>
      </c>
      <c r="X83" s="140">
        <f>IFERROR(ROUND(CFwp_US_local!X83*X$1,),)</f>
        <v>0</v>
      </c>
      <c r="Y83" s="145">
        <v>0</v>
      </c>
      <c r="Z83" s="145">
        <v>0</v>
      </c>
      <c r="AA83" s="182">
        <f t="shared" si="16"/>
        <v>0</v>
      </c>
      <c r="AB83" s="182">
        <f t="shared" si="17"/>
        <v>0</v>
      </c>
    </row>
    <row r="84" spans="2:28">
      <c r="B84" s="139" t="s">
        <v>173</v>
      </c>
      <c r="C84" s="139" t="s">
        <v>174</v>
      </c>
      <c r="D84" s="140">
        <f>IFERROR(ROUND(CFwp_US_local!D84*D$1,),)</f>
        <v>0</v>
      </c>
      <c r="E84" s="140">
        <f>IFERROR(ROUND(CFwp_US_local!E84*E$1,),)</f>
        <v>0</v>
      </c>
      <c r="F84" s="146">
        <f t="shared" ref="F84:F89" si="19">E84-D84</f>
        <v>0</v>
      </c>
      <c r="G84" s="146">
        <f t="shared" si="18"/>
        <v>0</v>
      </c>
      <c r="H84" s="143" t="s">
        <v>582</v>
      </c>
      <c r="I84" s="140">
        <f>IFERROR(ROUND(CFwp_US_local!I84*I$1,),)</f>
        <v>0</v>
      </c>
      <c r="J84" s="140">
        <f>IFERROR(ROUND(CFwp_US_local!J84*J$1,),)</f>
        <v>0</v>
      </c>
      <c r="K84" s="140">
        <f>IFERROR(ROUND(CFwp_US_local!K84*K$1,),)</f>
        <v>0</v>
      </c>
      <c r="L84" s="140">
        <f>IFERROR(ROUND(CFwp_US_local!L84*L$1,),)</f>
        <v>0</v>
      </c>
      <c r="M84" s="140">
        <f>IFERROR(ROUND(CFwp_US_local!M84*M$1,),)</f>
        <v>0</v>
      </c>
      <c r="N84" s="140">
        <f>IFERROR(ROUND(CFwp_US_local!N84*N$1,),)</f>
        <v>0</v>
      </c>
      <c r="O84" s="140">
        <f>IFERROR(ROUND(CFwp_US_local!O84*O$1,),)</f>
        <v>0</v>
      </c>
      <c r="P84" s="140">
        <f>IFERROR(ROUND(CFwp_US_local!P84*P$1,),)</f>
        <v>0</v>
      </c>
      <c r="Q84" s="140">
        <f>IFERROR(ROUND(CFwp_US_local!Q84*Q$1,),)</f>
        <v>0</v>
      </c>
      <c r="R84" s="140">
        <f>IFERROR(ROUND(CFwp_US_local!R84*R$1,),)</f>
        <v>0</v>
      </c>
      <c r="S84" s="140">
        <f>IFERROR(ROUND(CFwp_US_local!S84*S$1,),)</f>
        <v>0</v>
      </c>
      <c r="T84" s="140">
        <f>IFERROR(ROUND(CFwp_US_local!T84*T$1,),)</f>
        <v>0</v>
      </c>
      <c r="U84" s="140">
        <f>IFERROR(ROUND(CFwp_US_local!U84*U$1,),)</f>
        <v>0</v>
      </c>
      <c r="V84" s="140">
        <f>IFERROR(ROUND(CFwp_US_local!V84*V$1,),)</f>
        <v>0</v>
      </c>
      <c r="W84" s="140">
        <f>IFERROR(ROUND(CFwp_US_local!W84*W$1,),)</f>
        <v>0</v>
      </c>
      <c r="X84" s="140">
        <f>IFERROR(ROUND(CFwp_US_local!X84*X$1,),)</f>
        <v>0</v>
      </c>
      <c r="Y84" s="145">
        <v>0</v>
      </c>
      <c r="Z84" s="145">
        <v>0</v>
      </c>
      <c r="AA84" s="182">
        <f t="shared" si="16"/>
        <v>0</v>
      </c>
      <c r="AB84" s="182">
        <f t="shared" si="17"/>
        <v>0</v>
      </c>
    </row>
    <row r="85" spans="2:28">
      <c r="B85" s="139"/>
      <c r="C85" s="139" t="s">
        <v>848</v>
      </c>
      <c r="D85" s="140"/>
      <c r="E85" s="140"/>
      <c r="F85" s="146"/>
      <c r="G85" s="146"/>
      <c r="H85" s="143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5">
        <v>0</v>
      </c>
      <c r="Z85" s="145">
        <v>0</v>
      </c>
      <c r="AA85" s="182">
        <f t="shared" si="16"/>
        <v>0</v>
      </c>
      <c r="AB85" s="182">
        <f t="shared" si="17"/>
        <v>0</v>
      </c>
    </row>
    <row r="86" spans="2:28">
      <c r="B86" s="139" t="s">
        <v>175</v>
      </c>
      <c r="C86" s="139" t="s">
        <v>176</v>
      </c>
      <c r="D86" s="140">
        <f>IFERROR(ROUND(CFwp_US_local!D86*D$1,),)</f>
        <v>0</v>
      </c>
      <c r="E86" s="140">
        <f>IFERROR(ROUND(CFwp_US_local!E86*E$1,),)</f>
        <v>0</v>
      </c>
      <c r="F86" s="146">
        <f t="shared" si="19"/>
        <v>0</v>
      </c>
      <c r="G86" s="146">
        <f t="shared" si="18"/>
        <v>0</v>
      </c>
      <c r="H86" s="143"/>
      <c r="I86" s="140">
        <f>IFERROR(ROUND(CFwp_US_local!I86*I$1,),)</f>
        <v>0</v>
      </c>
      <c r="J86" s="140">
        <f>IFERROR(ROUND(CFwp_US_local!J86*J$1,),)</f>
        <v>0</v>
      </c>
      <c r="K86" s="140">
        <f>IFERROR(ROUND(CFwp_US_local!K86*K$1,),)</f>
        <v>0</v>
      </c>
      <c r="L86" s="140">
        <f>IFERROR(ROUND(CFwp_US_local!L86*L$1,),)</f>
        <v>0</v>
      </c>
      <c r="M86" s="140">
        <f>IFERROR(ROUND(CFwp_US_local!M86*M$1,),)</f>
        <v>0</v>
      </c>
      <c r="N86" s="140">
        <f>IFERROR(ROUND(CFwp_US_local!N86*N$1,),)</f>
        <v>0</v>
      </c>
      <c r="O86" s="140">
        <f>IFERROR(ROUND(CFwp_US_local!O86*O$1,),)</f>
        <v>0</v>
      </c>
      <c r="P86" s="140">
        <f>IFERROR(ROUND(CFwp_US_local!P86*P$1,),)</f>
        <v>0</v>
      </c>
      <c r="Q86" s="140">
        <f>IFERROR(ROUND(CFwp_US_local!Q86*Q$1,),)</f>
        <v>0</v>
      </c>
      <c r="R86" s="140">
        <f>IFERROR(ROUND(CFwp_US_local!R86*R$1,),)</f>
        <v>0</v>
      </c>
      <c r="S86" s="140">
        <f>IFERROR(ROUND(CFwp_US_local!S86*S$1,),)</f>
        <v>0</v>
      </c>
      <c r="T86" s="140">
        <f>IFERROR(ROUND(CFwp_US_local!T86*T$1,),)</f>
        <v>0</v>
      </c>
      <c r="U86" s="140">
        <f>IFERROR(ROUND(CFwp_US_local!U86*U$1,),)</f>
        <v>0</v>
      </c>
      <c r="V86" s="140">
        <f>IFERROR(ROUND(CFwp_US_local!V86*V$1,),)</f>
        <v>0</v>
      </c>
      <c r="W86" s="140">
        <f>IFERROR(ROUND(CFwp_US_local!W86*W$1,),)</f>
        <v>0</v>
      </c>
      <c r="X86" s="140">
        <f>IFERROR(ROUND(CFwp_US_local!X86*X$1,),)</f>
        <v>0</v>
      </c>
      <c r="Y86" s="145">
        <v>0</v>
      </c>
      <c r="Z86" s="145">
        <v>0</v>
      </c>
      <c r="AA86" s="182">
        <f t="shared" si="16"/>
        <v>0</v>
      </c>
      <c r="AB86" s="182">
        <f t="shared" si="17"/>
        <v>0</v>
      </c>
    </row>
    <row r="87" spans="2:28">
      <c r="B87" s="139"/>
      <c r="C87" s="139" t="s">
        <v>850</v>
      </c>
      <c r="D87" s="140"/>
      <c r="E87" s="140"/>
      <c r="F87" s="146"/>
      <c r="G87" s="146"/>
      <c r="H87" s="143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5">
        <v>0</v>
      </c>
      <c r="Z87" s="145">
        <v>0</v>
      </c>
      <c r="AA87" s="182">
        <f t="shared" si="16"/>
        <v>0</v>
      </c>
      <c r="AB87" s="182">
        <f t="shared" si="17"/>
        <v>0</v>
      </c>
    </row>
    <row r="88" spans="2:28">
      <c r="B88" s="139" t="s">
        <v>177</v>
      </c>
      <c r="C88" s="139" t="s">
        <v>583</v>
      </c>
      <c r="D88" s="140">
        <f>IFERROR(ROUND(CFwp_US_local!D88*D$1,),)</f>
        <v>0</v>
      </c>
      <c r="E88" s="140">
        <f>IFERROR(ROUND(CFwp_US_local!E88*E$1,),)</f>
        <v>0</v>
      </c>
      <c r="F88" s="146">
        <f t="shared" si="19"/>
        <v>0</v>
      </c>
      <c r="G88" s="146">
        <f t="shared" si="18"/>
        <v>0</v>
      </c>
      <c r="H88" s="143"/>
      <c r="I88" s="140">
        <f>IFERROR(ROUND(CFwp_US_local!I88*I$1,),)</f>
        <v>0</v>
      </c>
      <c r="J88" s="140">
        <f>IFERROR(ROUND(CFwp_US_local!J88*J$1,),)</f>
        <v>0</v>
      </c>
      <c r="K88" s="140">
        <f>IFERROR(ROUND(CFwp_US_local!K88*K$1,),)</f>
        <v>0</v>
      </c>
      <c r="L88" s="140">
        <f>IFERROR(ROUND(CFwp_US_local!L88*L$1,),)</f>
        <v>0</v>
      </c>
      <c r="M88" s="140">
        <f>IFERROR(ROUND(CFwp_US_local!M88*M$1,),)</f>
        <v>0</v>
      </c>
      <c r="N88" s="140">
        <f>IFERROR(ROUND(CFwp_US_local!N88*N$1,),)</f>
        <v>0</v>
      </c>
      <c r="O88" s="140">
        <f>IFERROR(ROUND(CFwp_US_local!O88*O$1,),)</f>
        <v>0</v>
      </c>
      <c r="P88" s="140">
        <f>IFERROR(ROUND(CFwp_US_local!P88*P$1,),)</f>
        <v>0</v>
      </c>
      <c r="Q88" s="140">
        <f>IFERROR(ROUND(CFwp_US_local!Q88*Q$1,),)</f>
        <v>0</v>
      </c>
      <c r="R88" s="140">
        <f>IFERROR(ROUND(CFwp_US_local!R88*R$1,),)</f>
        <v>0</v>
      </c>
      <c r="S88" s="140">
        <f>IFERROR(ROUND(CFwp_US_local!S88*S$1,),)</f>
        <v>0</v>
      </c>
      <c r="T88" s="140">
        <f>IFERROR(ROUND(CFwp_US_local!T88*T$1,),)</f>
        <v>0</v>
      </c>
      <c r="U88" s="140">
        <f>IFERROR(ROUND(CFwp_US_local!U88*U$1,),)</f>
        <v>0</v>
      </c>
      <c r="V88" s="140">
        <f>IFERROR(ROUND(CFwp_US_local!V88*V$1,),)</f>
        <v>0</v>
      </c>
      <c r="W88" s="140">
        <f>IFERROR(ROUND(CFwp_US_local!W88*W$1,),)</f>
        <v>0</v>
      </c>
      <c r="X88" s="140">
        <f>IFERROR(ROUND(CFwp_US_local!X88*X$1,),)</f>
        <v>0</v>
      </c>
      <c r="Y88" s="145">
        <v>0</v>
      </c>
      <c r="Z88" s="145">
        <v>0</v>
      </c>
      <c r="AA88" s="182">
        <f t="shared" si="16"/>
        <v>0</v>
      </c>
      <c r="AB88" s="182">
        <f t="shared" si="17"/>
        <v>0</v>
      </c>
    </row>
    <row r="89" spans="2:28">
      <c r="B89" s="139" t="s">
        <v>179</v>
      </c>
      <c r="C89" s="139" t="s">
        <v>180</v>
      </c>
      <c r="D89" s="140">
        <f>IFERROR(ROUND(CFwp_US_local!D89*D$1,),)</f>
        <v>0</v>
      </c>
      <c r="E89" s="140">
        <f>IFERROR(ROUND(CFwp_US_local!E89*E$1,),)</f>
        <v>0</v>
      </c>
      <c r="F89" s="146">
        <f t="shared" si="19"/>
        <v>0</v>
      </c>
      <c r="G89" s="146">
        <f t="shared" si="18"/>
        <v>0</v>
      </c>
      <c r="H89" s="143"/>
      <c r="I89" s="140">
        <f>IFERROR(ROUND(CFwp_US_local!I89*I$1,),)</f>
        <v>0</v>
      </c>
      <c r="J89" s="140">
        <f>IFERROR(ROUND(CFwp_US_local!J89*J$1,),)</f>
        <v>0</v>
      </c>
      <c r="K89" s="140">
        <f>IFERROR(ROUND(CFwp_US_local!K89*K$1,),)</f>
        <v>0</v>
      </c>
      <c r="L89" s="140">
        <f>IFERROR(ROUND(CFwp_US_local!L89*L$1,),)</f>
        <v>0</v>
      </c>
      <c r="M89" s="140">
        <f>IFERROR(ROUND(CFwp_US_local!M89*M$1,),)</f>
        <v>0</v>
      </c>
      <c r="N89" s="140">
        <f>IFERROR(ROUND(CFwp_US_local!N89*N$1,),)</f>
        <v>0</v>
      </c>
      <c r="O89" s="140">
        <f>IFERROR(ROUND(CFwp_US_local!O89*O$1,),)</f>
        <v>0</v>
      </c>
      <c r="P89" s="140">
        <f>IFERROR(ROUND(CFwp_US_local!P89*P$1,),)</f>
        <v>0</v>
      </c>
      <c r="Q89" s="140">
        <f>IFERROR(ROUND(CFwp_US_local!Q89*Q$1,),)</f>
        <v>0</v>
      </c>
      <c r="R89" s="140">
        <f>IFERROR(ROUND(CFwp_US_local!R89*R$1,),)</f>
        <v>0</v>
      </c>
      <c r="S89" s="140">
        <f>IFERROR(ROUND(CFwp_US_local!S89*S$1,),)</f>
        <v>0</v>
      </c>
      <c r="T89" s="140">
        <f>IFERROR(ROUND(CFwp_US_local!T89*T$1,),)</f>
        <v>0</v>
      </c>
      <c r="U89" s="140">
        <f>IFERROR(ROUND(CFwp_US_local!U89*U$1,),)</f>
        <v>0</v>
      </c>
      <c r="V89" s="140">
        <f>IFERROR(ROUND(CFwp_US_local!V89*V$1,),)</f>
        <v>0</v>
      </c>
      <c r="W89" s="140">
        <f>IFERROR(ROUND(CFwp_US_local!W89*W$1,),)</f>
        <v>0</v>
      </c>
      <c r="X89" s="140">
        <f>IFERROR(ROUND(CFwp_US_local!X89*X$1,),)</f>
        <v>0</v>
      </c>
      <c r="Y89" s="145">
        <v>0</v>
      </c>
      <c r="Z89" s="145">
        <v>0</v>
      </c>
      <c r="AA89" s="182">
        <f t="shared" si="16"/>
        <v>0</v>
      </c>
      <c r="AB89" s="182">
        <f t="shared" si="17"/>
        <v>0</v>
      </c>
    </row>
    <row r="90" spans="2:28">
      <c r="B90" s="137"/>
      <c r="C90" s="137" t="s">
        <v>584</v>
      </c>
      <c r="D90" s="138">
        <f>SUM(D91:D99)</f>
        <v>0</v>
      </c>
      <c r="E90" s="138">
        <f>SUM(E91:E99)</f>
        <v>0</v>
      </c>
      <c r="F90" s="154"/>
      <c r="G90" s="154"/>
      <c r="H90" s="138"/>
      <c r="I90" s="149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>
        <v>0</v>
      </c>
      <c r="Z90" s="138">
        <v>0</v>
      </c>
      <c r="AA90" s="182">
        <f t="shared" si="16"/>
        <v>0</v>
      </c>
      <c r="AB90" s="182">
        <f t="shared" si="17"/>
        <v>0</v>
      </c>
    </row>
    <row r="91" spans="2:28">
      <c r="B91" s="139" t="s">
        <v>183</v>
      </c>
      <c r="C91" s="139" t="s">
        <v>65</v>
      </c>
      <c r="D91" s="140">
        <f>IFERROR(ROUND(CFwp_US_local!D91*D$1,),)</f>
        <v>0</v>
      </c>
      <c r="E91" s="140">
        <f>IFERROR(ROUND(CFwp_US_local!E91*E$1,),)</f>
        <v>0</v>
      </c>
      <c r="F91" s="146">
        <f t="shared" ref="F91:F99" si="20">E91-D91</f>
        <v>0</v>
      </c>
      <c r="G91" s="146">
        <f t="shared" ref="G91:G99" si="21">J91-K91+N91+O91-P91+Q91-R91-T91+V91+F91-W91+X91-Y91+Z91</f>
        <v>0</v>
      </c>
      <c r="H91" s="143" t="s">
        <v>585</v>
      </c>
      <c r="I91" s="140">
        <f>IFERROR(ROUND(CFwp_US_local!I91*I$1,),)</f>
        <v>0</v>
      </c>
      <c r="J91" s="140">
        <f>IFERROR(ROUND(CFwp_US_local!J91*J$1,),)</f>
        <v>0</v>
      </c>
      <c r="K91" s="140">
        <f>IFERROR(ROUND(CFwp_US_local!K91*K$1,),)</f>
        <v>0</v>
      </c>
      <c r="L91" s="140">
        <f>IFERROR(ROUND(CFwp_US_local!L91*L$1,),)</f>
        <v>0</v>
      </c>
      <c r="M91" s="140">
        <f>IFERROR(ROUND(CFwp_US_local!M91*M$1,),)</f>
        <v>0</v>
      </c>
      <c r="N91" s="140">
        <f>IFERROR(ROUND(CFwp_US_local!N91*N$1,),)</f>
        <v>0</v>
      </c>
      <c r="O91" s="140">
        <f>IFERROR(ROUND(CFwp_US_local!O91*O$1,),)</f>
        <v>0</v>
      </c>
      <c r="P91" s="140">
        <f>IFERROR(ROUND(CFwp_US_local!P91*P$1,),)</f>
        <v>0</v>
      </c>
      <c r="Q91" s="140">
        <f>IFERROR(ROUND(CFwp_US_local!Q91*Q$1,),)</f>
        <v>0</v>
      </c>
      <c r="R91" s="140">
        <f>IFERROR(ROUND(CFwp_US_local!R91*R$1,),)</f>
        <v>0</v>
      </c>
      <c r="S91" s="140">
        <f>IFERROR(ROUND(CFwp_US_local!S91*S$1,),)</f>
        <v>0</v>
      </c>
      <c r="T91" s="140">
        <f>IFERROR(ROUND(CFwp_US_local!T91*T$1,),)</f>
        <v>0</v>
      </c>
      <c r="U91" s="140">
        <f>IFERROR(ROUND(CFwp_US_local!U91*U$1,),)</f>
        <v>0</v>
      </c>
      <c r="V91" s="140">
        <f>IFERROR(ROUND(CFwp_US_local!V91*V$1,),)</f>
        <v>0</v>
      </c>
      <c r="W91" s="140">
        <f>IFERROR(ROUND(CFwp_US_local!W91*W$1,),)</f>
        <v>0</v>
      </c>
      <c r="X91" s="140">
        <f>IFERROR(ROUND(CFwp_US_local!X91*X$1,),)</f>
        <v>0</v>
      </c>
      <c r="Y91" s="145">
        <v>0</v>
      </c>
      <c r="Z91" s="145">
        <v>0</v>
      </c>
      <c r="AA91" s="182">
        <f t="shared" si="16"/>
        <v>0</v>
      </c>
      <c r="AB91" s="182">
        <f t="shared" si="17"/>
        <v>0</v>
      </c>
    </row>
    <row r="92" spans="2:28">
      <c r="B92" s="139" t="s">
        <v>116</v>
      </c>
      <c r="C92" s="139" t="s">
        <v>117</v>
      </c>
      <c r="D92" s="140">
        <f>IFERROR(ROUND(CFwp_US_local!D92*D$1,),)</f>
        <v>0</v>
      </c>
      <c r="E92" s="140">
        <f>IFERROR(ROUND(CFwp_US_local!E92*E$1,),)</f>
        <v>0</v>
      </c>
      <c r="F92" s="146">
        <f t="shared" si="20"/>
        <v>0</v>
      </c>
      <c r="G92" s="146">
        <f t="shared" si="21"/>
        <v>0</v>
      </c>
      <c r="H92" s="143"/>
      <c r="I92" s="140">
        <f>IFERROR(ROUND(CFwp_US_local!I92*I$1,),)</f>
        <v>0</v>
      </c>
      <c r="J92" s="140">
        <f>IFERROR(ROUND(CFwp_US_local!J92*J$1,),)</f>
        <v>0</v>
      </c>
      <c r="K92" s="140">
        <f>IFERROR(ROUND(CFwp_US_local!K92*K$1,),)</f>
        <v>0</v>
      </c>
      <c r="L92" s="140">
        <f>IFERROR(ROUND(CFwp_US_local!L92*L$1,),)</f>
        <v>0</v>
      </c>
      <c r="M92" s="140">
        <f>IFERROR(ROUND(CFwp_US_local!M92*M$1,),)</f>
        <v>0</v>
      </c>
      <c r="N92" s="140">
        <f>IFERROR(ROUND(CFwp_US_local!N92*N$1,),)</f>
        <v>0</v>
      </c>
      <c r="O92" s="140">
        <f>IFERROR(ROUND(CFwp_US_local!O92*O$1,),)</f>
        <v>0</v>
      </c>
      <c r="P92" s="140">
        <f>IFERROR(ROUND(CFwp_US_local!P92*P$1,),)</f>
        <v>0</v>
      </c>
      <c r="Q92" s="140">
        <f>IFERROR(ROUND(CFwp_US_local!Q92*Q$1,),)</f>
        <v>0</v>
      </c>
      <c r="R92" s="140">
        <f>IFERROR(ROUND(CFwp_US_local!R92*R$1,),)</f>
        <v>0</v>
      </c>
      <c r="S92" s="140">
        <f>IFERROR(ROUND(CFwp_US_local!S92*S$1,),)</f>
        <v>0</v>
      </c>
      <c r="T92" s="140">
        <f>IFERROR(ROUND(CFwp_US_local!T92*T$1,),)</f>
        <v>0</v>
      </c>
      <c r="U92" s="140">
        <f>IFERROR(ROUND(CFwp_US_local!U92*U$1,),)</f>
        <v>0</v>
      </c>
      <c r="V92" s="140">
        <f>IFERROR(ROUND(CFwp_US_local!V92*V$1,),)</f>
        <v>0</v>
      </c>
      <c r="W92" s="140">
        <f>IFERROR(ROUND(CFwp_US_local!W92*W$1,),)</f>
        <v>0</v>
      </c>
      <c r="X92" s="140">
        <f>IFERROR(ROUND(CFwp_US_local!X92*X$1,),)</f>
        <v>0</v>
      </c>
      <c r="Y92" s="145">
        <v>0</v>
      </c>
      <c r="Z92" s="145">
        <v>0</v>
      </c>
      <c r="AA92" s="182">
        <f t="shared" si="16"/>
        <v>0</v>
      </c>
      <c r="AB92" s="182">
        <f t="shared" si="17"/>
        <v>0</v>
      </c>
    </row>
    <row r="93" spans="2:28">
      <c r="B93" s="139" t="s">
        <v>119</v>
      </c>
      <c r="C93" s="139" t="s">
        <v>120</v>
      </c>
      <c r="D93" s="140">
        <f>IFERROR(ROUND(CFwp_US_local!D93*D$1,),)</f>
        <v>0</v>
      </c>
      <c r="E93" s="140">
        <f>IFERROR(ROUND(CFwp_US_local!E93*E$1,),)</f>
        <v>0</v>
      </c>
      <c r="F93" s="146">
        <f t="shared" si="20"/>
        <v>0</v>
      </c>
      <c r="G93" s="146">
        <f t="shared" si="21"/>
        <v>0</v>
      </c>
      <c r="H93" s="143"/>
      <c r="I93" s="140">
        <f>IFERROR(ROUND(CFwp_US_local!I93*I$1,),)</f>
        <v>0</v>
      </c>
      <c r="J93" s="140">
        <f>IFERROR(ROUND(CFwp_US_local!J93*J$1,),)</f>
        <v>0</v>
      </c>
      <c r="K93" s="140">
        <f>IFERROR(ROUND(CFwp_US_local!K93*K$1,),)</f>
        <v>0</v>
      </c>
      <c r="L93" s="140">
        <f>IFERROR(ROUND(CFwp_US_local!L93*L$1,),)</f>
        <v>0</v>
      </c>
      <c r="M93" s="140">
        <f>IFERROR(ROUND(CFwp_US_local!M93*M$1,),)</f>
        <v>0</v>
      </c>
      <c r="N93" s="140">
        <f>IFERROR(ROUND(CFwp_US_local!N93*N$1,),)</f>
        <v>0</v>
      </c>
      <c r="O93" s="140">
        <f>IFERROR(ROUND(CFwp_US_local!O93*O$1,),)</f>
        <v>0</v>
      </c>
      <c r="P93" s="140">
        <f>IFERROR(ROUND(CFwp_US_local!P93*P$1,),)</f>
        <v>0</v>
      </c>
      <c r="Q93" s="140">
        <f>IFERROR(ROUND(CFwp_US_local!Q93*Q$1,),)</f>
        <v>0</v>
      </c>
      <c r="R93" s="140">
        <f>IFERROR(ROUND(CFwp_US_local!R93*R$1,),)</f>
        <v>0</v>
      </c>
      <c r="S93" s="140">
        <f>IFERROR(ROUND(CFwp_US_local!S93*S$1,),)</f>
        <v>0</v>
      </c>
      <c r="T93" s="140">
        <f>IFERROR(ROUND(CFwp_US_local!T93*T$1,),)</f>
        <v>0</v>
      </c>
      <c r="U93" s="140">
        <f>IFERROR(ROUND(CFwp_US_local!U93*U$1,),)</f>
        <v>0</v>
      </c>
      <c r="V93" s="140">
        <f>IFERROR(ROUND(CFwp_US_local!V93*V$1,),)</f>
        <v>0</v>
      </c>
      <c r="W93" s="140">
        <f>IFERROR(ROUND(CFwp_US_local!W93*W$1,),)</f>
        <v>0</v>
      </c>
      <c r="X93" s="140">
        <f>IFERROR(ROUND(CFwp_US_local!X93*X$1,),)</f>
        <v>0</v>
      </c>
      <c r="Y93" s="145">
        <v>0</v>
      </c>
      <c r="Z93" s="145">
        <v>0</v>
      </c>
      <c r="AA93" s="182">
        <f t="shared" si="16"/>
        <v>0</v>
      </c>
      <c r="AB93" s="182">
        <f t="shared" si="17"/>
        <v>0</v>
      </c>
    </row>
    <row r="94" spans="2:28">
      <c r="B94" s="139" t="s">
        <v>121</v>
      </c>
      <c r="C94" s="139" t="s">
        <v>122</v>
      </c>
      <c r="D94" s="140">
        <f>IFERROR(ROUND(CFwp_US_local!D94*D$1,),)</f>
        <v>0</v>
      </c>
      <c r="E94" s="140">
        <f>IFERROR(ROUND(CFwp_US_local!E94*E$1,),)</f>
        <v>0</v>
      </c>
      <c r="F94" s="146">
        <f t="shared" si="20"/>
        <v>0</v>
      </c>
      <c r="G94" s="146">
        <f t="shared" si="21"/>
        <v>0</v>
      </c>
      <c r="H94" s="143" t="s">
        <v>572</v>
      </c>
      <c r="I94" s="140">
        <f>IFERROR(ROUND(CFwp_US_local!I94*I$1,),)</f>
        <v>0</v>
      </c>
      <c r="J94" s="140">
        <f>IFERROR(ROUND(CFwp_US_local!J94*J$1,),)</f>
        <v>0</v>
      </c>
      <c r="K94" s="140">
        <f>IFERROR(ROUND(CFwp_US_local!K94*K$1,),)</f>
        <v>0</v>
      </c>
      <c r="L94" s="140">
        <f>IFERROR(ROUND(CFwp_US_local!L94*L$1,),)</f>
        <v>0</v>
      </c>
      <c r="M94" s="140">
        <f>IFERROR(ROUND(CFwp_US_local!M94*M$1,),)</f>
        <v>0</v>
      </c>
      <c r="N94" s="140">
        <f>IFERROR(ROUND(CFwp_US_local!N94*N$1,),)</f>
        <v>0</v>
      </c>
      <c r="O94" s="140">
        <f>IFERROR(ROUND(CFwp_US_local!O94*O$1,),)</f>
        <v>0</v>
      </c>
      <c r="P94" s="140">
        <f>IFERROR(ROUND(CFwp_US_local!P94*P$1,),)</f>
        <v>0</v>
      </c>
      <c r="Q94" s="140">
        <f>IFERROR(ROUND(CFwp_US_local!Q94*Q$1,),)</f>
        <v>0</v>
      </c>
      <c r="R94" s="140">
        <f>IFERROR(ROUND(CFwp_US_local!R94*R$1,),)</f>
        <v>0</v>
      </c>
      <c r="S94" s="140">
        <f>IFERROR(ROUND(CFwp_US_local!S94*S$1,),)</f>
        <v>0</v>
      </c>
      <c r="T94" s="140">
        <f>IFERROR(ROUND(CFwp_US_local!T94*T$1,),)</f>
        <v>0</v>
      </c>
      <c r="U94" s="140">
        <f>IFERROR(ROUND(CFwp_US_local!U94*U$1,),)</f>
        <v>0</v>
      </c>
      <c r="V94" s="140">
        <f>IFERROR(ROUND(CFwp_US_local!V94*V$1,),)</f>
        <v>0</v>
      </c>
      <c r="W94" s="140">
        <f>IFERROR(ROUND(CFwp_US_local!W94*W$1,),)</f>
        <v>0</v>
      </c>
      <c r="X94" s="140">
        <f>IFERROR(ROUND(CFwp_US_local!X94*X$1,),)</f>
        <v>0</v>
      </c>
      <c r="Y94" s="145">
        <v>0</v>
      </c>
      <c r="Z94" s="145">
        <v>0</v>
      </c>
      <c r="AA94" s="182">
        <f t="shared" si="16"/>
        <v>0</v>
      </c>
      <c r="AB94" s="182">
        <f t="shared" si="17"/>
        <v>0</v>
      </c>
    </row>
    <row r="95" spans="2:28">
      <c r="B95" s="139" t="s">
        <v>123</v>
      </c>
      <c r="C95" s="139" t="s">
        <v>124</v>
      </c>
      <c r="D95" s="140">
        <f>IFERROR(ROUND(CFwp_US_local!D95*D$1,),)</f>
        <v>0</v>
      </c>
      <c r="E95" s="140">
        <f>IFERROR(ROUND(CFwp_US_local!E95*E$1,),)</f>
        <v>0</v>
      </c>
      <c r="F95" s="146">
        <f t="shared" si="20"/>
        <v>0</v>
      </c>
      <c r="G95" s="146">
        <f t="shared" si="21"/>
        <v>0</v>
      </c>
      <c r="H95" s="143" t="s">
        <v>571</v>
      </c>
      <c r="I95" s="140">
        <f>IFERROR(ROUND(CFwp_US_local!I95*I$1,),)</f>
        <v>0</v>
      </c>
      <c r="J95" s="140">
        <f>IFERROR(ROUND(CFwp_US_local!J95*J$1,),)</f>
        <v>0</v>
      </c>
      <c r="K95" s="140">
        <f>IFERROR(ROUND(CFwp_US_local!K95*K$1,),)</f>
        <v>0</v>
      </c>
      <c r="L95" s="140">
        <f>IFERROR(ROUND(CFwp_US_local!L95*L$1,),)</f>
        <v>0</v>
      </c>
      <c r="M95" s="140">
        <f>IFERROR(ROUND(CFwp_US_local!M95*M$1,),)</f>
        <v>0</v>
      </c>
      <c r="N95" s="140">
        <f>IFERROR(ROUND(CFwp_US_local!N95*N$1,),)</f>
        <v>0</v>
      </c>
      <c r="O95" s="140">
        <f>IFERROR(ROUND(CFwp_US_local!O95*O$1,),)</f>
        <v>0</v>
      </c>
      <c r="P95" s="140">
        <f>IFERROR(ROUND(CFwp_US_local!P95*P$1,),)</f>
        <v>0</v>
      </c>
      <c r="Q95" s="140">
        <f>IFERROR(ROUND(CFwp_US_local!Q95*Q$1,),)</f>
        <v>0</v>
      </c>
      <c r="R95" s="140">
        <f>IFERROR(ROUND(CFwp_US_local!R95*R$1,),)</f>
        <v>0</v>
      </c>
      <c r="S95" s="140">
        <f>IFERROR(ROUND(CFwp_US_local!S95*S$1,),)</f>
        <v>0</v>
      </c>
      <c r="T95" s="140">
        <f>IFERROR(ROUND(CFwp_US_local!T95*T$1,),)</f>
        <v>0</v>
      </c>
      <c r="U95" s="140">
        <f>IFERROR(ROUND(CFwp_US_local!U95*U$1,),)</f>
        <v>0</v>
      </c>
      <c r="V95" s="140">
        <f>IFERROR(ROUND(CFwp_US_local!V95*V$1,),)</f>
        <v>0</v>
      </c>
      <c r="W95" s="140">
        <f>IFERROR(ROUND(CFwp_US_local!W95*W$1,),)</f>
        <v>0</v>
      </c>
      <c r="X95" s="140">
        <f>IFERROR(ROUND(CFwp_US_local!X95*X$1,),)</f>
        <v>0</v>
      </c>
      <c r="Y95" s="145">
        <v>0</v>
      </c>
      <c r="Z95" s="145">
        <v>0</v>
      </c>
      <c r="AA95" s="182">
        <f t="shared" si="16"/>
        <v>0</v>
      </c>
      <c r="AB95" s="182">
        <f t="shared" si="17"/>
        <v>0</v>
      </c>
    </row>
    <row r="96" spans="2:28">
      <c r="B96" s="139" t="s">
        <v>110</v>
      </c>
      <c r="C96" s="139" t="s">
        <v>111</v>
      </c>
      <c r="D96" s="140">
        <f>IFERROR(ROUND(CFwp_US_local!D96*D$1,),)</f>
        <v>0</v>
      </c>
      <c r="E96" s="140">
        <f>IFERROR(ROUND(CFwp_US_local!E96*E$1,),)</f>
        <v>0</v>
      </c>
      <c r="F96" s="146">
        <f t="shared" si="20"/>
        <v>0</v>
      </c>
      <c r="G96" s="146">
        <f t="shared" si="21"/>
        <v>0</v>
      </c>
      <c r="H96" s="143"/>
      <c r="I96" s="140">
        <f>IFERROR(ROUND(CFwp_US_local!I96*I$1,),)</f>
        <v>0</v>
      </c>
      <c r="J96" s="140">
        <f>IFERROR(ROUND(CFwp_US_local!J96*J$1,),)</f>
        <v>0</v>
      </c>
      <c r="K96" s="140">
        <f>IFERROR(ROUND(CFwp_US_local!K96*K$1,),)</f>
        <v>0</v>
      </c>
      <c r="L96" s="140">
        <f>IFERROR(ROUND(CFwp_US_local!L96*L$1,),)</f>
        <v>0</v>
      </c>
      <c r="M96" s="140">
        <f>IFERROR(ROUND(CFwp_US_local!M96*M$1,),)</f>
        <v>0</v>
      </c>
      <c r="N96" s="140">
        <f>IFERROR(ROUND(CFwp_US_local!N96*N$1,),)</f>
        <v>0</v>
      </c>
      <c r="O96" s="140">
        <f>IFERROR(ROUND(CFwp_US_local!O96*O$1,),)</f>
        <v>0</v>
      </c>
      <c r="P96" s="140">
        <f>IFERROR(ROUND(CFwp_US_local!P96*P$1,),)</f>
        <v>0</v>
      </c>
      <c r="Q96" s="140">
        <f>IFERROR(ROUND(CFwp_US_local!Q96*Q$1,),)</f>
        <v>0</v>
      </c>
      <c r="R96" s="140">
        <f>IFERROR(ROUND(CFwp_US_local!R96*R$1,),)</f>
        <v>0</v>
      </c>
      <c r="S96" s="140">
        <f>IFERROR(ROUND(CFwp_US_local!S96*S$1,),)</f>
        <v>0</v>
      </c>
      <c r="T96" s="140">
        <f>IFERROR(ROUND(CFwp_US_local!T96*T$1,),)</f>
        <v>0</v>
      </c>
      <c r="U96" s="140">
        <f>IFERROR(ROUND(CFwp_US_local!U96*U$1,),)</f>
        <v>0</v>
      </c>
      <c r="V96" s="140">
        <f>IFERROR(ROUND(CFwp_US_local!V96*V$1,),)</f>
        <v>0</v>
      </c>
      <c r="W96" s="140">
        <f>IFERROR(ROUND(CFwp_US_local!W96*W$1,),)</f>
        <v>0</v>
      </c>
      <c r="X96" s="140">
        <f>IFERROR(ROUND(CFwp_US_local!X96*X$1,),)</f>
        <v>0</v>
      </c>
      <c r="Y96" s="145">
        <v>0</v>
      </c>
      <c r="Z96" s="145">
        <v>0</v>
      </c>
      <c r="AA96" s="182">
        <f t="shared" si="16"/>
        <v>0</v>
      </c>
      <c r="AB96" s="182">
        <f t="shared" si="17"/>
        <v>0</v>
      </c>
    </row>
    <row r="97" spans="2:28">
      <c r="B97" s="139" t="s">
        <v>112</v>
      </c>
      <c r="C97" s="139" t="s">
        <v>113</v>
      </c>
      <c r="D97" s="140">
        <f>IFERROR(ROUND(CFwp_US_local!D97*D$1,),)</f>
        <v>0</v>
      </c>
      <c r="E97" s="140">
        <f>IFERROR(ROUND(CFwp_US_local!E97*E$1,),)</f>
        <v>0</v>
      </c>
      <c r="F97" s="146">
        <f t="shared" si="20"/>
        <v>0</v>
      </c>
      <c r="G97" s="146">
        <f t="shared" si="21"/>
        <v>0</v>
      </c>
      <c r="H97" s="143" t="s">
        <v>572</v>
      </c>
      <c r="I97" s="140">
        <f>IFERROR(ROUND(CFwp_US_local!I97*I$1,),)</f>
        <v>0</v>
      </c>
      <c r="J97" s="140">
        <f>IFERROR(ROUND(CFwp_US_local!J97*J$1,),)</f>
        <v>0</v>
      </c>
      <c r="K97" s="140">
        <f>IFERROR(ROUND(CFwp_US_local!K97*K$1,),)</f>
        <v>0</v>
      </c>
      <c r="L97" s="140">
        <f>IFERROR(ROUND(CFwp_US_local!L97*L$1,),)</f>
        <v>0</v>
      </c>
      <c r="M97" s="140">
        <f>IFERROR(ROUND(CFwp_US_local!M97*M$1,),)</f>
        <v>0</v>
      </c>
      <c r="N97" s="140">
        <f>IFERROR(ROUND(CFwp_US_local!N97*N$1,),)</f>
        <v>0</v>
      </c>
      <c r="O97" s="140">
        <f>IFERROR(ROUND(CFwp_US_local!O97*O$1,),)</f>
        <v>0</v>
      </c>
      <c r="P97" s="140">
        <f>IFERROR(ROUND(CFwp_US_local!P97*P$1,),)</f>
        <v>0</v>
      </c>
      <c r="Q97" s="140">
        <f>IFERROR(ROUND(CFwp_US_local!Q97*Q$1,),)</f>
        <v>0</v>
      </c>
      <c r="R97" s="140">
        <f>IFERROR(ROUND(CFwp_US_local!R97*R$1,),)</f>
        <v>0</v>
      </c>
      <c r="S97" s="140">
        <f>IFERROR(ROUND(CFwp_US_local!S97*S$1,),)</f>
        <v>0</v>
      </c>
      <c r="T97" s="140">
        <f>IFERROR(ROUND(CFwp_US_local!T97*T$1,),)</f>
        <v>0</v>
      </c>
      <c r="U97" s="140">
        <f>IFERROR(ROUND(CFwp_US_local!U97*U$1,),)</f>
        <v>0</v>
      </c>
      <c r="V97" s="140">
        <f>IFERROR(ROUND(CFwp_US_local!V97*V$1,),)</f>
        <v>0</v>
      </c>
      <c r="W97" s="140">
        <f>IFERROR(ROUND(CFwp_US_local!W97*W$1,),)</f>
        <v>0</v>
      </c>
      <c r="X97" s="140">
        <f>IFERROR(ROUND(CFwp_US_local!X97*X$1,),)</f>
        <v>0</v>
      </c>
      <c r="Y97" s="145">
        <v>0</v>
      </c>
      <c r="Z97" s="145">
        <v>0</v>
      </c>
      <c r="AA97" s="182">
        <f t="shared" si="16"/>
        <v>0</v>
      </c>
      <c r="AB97" s="182">
        <f t="shared" si="17"/>
        <v>0</v>
      </c>
    </row>
    <row r="98" spans="2:28">
      <c r="B98" s="139"/>
      <c r="C98" s="139"/>
      <c r="D98" s="140"/>
      <c r="E98" s="140"/>
      <c r="F98" s="146"/>
      <c r="G98" s="146"/>
      <c r="H98" s="143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5">
        <v>0</v>
      </c>
      <c r="Z98" s="145">
        <v>0</v>
      </c>
      <c r="AA98" s="182">
        <f t="shared" si="16"/>
        <v>0</v>
      </c>
      <c r="AB98" s="182">
        <f t="shared" si="17"/>
        <v>0</v>
      </c>
    </row>
    <row r="99" spans="2:28">
      <c r="B99" s="139" t="s">
        <v>114</v>
      </c>
      <c r="C99" s="139" t="s">
        <v>115</v>
      </c>
      <c r="D99" s="140">
        <f>IFERROR(ROUND(CFwp_US_local!D99*D$1,),)</f>
        <v>0</v>
      </c>
      <c r="E99" s="140">
        <f>IFERROR(ROUND(CFwp_US_local!E99*E$1,),)</f>
        <v>0</v>
      </c>
      <c r="F99" s="146">
        <f t="shared" si="20"/>
        <v>0</v>
      </c>
      <c r="G99" s="146">
        <f t="shared" si="21"/>
        <v>0</v>
      </c>
      <c r="H99" s="143"/>
      <c r="I99" s="140">
        <f>IFERROR(ROUND(CFwp_US_local!I99*I$1,),)</f>
        <v>0</v>
      </c>
      <c r="J99" s="140">
        <f>IFERROR(ROUND(CFwp_US_local!J99*J$1,),)</f>
        <v>0</v>
      </c>
      <c r="K99" s="140">
        <f>IFERROR(ROUND(CFwp_US_local!K99*K$1,),)</f>
        <v>0</v>
      </c>
      <c r="L99" s="140">
        <f>IFERROR(ROUND(CFwp_US_local!L99*L$1,),)</f>
        <v>0</v>
      </c>
      <c r="M99" s="140">
        <f>IFERROR(ROUND(CFwp_US_local!M99*M$1,),)</f>
        <v>0</v>
      </c>
      <c r="N99" s="140">
        <f>IFERROR(ROUND(CFwp_US_local!N99*N$1,),)</f>
        <v>0</v>
      </c>
      <c r="O99" s="140">
        <f>IFERROR(ROUND(CFwp_US_local!O99*O$1,),)</f>
        <v>0</v>
      </c>
      <c r="P99" s="140">
        <f>IFERROR(ROUND(CFwp_US_local!P99*P$1,),)</f>
        <v>0</v>
      </c>
      <c r="Q99" s="140">
        <f>IFERROR(ROUND(CFwp_US_local!Q99*Q$1,),)</f>
        <v>0</v>
      </c>
      <c r="R99" s="140">
        <f>IFERROR(ROUND(CFwp_US_local!R99*R$1,),)</f>
        <v>0</v>
      </c>
      <c r="S99" s="140">
        <f>IFERROR(ROUND(CFwp_US_local!S99*S$1,),)</f>
        <v>0</v>
      </c>
      <c r="T99" s="140">
        <f>IFERROR(ROUND(CFwp_US_local!T99*T$1,),)</f>
        <v>0</v>
      </c>
      <c r="U99" s="140">
        <f>IFERROR(ROUND(CFwp_US_local!U99*U$1,),)</f>
        <v>0</v>
      </c>
      <c r="V99" s="140">
        <f>IFERROR(ROUND(CFwp_US_local!V99*V$1,),)</f>
        <v>0</v>
      </c>
      <c r="W99" s="140">
        <f>IFERROR(ROUND(CFwp_US_local!W99*W$1,),)</f>
        <v>0</v>
      </c>
      <c r="X99" s="140">
        <f>IFERROR(ROUND(CFwp_US_local!X99*X$1,),)</f>
        <v>0</v>
      </c>
      <c r="Y99" s="145">
        <v>0</v>
      </c>
      <c r="Z99" s="145">
        <v>0</v>
      </c>
      <c r="AA99" s="182">
        <f t="shared" si="16"/>
        <v>0</v>
      </c>
      <c r="AB99" s="182">
        <f t="shared" si="17"/>
        <v>0</v>
      </c>
    </row>
    <row r="100" spans="2:28">
      <c r="B100" s="134"/>
      <c r="C100" s="134" t="s">
        <v>185</v>
      </c>
      <c r="D100" s="136">
        <f>D48+D8</f>
        <v>1058515176</v>
      </c>
      <c r="E100" s="136">
        <f>E48+E8</f>
        <v>1247119325</v>
      </c>
      <c r="F100" s="152"/>
      <c r="G100" s="152"/>
      <c r="H100" s="136"/>
      <c r="I100" s="153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>
        <v>0</v>
      </c>
      <c r="Z100" s="136">
        <v>0</v>
      </c>
      <c r="AA100" s="182">
        <f t="shared" si="16"/>
        <v>0</v>
      </c>
      <c r="AB100" s="182">
        <f t="shared" si="17"/>
        <v>0</v>
      </c>
    </row>
    <row r="101" spans="2:28">
      <c r="B101" s="137"/>
      <c r="C101" s="137" t="s">
        <v>586</v>
      </c>
      <c r="D101" s="138">
        <f>SUM(D102:D120)</f>
        <v>6591355</v>
      </c>
      <c r="E101" s="138">
        <f>SUM(E102:E120)</f>
        <v>44933780</v>
      </c>
      <c r="F101" s="154"/>
      <c r="G101" s="154"/>
      <c r="H101" s="138"/>
      <c r="I101" s="149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>
        <v>0</v>
      </c>
      <c r="Z101" s="138">
        <v>0</v>
      </c>
      <c r="AA101" s="182">
        <f t="shared" si="16"/>
        <v>0</v>
      </c>
      <c r="AB101" s="182">
        <f t="shared" si="17"/>
        <v>0</v>
      </c>
    </row>
    <row r="102" spans="2:28">
      <c r="B102" s="139" t="s">
        <v>188</v>
      </c>
      <c r="C102" s="139" t="s">
        <v>189</v>
      </c>
      <c r="D102" s="140">
        <f>IFERROR(ROUND(CFwp_US_local!D102*D$1,),)</f>
        <v>0</v>
      </c>
      <c r="E102" s="140">
        <f>IFERROR(ROUND(CFwp_US_local!E102*E$1,),)</f>
        <v>0</v>
      </c>
      <c r="F102" s="146">
        <f t="shared" ref="F102:F120" si="22">E102-D102</f>
        <v>0</v>
      </c>
      <c r="G102" s="146">
        <f>J102-K102+N102+O102-P102+Q102-R102-T102+V102-F102-W102+X102-Y102+Z102</f>
        <v>0</v>
      </c>
      <c r="H102" s="143" t="s">
        <v>587</v>
      </c>
      <c r="I102" s="140">
        <f>IFERROR(ROUND(CFwp_US_local!I102*I$1,),)</f>
        <v>0</v>
      </c>
      <c r="J102" s="140">
        <f>IFERROR(ROUND(CFwp_US_local!J102*J$1,),)</f>
        <v>0</v>
      </c>
      <c r="K102" s="140">
        <f>IFERROR(ROUND(CFwp_US_local!K102*K$1,),)</f>
        <v>0</v>
      </c>
      <c r="L102" s="140">
        <f>IFERROR(ROUND(CFwp_US_local!L102*L$1,),)</f>
        <v>0</v>
      </c>
      <c r="M102" s="140">
        <f>IFERROR(ROUND(CFwp_US_local!M102*M$1,),)</f>
        <v>0</v>
      </c>
      <c r="N102" s="140">
        <f>IFERROR(ROUND(CFwp_US_local!N102*N$1,),)</f>
        <v>0</v>
      </c>
      <c r="O102" s="140">
        <f>IFERROR(ROUND(CFwp_US_local!O102*O$1,),)</f>
        <v>0</v>
      </c>
      <c r="P102" s="140">
        <f>IFERROR(ROUND(CFwp_US_local!P102*P$1,),)</f>
        <v>0</v>
      </c>
      <c r="Q102" s="140">
        <f>IFERROR(ROUND(CFwp_US_local!Q102*Q$1,),)</f>
        <v>0</v>
      </c>
      <c r="R102" s="140">
        <f>IFERROR(ROUND(CFwp_US_local!R102*R$1,),)</f>
        <v>0</v>
      </c>
      <c r="S102" s="140">
        <f>IFERROR(ROUND(CFwp_US_local!S102*S$1,),)</f>
        <v>0</v>
      </c>
      <c r="T102" s="140">
        <f>IFERROR(ROUND(CFwp_US_local!T102*T$1,),)</f>
        <v>0</v>
      </c>
      <c r="U102" s="140">
        <f>IFERROR(ROUND(CFwp_US_local!U102*U$1,),)</f>
        <v>0</v>
      </c>
      <c r="V102" s="140">
        <f>IFERROR(ROUND(CFwp_US_local!V102*V$1,),)</f>
        <v>0</v>
      </c>
      <c r="W102" s="140">
        <f>IFERROR(ROUND(CFwp_US_local!W102*W$1,),)</f>
        <v>0</v>
      </c>
      <c r="X102" s="140">
        <f>IFERROR(ROUND(CFwp_US_local!X102*X$1,),)</f>
        <v>0</v>
      </c>
      <c r="Y102" s="145">
        <v>0</v>
      </c>
      <c r="Z102" s="145">
        <v>0</v>
      </c>
      <c r="AA102" s="182">
        <f t="shared" si="16"/>
        <v>0</v>
      </c>
      <c r="AB102" s="182">
        <f t="shared" si="17"/>
        <v>0</v>
      </c>
    </row>
    <row r="103" spans="2:28">
      <c r="B103" s="139" t="s">
        <v>192</v>
      </c>
      <c r="C103" s="139" t="s">
        <v>193</v>
      </c>
      <c r="D103" s="140">
        <f>IFERROR(ROUND(CFwp_US_local!D103*D$1,),)</f>
        <v>0</v>
      </c>
      <c r="E103" s="140">
        <f>IFERROR(ROUND(CFwp_US_local!E103*E$1,),)</f>
        <v>0</v>
      </c>
      <c r="F103" s="146">
        <f t="shared" si="22"/>
        <v>0</v>
      </c>
      <c r="G103" s="146">
        <f t="shared" ref="G103:G120" si="23">J103-K103+N103+O103-P103+Q103-R103-T103+V103-F103-W103+X103-Y103+Z103</f>
        <v>0</v>
      </c>
      <c r="H103" s="143" t="s">
        <v>588</v>
      </c>
      <c r="I103" s="140">
        <f>IFERROR(ROUND(CFwp_US_local!I103*I$1,),)</f>
        <v>0</v>
      </c>
      <c r="J103" s="140">
        <f>IFERROR(ROUND(CFwp_US_local!J103*J$1,),)</f>
        <v>0</v>
      </c>
      <c r="K103" s="140">
        <f>IFERROR(ROUND(CFwp_US_local!K103*K$1,),)</f>
        <v>0</v>
      </c>
      <c r="L103" s="140">
        <f>IFERROR(ROUND(CFwp_US_local!L103*L$1,),)</f>
        <v>0</v>
      </c>
      <c r="M103" s="140">
        <f>IFERROR(ROUND(CFwp_US_local!M103*M$1,),)</f>
        <v>0</v>
      </c>
      <c r="N103" s="140">
        <f>IFERROR(ROUND(CFwp_US_local!N103*N$1,),)</f>
        <v>0</v>
      </c>
      <c r="O103" s="140">
        <f>IFERROR(ROUND(CFwp_US_local!O103*O$1,),)</f>
        <v>0</v>
      </c>
      <c r="P103" s="140">
        <f>IFERROR(ROUND(CFwp_US_local!P103*P$1,),)</f>
        <v>0</v>
      </c>
      <c r="Q103" s="140">
        <f>IFERROR(ROUND(CFwp_US_local!Q103*Q$1,),)</f>
        <v>0</v>
      </c>
      <c r="R103" s="140">
        <f>IFERROR(ROUND(CFwp_US_local!R103*R$1,),)</f>
        <v>0</v>
      </c>
      <c r="S103" s="140">
        <f>IFERROR(ROUND(CFwp_US_local!S103*S$1,),)</f>
        <v>0</v>
      </c>
      <c r="T103" s="140">
        <f>IFERROR(ROUND(CFwp_US_local!T103*T$1,),)</f>
        <v>0</v>
      </c>
      <c r="U103" s="140">
        <f>IFERROR(ROUND(CFwp_US_local!U103*U$1,),)</f>
        <v>0</v>
      </c>
      <c r="V103" s="140">
        <f>IFERROR(ROUND(CFwp_US_local!V103*V$1,),)</f>
        <v>0</v>
      </c>
      <c r="W103" s="140">
        <f>IFERROR(ROUND(CFwp_US_local!W103*W$1,),)</f>
        <v>0</v>
      </c>
      <c r="X103" s="140">
        <f>IFERROR(ROUND(CFwp_US_local!X103*X$1,),)</f>
        <v>0</v>
      </c>
      <c r="Y103" s="145">
        <v>0</v>
      </c>
      <c r="Z103" s="145">
        <v>0</v>
      </c>
      <c r="AA103" s="182">
        <f t="shared" si="16"/>
        <v>0</v>
      </c>
      <c r="AB103" s="182">
        <f t="shared" si="17"/>
        <v>0</v>
      </c>
    </row>
    <row r="104" spans="2:28">
      <c r="B104" s="139" t="s">
        <v>194</v>
      </c>
      <c r="C104" s="139" t="s">
        <v>195</v>
      </c>
      <c r="D104" s="140">
        <f>IFERROR(ROUND(CFwp_US_local!D104*D$1,),)</f>
        <v>6591355</v>
      </c>
      <c r="E104" s="140">
        <f>IFERROR(ROUND(CFwp_US_local!E104*E$1,),)</f>
        <v>44933780</v>
      </c>
      <c r="F104" s="146">
        <f t="shared" si="22"/>
        <v>38342425</v>
      </c>
      <c r="G104" s="146">
        <f t="shared" si="23"/>
        <v>0</v>
      </c>
      <c r="H104" s="143"/>
      <c r="I104" s="140">
        <f>IFERROR(ROUND(CFwp_US_local!I104*I$1,),)</f>
        <v>0</v>
      </c>
      <c r="J104" s="140">
        <f>IFERROR(ROUND(CFwp_US_local!J104*J$1,),)</f>
        <v>0</v>
      </c>
      <c r="K104" s="140">
        <f>IFERROR(ROUND(CFwp_US_local!K104*K$1,),)</f>
        <v>0</v>
      </c>
      <c r="L104" s="140">
        <f>IFERROR(ROUND(CFwp_US_local!L104*L$1,),)</f>
        <v>42111725</v>
      </c>
      <c r="M104" s="140">
        <f>IFERROR(ROUND(CFwp_US_local!M104*M$1,),)</f>
        <v>0</v>
      </c>
      <c r="N104" s="140">
        <f>IFERROR(ROUND(CFwp_US_local!N104*N$1,),)</f>
        <v>42111725</v>
      </c>
      <c r="O104" s="140">
        <f>IFERROR(ROUND(CFwp_US_local!O104*O$1,),)</f>
        <v>0</v>
      </c>
      <c r="P104" s="140">
        <f>IFERROR(ROUND(CFwp_US_local!P104*P$1,),)</f>
        <v>0</v>
      </c>
      <c r="Q104" s="140">
        <f>IFERROR(ROUND(CFwp_US_local!Q104*Q$1,),)</f>
        <v>0</v>
      </c>
      <c r="R104" s="140">
        <f>IFERROR(ROUND(CFwp_US_local!R104*R$1,),)</f>
        <v>0</v>
      </c>
      <c r="S104" s="140">
        <f>IFERROR(ROUND(CFwp_US_local!S104*S$1,),)</f>
        <v>0</v>
      </c>
      <c r="T104" s="140">
        <f>IFERROR(ROUND(CFwp_US_local!T104*T$1,),)</f>
        <v>0</v>
      </c>
      <c r="U104" s="140">
        <f>IFERROR(ROUND(CFwp_US_local!U104*U$1,),)</f>
        <v>0</v>
      </c>
      <c r="V104" s="140">
        <f>IFERROR(ROUND(CFwp_US_local!V104*V$1,),)</f>
        <v>0</v>
      </c>
      <c r="W104" s="140">
        <f>IFERROR(ROUND(CFwp_US_local!W104*W$1,),)</f>
        <v>0</v>
      </c>
      <c r="X104" s="140">
        <f>IFERROR(ROUND(CFwp_US_local!X104*X$1,),)</f>
        <v>0</v>
      </c>
      <c r="Y104" s="145">
        <v>3769300</v>
      </c>
      <c r="Z104" s="145">
        <v>0</v>
      </c>
      <c r="AA104" s="182">
        <f t="shared" si="16"/>
        <v>0</v>
      </c>
      <c r="AB104" s="182">
        <f t="shared" si="17"/>
        <v>0</v>
      </c>
    </row>
    <row r="105" spans="2:28">
      <c r="B105" s="139" t="s">
        <v>198</v>
      </c>
      <c r="C105" s="139" t="s">
        <v>199</v>
      </c>
      <c r="D105" s="140">
        <f>IFERROR(ROUND(CFwp_US_local!D105*D$1,),)</f>
        <v>0</v>
      </c>
      <c r="E105" s="140">
        <f>IFERROR(ROUND(CFwp_US_local!E105*E$1,),)</f>
        <v>0</v>
      </c>
      <c r="F105" s="146">
        <f t="shared" si="22"/>
        <v>0</v>
      </c>
      <c r="G105" s="146">
        <f t="shared" si="23"/>
        <v>0</v>
      </c>
      <c r="H105" s="143"/>
      <c r="I105" s="140">
        <f>IFERROR(ROUND(CFwp_US_local!I105*I$1,),)</f>
        <v>0</v>
      </c>
      <c r="J105" s="140">
        <f>IFERROR(ROUND(CFwp_US_local!J105*J$1,),)</f>
        <v>0</v>
      </c>
      <c r="K105" s="140">
        <f>IFERROR(ROUND(CFwp_US_local!K105*K$1,),)</f>
        <v>0</v>
      </c>
      <c r="L105" s="140">
        <f>IFERROR(ROUND(CFwp_US_local!L105*L$1,),)</f>
        <v>0</v>
      </c>
      <c r="M105" s="140">
        <f>IFERROR(ROUND(CFwp_US_local!M105*M$1,),)</f>
        <v>0</v>
      </c>
      <c r="N105" s="140">
        <f>IFERROR(ROUND(CFwp_US_local!N105*N$1,),)</f>
        <v>0</v>
      </c>
      <c r="O105" s="140">
        <f>IFERROR(ROUND(CFwp_US_local!O105*O$1,),)</f>
        <v>0</v>
      </c>
      <c r="P105" s="140">
        <f>IFERROR(ROUND(CFwp_US_local!P105*P$1,),)</f>
        <v>0</v>
      </c>
      <c r="Q105" s="140">
        <f>IFERROR(ROUND(CFwp_US_local!Q105*Q$1,),)</f>
        <v>0</v>
      </c>
      <c r="R105" s="140">
        <f>IFERROR(ROUND(CFwp_US_local!R105*R$1,),)</f>
        <v>0</v>
      </c>
      <c r="S105" s="140">
        <f>IFERROR(ROUND(CFwp_US_local!S105*S$1,),)</f>
        <v>0</v>
      </c>
      <c r="T105" s="140">
        <f>IFERROR(ROUND(CFwp_US_local!T105*T$1,),)</f>
        <v>0</v>
      </c>
      <c r="U105" s="140">
        <f>IFERROR(ROUND(CFwp_US_local!U105*U$1,),)</f>
        <v>0</v>
      </c>
      <c r="V105" s="140">
        <f>IFERROR(ROUND(CFwp_US_local!V105*V$1,),)</f>
        <v>0</v>
      </c>
      <c r="W105" s="140">
        <f>IFERROR(ROUND(CFwp_US_local!W105*W$1,),)</f>
        <v>0</v>
      </c>
      <c r="X105" s="140">
        <f>IFERROR(ROUND(CFwp_US_local!X105*X$1,),)</f>
        <v>0</v>
      </c>
      <c r="Y105" s="145">
        <v>0</v>
      </c>
      <c r="Z105" s="145">
        <v>0</v>
      </c>
      <c r="AA105" s="182">
        <f t="shared" si="16"/>
        <v>0</v>
      </c>
      <c r="AB105" s="182">
        <f t="shared" si="17"/>
        <v>0</v>
      </c>
    </row>
    <row r="106" spans="2:28">
      <c r="B106" s="139" t="s">
        <v>200</v>
      </c>
      <c r="C106" s="139" t="s">
        <v>201</v>
      </c>
      <c r="D106" s="140">
        <f>IFERROR(ROUND(CFwp_US_local!D106*D$1,),)</f>
        <v>0</v>
      </c>
      <c r="E106" s="140">
        <f>IFERROR(ROUND(CFwp_US_local!E106*E$1,),)</f>
        <v>0</v>
      </c>
      <c r="F106" s="146">
        <f t="shared" si="22"/>
        <v>0</v>
      </c>
      <c r="G106" s="146">
        <f t="shared" si="23"/>
        <v>0</v>
      </c>
      <c r="H106" s="143"/>
      <c r="I106" s="140">
        <f>IFERROR(ROUND(CFwp_US_local!I106*I$1,),)</f>
        <v>0</v>
      </c>
      <c r="J106" s="140">
        <f>IFERROR(ROUND(CFwp_US_local!J106*J$1,),)</f>
        <v>0</v>
      </c>
      <c r="K106" s="140">
        <f>IFERROR(ROUND(CFwp_US_local!K106*K$1,),)</f>
        <v>0</v>
      </c>
      <c r="L106" s="140">
        <f>IFERROR(ROUND(CFwp_US_local!L106*L$1,),)</f>
        <v>0</v>
      </c>
      <c r="M106" s="140">
        <f>IFERROR(ROUND(CFwp_US_local!M106*M$1,),)</f>
        <v>0</v>
      </c>
      <c r="N106" s="140">
        <f>IFERROR(ROUND(CFwp_US_local!N106*N$1,),)</f>
        <v>0</v>
      </c>
      <c r="O106" s="140">
        <f>IFERROR(ROUND(CFwp_US_local!O106*O$1,),)</f>
        <v>0</v>
      </c>
      <c r="P106" s="140">
        <f>IFERROR(ROUND(CFwp_US_local!P106*P$1,),)</f>
        <v>0</v>
      </c>
      <c r="Q106" s="140">
        <f>IFERROR(ROUND(CFwp_US_local!Q106*Q$1,),)</f>
        <v>0</v>
      </c>
      <c r="R106" s="140">
        <f>IFERROR(ROUND(CFwp_US_local!R106*R$1,),)</f>
        <v>0</v>
      </c>
      <c r="S106" s="140">
        <f>IFERROR(ROUND(CFwp_US_local!S106*S$1,),)</f>
        <v>0</v>
      </c>
      <c r="T106" s="140">
        <f>IFERROR(ROUND(CFwp_US_local!T106*T$1,),)</f>
        <v>0</v>
      </c>
      <c r="U106" s="140">
        <f>IFERROR(ROUND(CFwp_US_local!U106*U$1,),)</f>
        <v>0</v>
      </c>
      <c r="V106" s="140">
        <f>IFERROR(ROUND(CFwp_US_local!V106*V$1,),)</f>
        <v>0</v>
      </c>
      <c r="W106" s="140">
        <f>IFERROR(ROUND(CFwp_US_local!W106*W$1,),)</f>
        <v>0</v>
      </c>
      <c r="X106" s="140">
        <f>IFERROR(ROUND(CFwp_US_local!X106*X$1,),)</f>
        <v>0</v>
      </c>
      <c r="Y106" s="145">
        <v>0</v>
      </c>
      <c r="Z106" s="145">
        <v>0</v>
      </c>
      <c r="AA106" s="182">
        <f t="shared" si="16"/>
        <v>0</v>
      </c>
      <c r="AB106" s="182">
        <f t="shared" si="17"/>
        <v>0</v>
      </c>
    </row>
    <row r="107" spans="2:28">
      <c r="B107" s="139"/>
      <c r="C107" s="139"/>
      <c r="D107" s="140">
        <f>IFERROR(ROUND(CFwp_US_local!D107*D$1,),)</f>
        <v>0</v>
      </c>
      <c r="E107" s="140">
        <f>IFERROR(ROUND(CFwp_US_local!E107*E$1,),)</f>
        <v>0</v>
      </c>
      <c r="F107" s="146">
        <f t="shared" si="22"/>
        <v>0</v>
      </c>
      <c r="G107" s="146">
        <f t="shared" si="23"/>
        <v>0</v>
      </c>
      <c r="H107" s="143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5">
        <v>0</v>
      </c>
      <c r="Z107" s="145">
        <v>0</v>
      </c>
      <c r="AA107" s="182">
        <f t="shared" si="16"/>
        <v>0</v>
      </c>
      <c r="AB107" s="182">
        <f t="shared" si="17"/>
        <v>0</v>
      </c>
    </row>
    <row r="108" spans="2:28">
      <c r="B108" s="139"/>
      <c r="C108" s="139"/>
      <c r="D108" s="140">
        <f>IFERROR(ROUND(CFwp_US_local!D108*D$1,),)</f>
        <v>0</v>
      </c>
      <c r="E108" s="140">
        <f>IFERROR(ROUND(CFwp_US_local!E108*E$1,),)</f>
        <v>0</v>
      </c>
      <c r="F108" s="146"/>
      <c r="G108" s="146"/>
      <c r="H108" s="143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5">
        <v>0</v>
      </c>
      <c r="Z108" s="145">
        <v>0</v>
      </c>
      <c r="AA108" s="182">
        <f t="shared" si="16"/>
        <v>0</v>
      </c>
      <c r="AB108" s="182">
        <f t="shared" si="17"/>
        <v>0</v>
      </c>
    </row>
    <row r="109" spans="2:28">
      <c r="B109" s="139"/>
      <c r="C109" s="139"/>
      <c r="D109" s="140">
        <f>IFERROR(ROUND(CFwp_US_local!D109*D$1,),)</f>
        <v>0</v>
      </c>
      <c r="E109" s="140">
        <f>IFERROR(ROUND(CFwp_US_local!E109*E$1,),)</f>
        <v>0</v>
      </c>
      <c r="F109" s="146"/>
      <c r="G109" s="146"/>
      <c r="H109" s="143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5">
        <v>0</v>
      </c>
      <c r="Z109" s="145">
        <v>0</v>
      </c>
      <c r="AA109" s="182">
        <f t="shared" si="16"/>
        <v>0</v>
      </c>
      <c r="AB109" s="182">
        <f t="shared" si="17"/>
        <v>0</v>
      </c>
    </row>
    <row r="110" spans="2:28">
      <c r="B110" s="139" t="s">
        <v>204</v>
      </c>
      <c r="C110" s="139" t="s">
        <v>205</v>
      </c>
      <c r="D110" s="140">
        <f>IFERROR(ROUND(CFwp_US_local!D110*D$1,),)</f>
        <v>0</v>
      </c>
      <c r="E110" s="140">
        <f>IFERROR(ROUND(CFwp_US_local!E110*E$1,),)</f>
        <v>0</v>
      </c>
      <c r="F110" s="146">
        <f t="shared" si="22"/>
        <v>0</v>
      </c>
      <c r="G110" s="146">
        <f t="shared" si="23"/>
        <v>0</v>
      </c>
      <c r="H110" s="143"/>
      <c r="I110" s="140">
        <f>IFERROR(ROUND(CFwp_US_local!I110*I$1,),)</f>
        <v>0</v>
      </c>
      <c r="J110" s="140">
        <f>IFERROR(ROUND(CFwp_US_local!J110*J$1,),)</f>
        <v>0</v>
      </c>
      <c r="K110" s="140">
        <f>IFERROR(ROUND(CFwp_US_local!K110*K$1,),)</f>
        <v>0</v>
      </c>
      <c r="L110" s="140">
        <f>IFERROR(ROUND(CFwp_US_local!L110*L$1,),)</f>
        <v>0</v>
      </c>
      <c r="M110" s="140">
        <f>IFERROR(ROUND(CFwp_US_local!M110*M$1,),)</f>
        <v>0</v>
      </c>
      <c r="N110" s="140">
        <f>IFERROR(ROUND(CFwp_US_local!N110*N$1,),)</f>
        <v>0</v>
      </c>
      <c r="O110" s="140">
        <f>IFERROR(ROUND(CFwp_US_local!O110*O$1,),)</f>
        <v>0</v>
      </c>
      <c r="P110" s="140">
        <f>IFERROR(ROUND(CFwp_US_local!P110*P$1,),)</f>
        <v>0</v>
      </c>
      <c r="Q110" s="140">
        <f>IFERROR(ROUND(CFwp_US_local!Q110*Q$1,),)</f>
        <v>0</v>
      </c>
      <c r="R110" s="140">
        <f>IFERROR(ROUND(CFwp_US_local!R110*R$1,),)</f>
        <v>0</v>
      </c>
      <c r="S110" s="140">
        <f>IFERROR(ROUND(CFwp_US_local!S110*S$1,),)</f>
        <v>0</v>
      </c>
      <c r="T110" s="140">
        <f>IFERROR(ROUND(CFwp_US_local!T110*T$1,),)</f>
        <v>0</v>
      </c>
      <c r="U110" s="140">
        <f>IFERROR(ROUND(CFwp_US_local!U110*U$1,),)</f>
        <v>0</v>
      </c>
      <c r="V110" s="140">
        <f>IFERROR(ROUND(CFwp_US_local!V110*V$1,),)</f>
        <v>0</v>
      </c>
      <c r="W110" s="140">
        <f>IFERROR(ROUND(CFwp_US_local!W110*W$1,),)</f>
        <v>0</v>
      </c>
      <c r="X110" s="140">
        <f>IFERROR(ROUND(CFwp_US_local!X110*X$1,),)</f>
        <v>0</v>
      </c>
      <c r="Y110" s="145">
        <v>0</v>
      </c>
      <c r="Z110" s="145">
        <v>0</v>
      </c>
      <c r="AA110" s="182">
        <f t="shared" si="16"/>
        <v>0</v>
      </c>
      <c r="AB110" s="182">
        <f t="shared" si="17"/>
        <v>0</v>
      </c>
    </row>
    <row r="111" spans="2:28">
      <c r="B111" s="139"/>
      <c r="C111" s="139"/>
      <c r="D111" s="140">
        <f>IFERROR(ROUND(CFwp_US_local!D111*D$1,),)</f>
        <v>0</v>
      </c>
      <c r="E111" s="140">
        <f>IFERROR(ROUND(CFwp_US_local!E111*E$1,),)</f>
        <v>0</v>
      </c>
      <c r="F111" s="146"/>
      <c r="G111" s="146"/>
      <c r="H111" s="143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5">
        <v>0</v>
      </c>
      <c r="Z111" s="145">
        <v>0</v>
      </c>
      <c r="AA111" s="182">
        <f t="shared" si="16"/>
        <v>0</v>
      </c>
      <c r="AB111" s="182">
        <f t="shared" si="17"/>
        <v>0</v>
      </c>
    </row>
    <row r="112" spans="2:28">
      <c r="B112" s="139" t="s">
        <v>206</v>
      </c>
      <c r="C112" s="139" t="s">
        <v>589</v>
      </c>
      <c r="D112" s="140">
        <f>IFERROR(ROUND(CFwp_US_local!D112*D$1,),)</f>
        <v>0</v>
      </c>
      <c r="E112" s="140">
        <f>IFERROR(ROUND(CFwp_US_local!E112*E$1,),)</f>
        <v>0</v>
      </c>
      <c r="F112" s="146">
        <f t="shared" si="22"/>
        <v>0</v>
      </c>
      <c r="G112" s="146">
        <f t="shared" si="23"/>
        <v>0</v>
      </c>
      <c r="H112" s="143"/>
      <c r="I112" s="140">
        <f>IFERROR(ROUND(CFwp_US_local!I112*I$1,),)</f>
        <v>0</v>
      </c>
      <c r="J112" s="140">
        <f>IFERROR(ROUND(CFwp_US_local!J112*J$1,),)</f>
        <v>0</v>
      </c>
      <c r="K112" s="140">
        <f>IFERROR(ROUND(CFwp_US_local!K112*K$1,),)</f>
        <v>0</v>
      </c>
      <c r="L112" s="140">
        <f>IFERROR(ROUND(CFwp_US_local!L112*L$1,),)</f>
        <v>0</v>
      </c>
      <c r="M112" s="140">
        <f>IFERROR(ROUND(CFwp_US_local!M112*M$1,),)</f>
        <v>0</v>
      </c>
      <c r="N112" s="140">
        <f>IFERROR(ROUND(CFwp_US_local!N112*N$1,),)</f>
        <v>0</v>
      </c>
      <c r="O112" s="140">
        <f>IFERROR(ROUND(CFwp_US_local!O112*O$1,),)</f>
        <v>0</v>
      </c>
      <c r="P112" s="140">
        <f>IFERROR(ROUND(CFwp_US_local!P112*P$1,),)</f>
        <v>0</v>
      </c>
      <c r="Q112" s="140">
        <f>IFERROR(ROUND(CFwp_US_local!Q112*Q$1,),)</f>
        <v>0</v>
      </c>
      <c r="R112" s="140">
        <f>IFERROR(ROUND(CFwp_US_local!R112*R$1,),)</f>
        <v>0</v>
      </c>
      <c r="S112" s="140">
        <f>IFERROR(ROUND(CFwp_US_local!S112*S$1,),)</f>
        <v>0</v>
      </c>
      <c r="T112" s="140">
        <f>IFERROR(ROUND(CFwp_US_local!T112*T$1,),)</f>
        <v>0</v>
      </c>
      <c r="U112" s="140">
        <f>IFERROR(ROUND(CFwp_US_local!U112*U$1,),)</f>
        <v>0</v>
      </c>
      <c r="V112" s="140">
        <f>IFERROR(ROUND(CFwp_US_local!V112*V$1,),)</f>
        <v>0</v>
      </c>
      <c r="W112" s="140">
        <f>IFERROR(ROUND(CFwp_US_local!W112*W$1,),)</f>
        <v>0</v>
      </c>
      <c r="X112" s="140">
        <f>IFERROR(ROUND(CFwp_US_local!X112*X$1,),)</f>
        <v>0</v>
      </c>
      <c r="Y112" s="145">
        <v>0</v>
      </c>
      <c r="Z112" s="145">
        <v>0</v>
      </c>
      <c r="AA112" s="182">
        <f t="shared" si="16"/>
        <v>0</v>
      </c>
      <c r="AB112" s="182">
        <f t="shared" si="17"/>
        <v>0</v>
      </c>
    </row>
    <row r="113" spans="2:28">
      <c r="B113" s="139" t="s">
        <v>209</v>
      </c>
      <c r="C113" s="139" t="s">
        <v>210</v>
      </c>
      <c r="D113" s="140">
        <f>IFERROR(ROUND(CFwp_US_local!D113*D$1,),)</f>
        <v>0</v>
      </c>
      <c r="E113" s="140">
        <f>IFERROR(ROUND(CFwp_US_local!E113*E$1,),)</f>
        <v>0</v>
      </c>
      <c r="F113" s="146">
        <f t="shared" si="22"/>
        <v>0</v>
      </c>
      <c r="G113" s="146">
        <f t="shared" si="23"/>
        <v>0</v>
      </c>
      <c r="H113" s="143"/>
      <c r="I113" s="140">
        <f>IFERROR(ROUND(CFwp_US_local!I113*I$1,),)</f>
        <v>0</v>
      </c>
      <c r="J113" s="140">
        <f>IFERROR(ROUND(CFwp_US_local!J113*J$1,),)</f>
        <v>0</v>
      </c>
      <c r="K113" s="140">
        <f>IFERROR(ROUND(CFwp_US_local!K113*K$1,),)</f>
        <v>0</v>
      </c>
      <c r="L113" s="140">
        <f>IFERROR(ROUND(CFwp_US_local!L113*L$1,),)</f>
        <v>0</v>
      </c>
      <c r="M113" s="140">
        <f>IFERROR(ROUND(CFwp_US_local!M113*M$1,),)</f>
        <v>0</v>
      </c>
      <c r="N113" s="140">
        <f>IFERROR(ROUND(CFwp_US_local!N113*N$1,),)</f>
        <v>0</v>
      </c>
      <c r="O113" s="140">
        <f>IFERROR(ROUND(CFwp_US_local!O113*O$1,),)</f>
        <v>0</v>
      </c>
      <c r="P113" s="140">
        <f>IFERROR(ROUND(CFwp_US_local!P113*P$1,),)</f>
        <v>0</v>
      </c>
      <c r="Q113" s="140">
        <f>IFERROR(ROUND(CFwp_US_local!Q113*Q$1,),)</f>
        <v>0</v>
      </c>
      <c r="R113" s="140">
        <f>IFERROR(ROUND(CFwp_US_local!R113*R$1,),)</f>
        <v>0</v>
      </c>
      <c r="S113" s="140">
        <f>IFERROR(ROUND(CFwp_US_local!S113*S$1,),)</f>
        <v>0</v>
      </c>
      <c r="T113" s="140">
        <f>IFERROR(ROUND(CFwp_US_local!T113*T$1,),)</f>
        <v>0</v>
      </c>
      <c r="U113" s="140">
        <f>IFERROR(ROUND(CFwp_US_local!U113*U$1,),)</f>
        <v>0</v>
      </c>
      <c r="V113" s="140">
        <f>IFERROR(ROUND(CFwp_US_local!V113*V$1,),)</f>
        <v>0</v>
      </c>
      <c r="W113" s="140">
        <f>IFERROR(ROUND(CFwp_US_local!W113*W$1,),)</f>
        <v>0</v>
      </c>
      <c r="X113" s="140">
        <f>IFERROR(ROUND(CFwp_US_local!X113*X$1,),)</f>
        <v>0</v>
      </c>
      <c r="Y113" s="145">
        <v>0</v>
      </c>
      <c r="Z113" s="145">
        <v>0</v>
      </c>
      <c r="AA113" s="182">
        <f t="shared" si="16"/>
        <v>0</v>
      </c>
      <c r="AB113" s="182">
        <f t="shared" si="17"/>
        <v>0</v>
      </c>
    </row>
    <row r="114" spans="2:28">
      <c r="B114" s="139" t="s">
        <v>213</v>
      </c>
      <c r="C114" s="139" t="s">
        <v>214</v>
      </c>
      <c r="D114" s="140">
        <f>IFERROR(ROUND(CFwp_US_local!D114*D$1,),)</f>
        <v>0</v>
      </c>
      <c r="E114" s="140">
        <f>IFERROR(ROUND(CFwp_US_local!E114*E$1,),)</f>
        <v>0</v>
      </c>
      <c r="F114" s="146">
        <f t="shared" si="22"/>
        <v>0</v>
      </c>
      <c r="G114" s="146">
        <f t="shared" si="23"/>
        <v>0</v>
      </c>
      <c r="H114" s="143" t="s">
        <v>573</v>
      </c>
      <c r="I114" s="140">
        <f>IFERROR(ROUND(CFwp_US_local!I114*I$1,),)</f>
        <v>0</v>
      </c>
      <c r="J114" s="140">
        <f>IFERROR(ROUND(CFwp_US_local!J114*J$1,),)</f>
        <v>0</v>
      </c>
      <c r="K114" s="140">
        <f>IFERROR(ROUND(CFwp_US_local!K114*K$1,),)</f>
        <v>0</v>
      </c>
      <c r="L114" s="140">
        <f>IFERROR(ROUND(CFwp_US_local!L114*L$1,),)</f>
        <v>0</v>
      </c>
      <c r="M114" s="140">
        <f>IFERROR(ROUND(CFwp_US_local!M114*M$1,),)</f>
        <v>0</v>
      </c>
      <c r="N114" s="140">
        <f>IFERROR(ROUND(CFwp_US_local!N114*N$1,),)</f>
        <v>0</v>
      </c>
      <c r="O114" s="140">
        <f>IFERROR(ROUND(CFwp_US_local!O114*O$1,),)</f>
        <v>0</v>
      </c>
      <c r="P114" s="140">
        <f>IFERROR(ROUND(CFwp_US_local!P114*P$1,),)</f>
        <v>0</v>
      </c>
      <c r="Q114" s="140">
        <f>IFERROR(ROUND(CFwp_US_local!Q114*Q$1,),)</f>
        <v>0</v>
      </c>
      <c r="R114" s="140">
        <f>IFERROR(ROUND(CFwp_US_local!R114*R$1,),)</f>
        <v>0</v>
      </c>
      <c r="S114" s="140">
        <f>IFERROR(ROUND(CFwp_US_local!S114*S$1,),)</f>
        <v>0</v>
      </c>
      <c r="T114" s="140">
        <f>IFERROR(ROUND(CFwp_US_local!T114*T$1,),)</f>
        <v>0</v>
      </c>
      <c r="U114" s="140">
        <f>IFERROR(ROUND(CFwp_US_local!U114*U$1,),)</f>
        <v>0</v>
      </c>
      <c r="V114" s="140">
        <f>IFERROR(ROUND(CFwp_US_local!V114*V$1,),)</f>
        <v>0</v>
      </c>
      <c r="W114" s="140">
        <f>IFERROR(ROUND(CFwp_US_local!W114*W$1,),)</f>
        <v>0</v>
      </c>
      <c r="X114" s="140">
        <f>IFERROR(ROUND(CFwp_US_local!X114*X$1,),)</f>
        <v>0</v>
      </c>
      <c r="Y114" s="145">
        <v>0</v>
      </c>
      <c r="Z114" s="145">
        <v>0</v>
      </c>
      <c r="AA114" s="182">
        <f t="shared" si="16"/>
        <v>0</v>
      </c>
      <c r="AB114" s="182">
        <f t="shared" si="17"/>
        <v>0</v>
      </c>
    </row>
    <row r="115" spans="2:28">
      <c r="B115" s="139" t="s">
        <v>217</v>
      </c>
      <c r="C115" s="139" t="s">
        <v>218</v>
      </c>
      <c r="D115" s="140">
        <f>IFERROR(ROUND(CFwp_US_local!D115*D$1,),)</f>
        <v>0</v>
      </c>
      <c r="E115" s="140">
        <f>IFERROR(ROUND(CFwp_US_local!E115*E$1,),)</f>
        <v>0</v>
      </c>
      <c r="F115" s="146">
        <f t="shared" si="22"/>
        <v>0</v>
      </c>
      <c r="G115" s="146">
        <f t="shared" si="23"/>
        <v>0</v>
      </c>
      <c r="H115" s="143" t="s">
        <v>590</v>
      </c>
      <c r="I115" s="140">
        <f>IFERROR(ROUND(CFwp_US_local!I115*I$1,),)</f>
        <v>0</v>
      </c>
      <c r="J115" s="140">
        <f>IFERROR(ROUND(CFwp_US_local!J115*J$1,),)</f>
        <v>0</v>
      </c>
      <c r="K115" s="140">
        <f>IFERROR(ROUND(CFwp_US_local!K115*K$1,),)</f>
        <v>0</v>
      </c>
      <c r="L115" s="140">
        <f>IFERROR(ROUND(CFwp_US_local!L115*L$1,),)</f>
        <v>0</v>
      </c>
      <c r="M115" s="140">
        <f>IFERROR(ROUND(CFwp_US_local!M115*M$1,),)</f>
        <v>0</v>
      </c>
      <c r="N115" s="140">
        <f>IFERROR(ROUND(CFwp_US_local!N115*N$1,),)</f>
        <v>0</v>
      </c>
      <c r="O115" s="140">
        <f>IFERROR(ROUND(CFwp_US_local!O115*O$1,),)</f>
        <v>0</v>
      </c>
      <c r="P115" s="140">
        <f>IFERROR(ROUND(CFwp_US_local!P115*P$1,),)</f>
        <v>0</v>
      </c>
      <c r="Q115" s="140">
        <f>IFERROR(ROUND(CFwp_US_local!Q115*Q$1,),)</f>
        <v>0</v>
      </c>
      <c r="R115" s="140">
        <f>IFERROR(ROUND(CFwp_US_local!R115*R$1,),)</f>
        <v>0</v>
      </c>
      <c r="S115" s="140">
        <f>IFERROR(ROUND(CFwp_US_local!S115*S$1,),)</f>
        <v>0</v>
      </c>
      <c r="T115" s="140">
        <f>IFERROR(ROUND(CFwp_US_local!T115*T$1,),)</f>
        <v>0</v>
      </c>
      <c r="U115" s="140">
        <f>IFERROR(ROUND(CFwp_US_local!U115*U$1,),)</f>
        <v>0</v>
      </c>
      <c r="V115" s="140">
        <f>IFERROR(ROUND(CFwp_US_local!V115*V$1,),)</f>
        <v>0</v>
      </c>
      <c r="W115" s="140">
        <f>IFERROR(ROUND(CFwp_US_local!W115*W$1,),)</f>
        <v>0</v>
      </c>
      <c r="X115" s="140">
        <f>IFERROR(ROUND(CFwp_US_local!X115*X$1,),)</f>
        <v>0</v>
      </c>
      <c r="Y115" s="145">
        <v>0</v>
      </c>
      <c r="Z115" s="145">
        <v>0</v>
      </c>
      <c r="AA115" s="182">
        <f t="shared" si="16"/>
        <v>0</v>
      </c>
      <c r="AB115" s="182">
        <f t="shared" si="17"/>
        <v>0</v>
      </c>
    </row>
    <row r="116" spans="2:28">
      <c r="B116" s="139" t="s">
        <v>219</v>
      </c>
      <c r="C116" s="139" t="s">
        <v>220</v>
      </c>
      <c r="D116" s="140">
        <f>IFERROR(ROUND(CFwp_US_local!D116*D$1,),)</f>
        <v>0</v>
      </c>
      <c r="E116" s="140">
        <f>IFERROR(ROUND(CFwp_US_local!E116*E$1,),)</f>
        <v>0</v>
      </c>
      <c r="F116" s="146">
        <f t="shared" si="22"/>
        <v>0</v>
      </c>
      <c r="G116" s="146">
        <f t="shared" si="23"/>
        <v>0</v>
      </c>
      <c r="H116" s="143"/>
      <c r="I116" s="140">
        <f>IFERROR(ROUND(CFwp_US_local!I116*I$1,),)</f>
        <v>0</v>
      </c>
      <c r="J116" s="140">
        <f>IFERROR(ROUND(CFwp_US_local!J116*J$1,),)</f>
        <v>0</v>
      </c>
      <c r="K116" s="140">
        <f>IFERROR(ROUND(CFwp_US_local!K116*K$1,),)</f>
        <v>0</v>
      </c>
      <c r="L116" s="140">
        <f>IFERROR(ROUND(CFwp_US_local!L116*L$1,),)</f>
        <v>0</v>
      </c>
      <c r="M116" s="140">
        <f>IFERROR(ROUND(CFwp_US_local!M116*M$1,),)</f>
        <v>0</v>
      </c>
      <c r="N116" s="140">
        <f>IFERROR(ROUND(CFwp_US_local!N116*N$1,),)</f>
        <v>0</v>
      </c>
      <c r="O116" s="140">
        <f>IFERROR(ROUND(CFwp_US_local!O116*O$1,),)</f>
        <v>0</v>
      </c>
      <c r="P116" s="140">
        <f>IFERROR(ROUND(CFwp_US_local!P116*P$1,),)</f>
        <v>0</v>
      </c>
      <c r="Q116" s="140">
        <f>IFERROR(ROUND(CFwp_US_local!Q116*Q$1,),)</f>
        <v>0</v>
      </c>
      <c r="R116" s="140">
        <f>IFERROR(ROUND(CFwp_US_local!R116*R$1,),)</f>
        <v>0</v>
      </c>
      <c r="S116" s="140">
        <f>IFERROR(ROUND(CFwp_US_local!S116*S$1,),)</f>
        <v>0</v>
      </c>
      <c r="T116" s="140">
        <f>IFERROR(ROUND(CFwp_US_local!T116*T$1,),)</f>
        <v>0</v>
      </c>
      <c r="U116" s="140">
        <f>IFERROR(ROUND(CFwp_US_local!U116*U$1,),)</f>
        <v>0</v>
      </c>
      <c r="V116" s="140">
        <f>IFERROR(ROUND(CFwp_US_local!V116*V$1,),)</f>
        <v>0</v>
      </c>
      <c r="W116" s="140">
        <f>IFERROR(ROUND(CFwp_US_local!W116*W$1,),)</f>
        <v>0</v>
      </c>
      <c r="X116" s="140">
        <f>IFERROR(ROUND(CFwp_US_local!X116*X$1,),)</f>
        <v>0</v>
      </c>
      <c r="Y116" s="145">
        <v>0</v>
      </c>
      <c r="Z116" s="145">
        <v>0</v>
      </c>
      <c r="AA116" s="182">
        <f t="shared" si="16"/>
        <v>0</v>
      </c>
      <c r="AB116" s="182">
        <f t="shared" si="17"/>
        <v>0</v>
      </c>
    </row>
    <row r="117" spans="2:28">
      <c r="B117" s="139" t="s">
        <v>221</v>
      </c>
      <c r="C117" s="139" t="s">
        <v>222</v>
      </c>
      <c r="D117" s="140">
        <f>IFERROR(ROUND(CFwp_US_local!D117*D$1,),)</f>
        <v>0</v>
      </c>
      <c r="E117" s="140">
        <f>IFERROR(ROUND(CFwp_US_local!E117*E$1,),)</f>
        <v>0</v>
      </c>
      <c r="F117" s="146">
        <f t="shared" si="22"/>
        <v>0</v>
      </c>
      <c r="G117" s="146">
        <f t="shared" si="23"/>
        <v>0</v>
      </c>
      <c r="H117" s="143" t="s">
        <v>591</v>
      </c>
      <c r="I117" s="140">
        <f>IFERROR(ROUND(CFwp_US_local!I117*I$1,),)</f>
        <v>0</v>
      </c>
      <c r="J117" s="140">
        <f>IFERROR(ROUND(CFwp_US_local!J117*J$1,),)</f>
        <v>0</v>
      </c>
      <c r="K117" s="140">
        <f>IFERROR(ROUND(CFwp_US_local!K117*K$1,),)</f>
        <v>0</v>
      </c>
      <c r="L117" s="140">
        <f>IFERROR(ROUND(CFwp_US_local!L117*L$1,),)</f>
        <v>0</v>
      </c>
      <c r="M117" s="140">
        <f>IFERROR(ROUND(CFwp_US_local!M117*M$1,),)</f>
        <v>0</v>
      </c>
      <c r="N117" s="140">
        <f>IFERROR(ROUND(CFwp_US_local!N117*N$1,),)</f>
        <v>0</v>
      </c>
      <c r="O117" s="140">
        <f>IFERROR(ROUND(CFwp_US_local!O117*O$1,),)</f>
        <v>0</v>
      </c>
      <c r="P117" s="140">
        <f>IFERROR(ROUND(CFwp_US_local!P117*P$1,),)</f>
        <v>0</v>
      </c>
      <c r="Q117" s="140">
        <f>IFERROR(ROUND(CFwp_US_local!Q117*Q$1,),)</f>
        <v>0</v>
      </c>
      <c r="R117" s="140">
        <f>IFERROR(ROUND(CFwp_US_local!R117*R$1,),)</f>
        <v>0</v>
      </c>
      <c r="S117" s="140">
        <f>IFERROR(ROUND(CFwp_US_local!S117*S$1,),)</f>
        <v>0</v>
      </c>
      <c r="T117" s="140">
        <f>IFERROR(ROUND(CFwp_US_local!T117*T$1,),)</f>
        <v>0</v>
      </c>
      <c r="U117" s="140">
        <f>IFERROR(ROUND(CFwp_US_local!U117*U$1,),)</f>
        <v>0</v>
      </c>
      <c r="V117" s="140">
        <f>IFERROR(ROUND(CFwp_US_local!V117*V$1,),)</f>
        <v>0</v>
      </c>
      <c r="W117" s="140">
        <f>IFERROR(ROUND(CFwp_US_local!W117*W$1,),)</f>
        <v>0</v>
      </c>
      <c r="X117" s="140">
        <f>IFERROR(ROUND(CFwp_US_local!X117*X$1,),)</f>
        <v>0</v>
      </c>
      <c r="Y117" s="145">
        <v>0</v>
      </c>
      <c r="Z117" s="145">
        <v>0</v>
      </c>
      <c r="AA117" s="182">
        <f t="shared" si="16"/>
        <v>0</v>
      </c>
      <c r="AB117" s="182">
        <f t="shared" si="17"/>
        <v>0</v>
      </c>
    </row>
    <row r="118" spans="2:28">
      <c r="B118" s="139" t="s">
        <v>223</v>
      </c>
      <c r="C118" s="139" t="s">
        <v>224</v>
      </c>
      <c r="D118" s="140">
        <f>IFERROR(ROUND(CFwp_US_local!D118*D$1,),)</f>
        <v>0</v>
      </c>
      <c r="E118" s="140">
        <f>IFERROR(ROUND(CFwp_US_local!E118*E$1,),)</f>
        <v>0</v>
      </c>
      <c r="F118" s="146">
        <f t="shared" si="22"/>
        <v>0</v>
      </c>
      <c r="G118" s="146">
        <f t="shared" si="23"/>
        <v>0</v>
      </c>
      <c r="H118" s="143"/>
      <c r="I118" s="140">
        <f>IFERROR(ROUND(CFwp_US_local!I118*I$1,),)</f>
        <v>0</v>
      </c>
      <c r="J118" s="140">
        <f>IFERROR(ROUND(CFwp_US_local!J118*J$1,),)</f>
        <v>0</v>
      </c>
      <c r="K118" s="140">
        <f>IFERROR(ROUND(CFwp_US_local!K118*K$1,),)</f>
        <v>0</v>
      </c>
      <c r="L118" s="140">
        <f>IFERROR(ROUND(CFwp_US_local!L118*L$1,),)</f>
        <v>0</v>
      </c>
      <c r="M118" s="140">
        <f>IFERROR(ROUND(CFwp_US_local!M118*M$1,),)</f>
        <v>0</v>
      </c>
      <c r="N118" s="140">
        <f>IFERROR(ROUND(CFwp_US_local!N118*N$1,),)</f>
        <v>0</v>
      </c>
      <c r="O118" s="140">
        <f>IFERROR(ROUND(CFwp_US_local!O118*O$1,),)</f>
        <v>0</v>
      </c>
      <c r="P118" s="140">
        <f>IFERROR(ROUND(CFwp_US_local!P118*P$1,),)</f>
        <v>0</v>
      </c>
      <c r="Q118" s="140">
        <f>IFERROR(ROUND(CFwp_US_local!Q118*Q$1,),)</f>
        <v>0</v>
      </c>
      <c r="R118" s="140">
        <f>IFERROR(ROUND(CFwp_US_local!R118*R$1,),)</f>
        <v>0</v>
      </c>
      <c r="S118" s="140">
        <f>IFERROR(ROUND(CFwp_US_local!S118*S$1,),)</f>
        <v>0</v>
      </c>
      <c r="T118" s="140">
        <f>IFERROR(ROUND(CFwp_US_local!T118*T$1,),)</f>
        <v>0</v>
      </c>
      <c r="U118" s="140">
        <f>IFERROR(ROUND(CFwp_US_local!U118*U$1,),)</f>
        <v>0</v>
      </c>
      <c r="V118" s="140">
        <f>IFERROR(ROUND(CFwp_US_local!V118*V$1,),)</f>
        <v>0</v>
      </c>
      <c r="W118" s="140">
        <f>IFERROR(ROUND(CFwp_US_local!W118*W$1,),)</f>
        <v>0</v>
      </c>
      <c r="X118" s="140">
        <f>IFERROR(ROUND(CFwp_US_local!X118*X$1,),)</f>
        <v>0</v>
      </c>
      <c r="Y118" s="145">
        <v>0</v>
      </c>
      <c r="Z118" s="145">
        <v>0</v>
      </c>
      <c r="AA118" s="182">
        <f t="shared" si="16"/>
        <v>0</v>
      </c>
      <c r="AB118" s="182">
        <f t="shared" si="17"/>
        <v>0</v>
      </c>
    </row>
    <row r="119" spans="2:28">
      <c r="B119" s="139" t="s">
        <v>226</v>
      </c>
      <c r="C119" s="139" t="s">
        <v>227</v>
      </c>
      <c r="D119" s="140">
        <f>IFERROR(ROUND(CFwp_US_local!D119*D$1,),)</f>
        <v>0</v>
      </c>
      <c r="E119" s="140">
        <f>IFERROR(ROUND(CFwp_US_local!E119*E$1,),)</f>
        <v>0</v>
      </c>
      <c r="F119" s="146">
        <f t="shared" si="22"/>
        <v>0</v>
      </c>
      <c r="G119" s="146">
        <f t="shared" si="23"/>
        <v>0</v>
      </c>
      <c r="H119" s="143"/>
      <c r="I119" s="140">
        <f>IFERROR(ROUND(CFwp_US_local!I119*I$1,),)</f>
        <v>0</v>
      </c>
      <c r="J119" s="140">
        <f>IFERROR(ROUND(CFwp_US_local!J119*J$1,),)</f>
        <v>0</v>
      </c>
      <c r="K119" s="140">
        <f>IFERROR(ROUND(CFwp_US_local!K119*K$1,),)</f>
        <v>0</v>
      </c>
      <c r="L119" s="140">
        <f>IFERROR(ROUND(CFwp_US_local!L119*L$1,),)</f>
        <v>0</v>
      </c>
      <c r="M119" s="140">
        <f>IFERROR(ROUND(CFwp_US_local!M119*M$1,),)</f>
        <v>0</v>
      </c>
      <c r="N119" s="140">
        <f>IFERROR(ROUND(CFwp_US_local!N119*N$1,),)</f>
        <v>0</v>
      </c>
      <c r="O119" s="140">
        <f>IFERROR(ROUND(CFwp_US_local!O119*O$1,),)</f>
        <v>0</v>
      </c>
      <c r="P119" s="140">
        <f>IFERROR(ROUND(CFwp_US_local!P119*P$1,),)</f>
        <v>0</v>
      </c>
      <c r="Q119" s="140">
        <f>IFERROR(ROUND(CFwp_US_local!Q119*Q$1,),)</f>
        <v>0</v>
      </c>
      <c r="R119" s="140">
        <f>IFERROR(ROUND(CFwp_US_local!R119*R$1,),)</f>
        <v>0</v>
      </c>
      <c r="S119" s="140">
        <f>IFERROR(ROUND(CFwp_US_local!S119*S$1,),)</f>
        <v>0</v>
      </c>
      <c r="T119" s="140">
        <f>IFERROR(ROUND(CFwp_US_local!T119*T$1,),)</f>
        <v>0</v>
      </c>
      <c r="U119" s="140">
        <f>IFERROR(ROUND(CFwp_US_local!U119*U$1,),)</f>
        <v>0</v>
      </c>
      <c r="V119" s="140">
        <f>IFERROR(ROUND(CFwp_US_local!V119*V$1,),)</f>
        <v>0</v>
      </c>
      <c r="W119" s="140">
        <f>IFERROR(ROUND(CFwp_US_local!W119*W$1,),)</f>
        <v>0</v>
      </c>
      <c r="X119" s="140">
        <f>IFERROR(ROUND(CFwp_US_local!X119*X$1,),)</f>
        <v>0</v>
      </c>
      <c r="Y119" s="145">
        <v>0</v>
      </c>
      <c r="Z119" s="145">
        <v>0</v>
      </c>
      <c r="AA119" s="182">
        <f t="shared" si="16"/>
        <v>0</v>
      </c>
      <c r="AB119" s="182">
        <f t="shared" si="17"/>
        <v>0</v>
      </c>
    </row>
    <row r="120" spans="2:28">
      <c r="B120" s="50" t="s">
        <v>508</v>
      </c>
      <c r="C120" s="2" t="s">
        <v>509</v>
      </c>
      <c r="D120" s="140">
        <f>IFERROR(ROUND(CFwp_US_local!D120*D$1,),)</f>
        <v>0</v>
      </c>
      <c r="E120" s="140">
        <f>IFERROR(ROUND(CFwp_US_local!E120*E$1,),)</f>
        <v>0</v>
      </c>
      <c r="F120" s="146">
        <f t="shared" si="22"/>
        <v>0</v>
      </c>
      <c r="G120" s="146">
        <f t="shared" si="23"/>
        <v>0</v>
      </c>
      <c r="H120" s="143"/>
      <c r="I120" s="140">
        <f>IFERROR(ROUND(CFwp_US_local!I120*I$1,),)</f>
        <v>0</v>
      </c>
      <c r="J120" s="140">
        <f>IFERROR(ROUND(CFwp_US_local!J120*J$1,),)</f>
        <v>0</v>
      </c>
      <c r="K120" s="140">
        <f>IFERROR(ROUND(CFwp_US_local!K120*K$1,),)</f>
        <v>0</v>
      </c>
      <c r="L120" s="140">
        <f>IFERROR(ROUND(CFwp_US_local!L120*L$1,),)</f>
        <v>0</v>
      </c>
      <c r="M120" s="140">
        <f>IFERROR(ROUND(CFwp_US_local!M120*M$1,),)</f>
        <v>0</v>
      </c>
      <c r="N120" s="140">
        <f>IFERROR(ROUND(CFwp_US_local!N120*N$1,),)</f>
        <v>0</v>
      </c>
      <c r="O120" s="140">
        <f>IFERROR(ROUND(CFwp_US_local!O120*O$1,),)</f>
        <v>0</v>
      </c>
      <c r="P120" s="140">
        <f>IFERROR(ROUND(CFwp_US_local!P120*P$1,),)</f>
        <v>0</v>
      </c>
      <c r="Q120" s="140">
        <f>IFERROR(ROUND(CFwp_US_local!Q120*Q$1,),)</f>
        <v>0</v>
      </c>
      <c r="R120" s="140">
        <f>IFERROR(ROUND(CFwp_US_local!R120*R$1,),)</f>
        <v>0</v>
      </c>
      <c r="S120" s="140">
        <f>IFERROR(ROUND(CFwp_US_local!S120*S$1,),)</f>
        <v>0</v>
      </c>
      <c r="T120" s="140">
        <f>IFERROR(ROUND(CFwp_US_local!T120*T$1,),)</f>
        <v>0</v>
      </c>
      <c r="U120" s="140">
        <f>IFERROR(ROUND(CFwp_US_local!U120*U$1,),)</f>
        <v>0</v>
      </c>
      <c r="V120" s="140">
        <f>IFERROR(ROUND(CFwp_US_local!V120*V$1,),)</f>
        <v>0</v>
      </c>
      <c r="W120" s="140">
        <f>IFERROR(ROUND(CFwp_US_local!W120*W$1,),)</f>
        <v>0</v>
      </c>
      <c r="X120" s="140">
        <f>IFERROR(ROUND(CFwp_US_local!X120*X$1,),)</f>
        <v>0</v>
      </c>
      <c r="Y120" s="145">
        <v>0</v>
      </c>
      <c r="Z120" s="145">
        <v>0</v>
      </c>
      <c r="AA120" s="182">
        <f t="shared" si="16"/>
        <v>0</v>
      </c>
      <c r="AB120" s="182">
        <f t="shared" si="17"/>
        <v>0</v>
      </c>
    </row>
    <row r="121" spans="2:28">
      <c r="B121" s="137"/>
      <c r="C121" s="137" t="s">
        <v>592</v>
      </c>
      <c r="D121" s="138">
        <f>SUM(D122:D129)</f>
        <v>0</v>
      </c>
      <c r="E121" s="138">
        <f>SUM(E122:E129)</f>
        <v>0</v>
      </c>
      <c r="F121" s="154"/>
      <c r="G121" s="154"/>
      <c r="H121" s="138"/>
      <c r="I121" s="149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>
        <v>0</v>
      </c>
      <c r="Z121" s="138">
        <v>0</v>
      </c>
      <c r="AA121" s="182">
        <f t="shared" si="16"/>
        <v>0</v>
      </c>
      <c r="AB121" s="182">
        <f t="shared" si="17"/>
        <v>0</v>
      </c>
    </row>
    <row r="122" spans="2:28">
      <c r="B122" s="139" t="s">
        <v>229</v>
      </c>
      <c r="C122" s="139" t="s">
        <v>230</v>
      </c>
      <c r="D122" s="140">
        <f>IFERROR(ROUND(CFwp_US_local!D122*D$1,),)</f>
        <v>0</v>
      </c>
      <c r="E122" s="140">
        <f>IFERROR(ROUND(CFwp_US_local!E122*E$1,),)</f>
        <v>0</v>
      </c>
      <c r="F122" s="146">
        <f t="shared" ref="F122:F129" si="24">E122-D122</f>
        <v>0</v>
      </c>
      <c r="G122" s="146">
        <f t="shared" ref="G122:G129" si="25">J122-K122+N122+O122-P122+Q122-R122-T122+V122-F122-W122+X122-Y122+Z122</f>
        <v>0</v>
      </c>
      <c r="H122" s="143"/>
      <c r="I122" s="140">
        <f>IFERROR(ROUND(CFwp_US_local!I122*I$1,),)</f>
        <v>0</v>
      </c>
      <c r="J122" s="140">
        <f>IFERROR(ROUND(CFwp_US_local!J122*J$1,),)</f>
        <v>0</v>
      </c>
      <c r="K122" s="140">
        <f>IFERROR(ROUND(CFwp_US_local!K122*K$1,),)</f>
        <v>0</v>
      </c>
      <c r="L122" s="140">
        <f>IFERROR(ROUND(CFwp_US_local!L122*L$1,),)</f>
        <v>0</v>
      </c>
      <c r="M122" s="140">
        <f>IFERROR(ROUND(CFwp_US_local!M122*M$1,),)</f>
        <v>0</v>
      </c>
      <c r="N122" s="140">
        <f>IFERROR(ROUND(CFwp_US_local!N122*N$1,),)</f>
        <v>0</v>
      </c>
      <c r="O122" s="140">
        <f>IFERROR(ROUND(CFwp_US_local!O122*O$1,),)</f>
        <v>0</v>
      </c>
      <c r="P122" s="140">
        <f>IFERROR(ROUND(CFwp_US_local!P122*P$1,),)</f>
        <v>0</v>
      </c>
      <c r="Q122" s="140">
        <f>IFERROR(ROUND(CFwp_US_local!Q122*Q$1,),)</f>
        <v>0</v>
      </c>
      <c r="R122" s="140">
        <f>IFERROR(ROUND(CFwp_US_local!R122*R$1,),)</f>
        <v>0</v>
      </c>
      <c r="S122" s="140">
        <f>IFERROR(ROUND(CFwp_US_local!S122*S$1,),)</f>
        <v>0</v>
      </c>
      <c r="T122" s="140">
        <f>IFERROR(ROUND(CFwp_US_local!T122*T$1,),)</f>
        <v>0</v>
      </c>
      <c r="U122" s="140">
        <f>IFERROR(ROUND(CFwp_US_local!U122*U$1,),)</f>
        <v>0</v>
      </c>
      <c r="V122" s="140">
        <f>IFERROR(ROUND(CFwp_US_local!V122*V$1,),)</f>
        <v>0</v>
      </c>
      <c r="W122" s="140">
        <f>IFERROR(ROUND(CFwp_US_local!W122*W$1,),)</f>
        <v>0</v>
      </c>
      <c r="X122" s="140">
        <f>IFERROR(ROUND(CFwp_US_local!X122*X$1,),)</f>
        <v>0</v>
      </c>
      <c r="Y122" s="145">
        <v>0</v>
      </c>
      <c r="Z122" s="145">
        <v>0</v>
      </c>
      <c r="AA122" s="182">
        <f t="shared" si="16"/>
        <v>0</v>
      </c>
      <c r="AB122" s="182">
        <f t="shared" si="17"/>
        <v>0</v>
      </c>
    </row>
    <row r="123" spans="2:28">
      <c r="B123" s="139" t="s">
        <v>233</v>
      </c>
      <c r="C123" s="139" t="s">
        <v>234</v>
      </c>
      <c r="D123" s="140">
        <f>IFERROR(ROUND(CFwp_US_local!D123*D$1,),)</f>
        <v>0</v>
      </c>
      <c r="E123" s="140">
        <f>IFERROR(ROUND(CFwp_US_local!E123*E$1,),)</f>
        <v>0</v>
      </c>
      <c r="F123" s="146">
        <f t="shared" si="24"/>
        <v>0</v>
      </c>
      <c r="G123" s="146">
        <f t="shared" si="25"/>
        <v>0</v>
      </c>
      <c r="H123" s="143"/>
      <c r="I123" s="140">
        <f>IFERROR(ROUND(CFwp_US_local!I123*I$1,),)</f>
        <v>0</v>
      </c>
      <c r="J123" s="140">
        <f>IFERROR(ROUND(CFwp_US_local!J123*J$1,),)</f>
        <v>0</v>
      </c>
      <c r="K123" s="140">
        <f>IFERROR(ROUND(CFwp_US_local!K123*K$1,),)</f>
        <v>0</v>
      </c>
      <c r="L123" s="140">
        <f>IFERROR(ROUND(CFwp_US_local!L123*L$1,),)</f>
        <v>0</v>
      </c>
      <c r="M123" s="140">
        <f>IFERROR(ROUND(CFwp_US_local!M123*M$1,),)</f>
        <v>0</v>
      </c>
      <c r="N123" s="140">
        <f>IFERROR(ROUND(CFwp_US_local!N123*N$1,),)</f>
        <v>0</v>
      </c>
      <c r="O123" s="140">
        <f>IFERROR(ROUND(CFwp_US_local!O123*O$1,),)</f>
        <v>0</v>
      </c>
      <c r="P123" s="140">
        <f>IFERROR(ROUND(CFwp_US_local!P123*P$1,),)</f>
        <v>0</v>
      </c>
      <c r="Q123" s="140">
        <f>IFERROR(ROUND(CFwp_US_local!Q123*Q$1,),)</f>
        <v>0</v>
      </c>
      <c r="R123" s="140">
        <f>IFERROR(ROUND(CFwp_US_local!R123*R$1,),)</f>
        <v>0</v>
      </c>
      <c r="S123" s="140">
        <f>IFERROR(ROUND(CFwp_US_local!S123*S$1,),)</f>
        <v>0</v>
      </c>
      <c r="T123" s="140">
        <f>IFERROR(ROUND(CFwp_US_local!T123*T$1,),)</f>
        <v>0</v>
      </c>
      <c r="U123" s="140">
        <f>IFERROR(ROUND(CFwp_US_local!U123*U$1,),)</f>
        <v>0</v>
      </c>
      <c r="V123" s="140">
        <f>IFERROR(ROUND(CFwp_US_local!V123*V$1,),)</f>
        <v>0</v>
      </c>
      <c r="W123" s="140">
        <f>IFERROR(ROUND(CFwp_US_local!W123*W$1,),)</f>
        <v>0</v>
      </c>
      <c r="X123" s="140">
        <f>IFERROR(ROUND(CFwp_US_local!X123*X$1,),)</f>
        <v>0</v>
      </c>
      <c r="Y123" s="145">
        <v>0</v>
      </c>
      <c r="Z123" s="145">
        <v>0</v>
      </c>
      <c r="AA123" s="182">
        <f t="shared" si="16"/>
        <v>0</v>
      </c>
      <c r="AB123" s="182">
        <f t="shared" si="17"/>
        <v>0</v>
      </c>
    </row>
    <row r="124" spans="2:28">
      <c r="B124" s="139" t="s">
        <v>237</v>
      </c>
      <c r="C124" s="139" t="s">
        <v>238</v>
      </c>
      <c r="D124" s="140">
        <f>IFERROR(ROUND(CFwp_US_local!D124*D$1,),)</f>
        <v>0</v>
      </c>
      <c r="E124" s="140">
        <f>IFERROR(ROUND(CFwp_US_local!E124*E$1,),)</f>
        <v>0</v>
      </c>
      <c r="F124" s="146">
        <f t="shared" si="24"/>
        <v>0</v>
      </c>
      <c r="G124" s="146">
        <f t="shared" si="25"/>
        <v>0</v>
      </c>
      <c r="H124" s="143"/>
      <c r="I124" s="140">
        <f>IFERROR(ROUND(CFwp_US_local!I124*I$1,),)</f>
        <v>0</v>
      </c>
      <c r="J124" s="140">
        <f>IFERROR(ROUND(CFwp_US_local!J124*J$1,),)</f>
        <v>0</v>
      </c>
      <c r="K124" s="140">
        <f>IFERROR(ROUND(CFwp_US_local!K124*K$1,),)</f>
        <v>0</v>
      </c>
      <c r="L124" s="140">
        <f>IFERROR(ROUND(CFwp_US_local!L124*L$1,),)</f>
        <v>0</v>
      </c>
      <c r="M124" s="140">
        <f>IFERROR(ROUND(CFwp_US_local!M124*M$1,),)</f>
        <v>0</v>
      </c>
      <c r="N124" s="140">
        <f>IFERROR(ROUND(CFwp_US_local!N124*N$1,),)</f>
        <v>0</v>
      </c>
      <c r="O124" s="140">
        <f>IFERROR(ROUND(CFwp_US_local!O124*O$1,),)</f>
        <v>0</v>
      </c>
      <c r="P124" s="140">
        <f>IFERROR(ROUND(CFwp_US_local!P124*P$1,),)</f>
        <v>0</v>
      </c>
      <c r="Q124" s="140">
        <f>IFERROR(ROUND(CFwp_US_local!Q124*Q$1,),)</f>
        <v>0</v>
      </c>
      <c r="R124" s="140">
        <f>IFERROR(ROUND(CFwp_US_local!R124*R$1,),)</f>
        <v>0</v>
      </c>
      <c r="S124" s="140">
        <f>IFERROR(ROUND(CFwp_US_local!S124*S$1,),)</f>
        <v>0</v>
      </c>
      <c r="T124" s="140">
        <f>IFERROR(ROUND(CFwp_US_local!T124*T$1,),)</f>
        <v>0</v>
      </c>
      <c r="U124" s="140">
        <f>IFERROR(ROUND(CFwp_US_local!U124*U$1,),)</f>
        <v>0</v>
      </c>
      <c r="V124" s="140">
        <f>IFERROR(ROUND(CFwp_US_local!V124*V$1,),)</f>
        <v>0</v>
      </c>
      <c r="W124" s="140">
        <f>IFERROR(ROUND(CFwp_US_local!W124*W$1,),)</f>
        <v>0</v>
      </c>
      <c r="X124" s="140">
        <f>IFERROR(ROUND(CFwp_US_local!X124*X$1,),)</f>
        <v>0</v>
      </c>
      <c r="Y124" s="145">
        <v>0</v>
      </c>
      <c r="Z124" s="145">
        <v>0</v>
      </c>
      <c r="AA124" s="182">
        <f t="shared" si="16"/>
        <v>0</v>
      </c>
      <c r="AB124" s="182">
        <f t="shared" si="17"/>
        <v>0</v>
      </c>
    </row>
    <row r="125" spans="2:28">
      <c r="B125" s="37" t="s">
        <v>510</v>
      </c>
      <c r="C125" s="2" t="s">
        <v>511</v>
      </c>
      <c r="D125" s="140">
        <f>IFERROR(ROUND(CFwp_US_local!D125*D$1,),)</f>
        <v>0</v>
      </c>
      <c r="E125" s="140">
        <f>IFERROR(ROUND(CFwp_US_local!E125*E$1,),)</f>
        <v>0</v>
      </c>
      <c r="F125" s="146">
        <f t="shared" si="24"/>
        <v>0</v>
      </c>
      <c r="G125" s="146">
        <f t="shared" si="25"/>
        <v>0</v>
      </c>
      <c r="H125" s="143"/>
      <c r="I125" s="140">
        <f>IFERROR(ROUND(CFwp_US_local!I125*I$1,),)</f>
        <v>0</v>
      </c>
      <c r="J125" s="140">
        <f>IFERROR(ROUND(CFwp_US_local!J125*J$1,),)</f>
        <v>0</v>
      </c>
      <c r="K125" s="140">
        <f>IFERROR(ROUND(CFwp_US_local!K125*K$1,),)</f>
        <v>0</v>
      </c>
      <c r="L125" s="140">
        <f>IFERROR(ROUND(CFwp_US_local!L125*L$1,),)</f>
        <v>0</v>
      </c>
      <c r="M125" s="140">
        <f>IFERROR(ROUND(CFwp_US_local!M125*M$1,),)</f>
        <v>0</v>
      </c>
      <c r="N125" s="140">
        <f>IFERROR(ROUND(CFwp_US_local!N125*N$1,),)</f>
        <v>0</v>
      </c>
      <c r="O125" s="140">
        <f>IFERROR(ROUND(CFwp_US_local!O125*O$1,),)</f>
        <v>0</v>
      </c>
      <c r="P125" s="140">
        <f>IFERROR(ROUND(CFwp_US_local!P125*P$1,),)</f>
        <v>0</v>
      </c>
      <c r="Q125" s="140">
        <f>IFERROR(ROUND(CFwp_US_local!Q125*Q$1,),)</f>
        <v>0</v>
      </c>
      <c r="R125" s="140">
        <f>IFERROR(ROUND(CFwp_US_local!R125*R$1,),)</f>
        <v>0</v>
      </c>
      <c r="S125" s="140">
        <f>IFERROR(ROUND(CFwp_US_local!S125*S$1,),)</f>
        <v>0</v>
      </c>
      <c r="T125" s="140">
        <f>IFERROR(ROUND(CFwp_US_local!T125*T$1,),)</f>
        <v>0</v>
      </c>
      <c r="U125" s="140">
        <f>IFERROR(ROUND(CFwp_US_local!U125*U$1,),)</f>
        <v>0</v>
      </c>
      <c r="V125" s="140">
        <f>IFERROR(ROUND(CFwp_US_local!V125*V$1,),)</f>
        <v>0</v>
      </c>
      <c r="W125" s="140">
        <f>IFERROR(ROUND(CFwp_US_local!W125*W$1,),)</f>
        <v>0</v>
      </c>
      <c r="X125" s="140">
        <f>IFERROR(ROUND(CFwp_US_local!X125*X$1,),)</f>
        <v>0</v>
      </c>
      <c r="Y125" s="145">
        <v>0</v>
      </c>
      <c r="Z125" s="145">
        <v>0</v>
      </c>
      <c r="AA125" s="182">
        <f t="shared" si="16"/>
        <v>0</v>
      </c>
      <c r="AB125" s="182">
        <f t="shared" si="17"/>
        <v>0</v>
      </c>
    </row>
    <row r="126" spans="2:28">
      <c r="B126" s="139" t="s">
        <v>241</v>
      </c>
      <c r="C126" s="139" t="s">
        <v>593</v>
      </c>
      <c r="D126" s="140">
        <f>IFERROR(ROUND(CFwp_US_local!D126*D$1,),)</f>
        <v>0</v>
      </c>
      <c r="E126" s="140">
        <f>IFERROR(ROUND(CFwp_US_local!E126*E$1,),)</f>
        <v>0</v>
      </c>
      <c r="F126" s="146">
        <f t="shared" si="24"/>
        <v>0</v>
      </c>
      <c r="G126" s="146">
        <f t="shared" si="25"/>
        <v>0</v>
      </c>
      <c r="H126" s="143"/>
      <c r="I126" s="140">
        <f>IFERROR(ROUND(CFwp_US_local!I126*I$1,),)</f>
        <v>0</v>
      </c>
      <c r="J126" s="140">
        <f>IFERROR(ROUND(CFwp_US_local!J126*J$1,),)</f>
        <v>0</v>
      </c>
      <c r="K126" s="140">
        <f>IFERROR(ROUND(CFwp_US_local!K126*K$1,),)</f>
        <v>0</v>
      </c>
      <c r="L126" s="140">
        <f>IFERROR(ROUND(CFwp_US_local!L126*L$1,),)</f>
        <v>0</v>
      </c>
      <c r="M126" s="140">
        <f>IFERROR(ROUND(CFwp_US_local!M126*M$1,),)</f>
        <v>0</v>
      </c>
      <c r="N126" s="140">
        <f>IFERROR(ROUND(CFwp_US_local!N126*N$1,),)</f>
        <v>0</v>
      </c>
      <c r="O126" s="140">
        <f>IFERROR(ROUND(CFwp_US_local!O126*O$1,),)</f>
        <v>0</v>
      </c>
      <c r="P126" s="140">
        <f>IFERROR(ROUND(CFwp_US_local!P126*P$1,),)</f>
        <v>0</v>
      </c>
      <c r="Q126" s="140">
        <f>IFERROR(ROUND(CFwp_US_local!Q126*Q$1,),)</f>
        <v>0</v>
      </c>
      <c r="R126" s="140">
        <f>IFERROR(ROUND(CFwp_US_local!R126*R$1,),)</f>
        <v>0</v>
      </c>
      <c r="S126" s="140">
        <f>IFERROR(ROUND(CFwp_US_local!S126*S$1,),)</f>
        <v>0</v>
      </c>
      <c r="T126" s="140">
        <f>IFERROR(ROUND(CFwp_US_local!T126*T$1,),)</f>
        <v>0</v>
      </c>
      <c r="U126" s="140">
        <f>IFERROR(ROUND(CFwp_US_local!U126*U$1,),)</f>
        <v>0</v>
      </c>
      <c r="V126" s="140">
        <f>IFERROR(ROUND(CFwp_US_local!V126*V$1,),)</f>
        <v>0</v>
      </c>
      <c r="W126" s="140">
        <f>IFERROR(ROUND(CFwp_US_local!W126*W$1,),)</f>
        <v>0</v>
      </c>
      <c r="X126" s="140">
        <f>IFERROR(ROUND(CFwp_US_local!X126*X$1,),)</f>
        <v>0</v>
      </c>
      <c r="Y126" s="145">
        <v>0</v>
      </c>
      <c r="Z126" s="145">
        <v>0</v>
      </c>
      <c r="AA126" s="182">
        <f t="shared" si="16"/>
        <v>0</v>
      </c>
      <c r="AB126" s="182">
        <f t="shared" si="17"/>
        <v>0</v>
      </c>
    </row>
    <row r="127" spans="2:28">
      <c r="B127" s="139" t="s">
        <v>243</v>
      </c>
      <c r="C127" s="139" t="s">
        <v>244</v>
      </c>
      <c r="D127" s="140">
        <f>IFERROR(ROUND(CFwp_US_local!D127*D$1,),)</f>
        <v>0</v>
      </c>
      <c r="E127" s="140">
        <f>IFERROR(ROUND(CFwp_US_local!E127*E$1,),)</f>
        <v>0</v>
      </c>
      <c r="F127" s="146">
        <f t="shared" si="24"/>
        <v>0</v>
      </c>
      <c r="G127" s="146">
        <f t="shared" si="25"/>
        <v>0</v>
      </c>
      <c r="H127" s="143"/>
      <c r="I127" s="140">
        <f>IFERROR(ROUND(CFwp_US_local!I127*I$1,),)</f>
        <v>0</v>
      </c>
      <c r="J127" s="140">
        <f>IFERROR(ROUND(CFwp_US_local!J127*J$1,),)</f>
        <v>0</v>
      </c>
      <c r="K127" s="140">
        <f>IFERROR(ROUND(CFwp_US_local!K127*K$1,),)</f>
        <v>0</v>
      </c>
      <c r="L127" s="140">
        <f>IFERROR(ROUND(CFwp_US_local!L127*L$1,),)</f>
        <v>0</v>
      </c>
      <c r="M127" s="140">
        <f>IFERROR(ROUND(CFwp_US_local!M127*M$1,),)</f>
        <v>0</v>
      </c>
      <c r="N127" s="140">
        <f>IFERROR(ROUND(CFwp_US_local!N127*N$1,),)</f>
        <v>0</v>
      </c>
      <c r="O127" s="140">
        <f>IFERROR(ROUND(CFwp_US_local!O127*O$1,),)</f>
        <v>0</v>
      </c>
      <c r="P127" s="140">
        <f>IFERROR(ROUND(CFwp_US_local!P127*P$1,),)</f>
        <v>0</v>
      </c>
      <c r="Q127" s="140">
        <f>IFERROR(ROUND(CFwp_US_local!Q127*Q$1,),)</f>
        <v>0</v>
      </c>
      <c r="R127" s="140">
        <f>IFERROR(ROUND(CFwp_US_local!R127*R$1,),)</f>
        <v>0</v>
      </c>
      <c r="S127" s="140">
        <f>IFERROR(ROUND(CFwp_US_local!S127*S$1,),)</f>
        <v>0</v>
      </c>
      <c r="T127" s="140">
        <f>IFERROR(ROUND(CFwp_US_local!T127*T$1,),)</f>
        <v>0</v>
      </c>
      <c r="U127" s="140">
        <f>IFERROR(ROUND(CFwp_US_local!U127*U$1,),)</f>
        <v>0</v>
      </c>
      <c r="V127" s="140">
        <f>IFERROR(ROUND(CFwp_US_local!V127*V$1,),)</f>
        <v>0</v>
      </c>
      <c r="W127" s="140">
        <f>IFERROR(ROUND(CFwp_US_local!W127*W$1,),)</f>
        <v>0</v>
      </c>
      <c r="X127" s="140">
        <f>IFERROR(ROUND(CFwp_US_local!X127*X$1,),)</f>
        <v>0</v>
      </c>
      <c r="Y127" s="145">
        <v>0</v>
      </c>
      <c r="Z127" s="145">
        <v>0</v>
      </c>
      <c r="AA127" s="182">
        <f t="shared" si="16"/>
        <v>0</v>
      </c>
      <c r="AB127" s="182">
        <f t="shared" si="17"/>
        <v>0</v>
      </c>
    </row>
    <row r="128" spans="2:28">
      <c r="B128" s="139" t="s">
        <v>247</v>
      </c>
      <c r="C128" s="139" t="s">
        <v>248</v>
      </c>
      <c r="D128" s="140">
        <f>IFERROR(ROUND(CFwp_US_local!D128*D$1,),)</f>
        <v>0</v>
      </c>
      <c r="E128" s="140">
        <f>IFERROR(ROUND(CFwp_US_local!E128*E$1,),)</f>
        <v>0</v>
      </c>
      <c r="F128" s="146">
        <f t="shared" si="24"/>
        <v>0</v>
      </c>
      <c r="G128" s="146">
        <f t="shared" si="25"/>
        <v>0</v>
      </c>
      <c r="H128" s="143"/>
      <c r="I128" s="140">
        <f>IFERROR(ROUND(CFwp_US_local!I128*I$1,),)</f>
        <v>0</v>
      </c>
      <c r="J128" s="140">
        <f>IFERROR(ROUND(CFwp_US_local!J128*J$1,),)</f>
        <v>0</v>
      </c>
      <c r="K128" s="140">
        <f>IFERROR(ROUND(CFwp_US_local!K128*K$1,),)</f>
        <v>0</v>
      </c>
      <c r="L128" s="140">
        <f>IFERROR(ROUND(CFwp_US_local!L128*L$1,),)</f>
        <v>0</v>
      </c>
      <c r="M128" s="140">
        <f>IFERROR(ROUND(CFwp_US_local!M128*M$1,),)</f>
        <v>0</v>
      </c>
      <c r="N128" s="140">
        <f>IFERROR(ROUND(CFwp_US_local!N128*N$1,),)</f>
        <v>0</v>
      </c>
      <c r="O128" s="140">
        <f>IFERROR(ROUND(CFwp_US_local!O128*O$1,),)</f>
        <v>0</v>
      </c>
      <c r="P128" s="140">
        <f>IFERROR(ROUND(CFwp_US_local!P128*P$1,),)</f>
        <v>0</v>
      </c>
      <c r="Q128" s="140">
        <f>IFERROR(ROUND(CFwp_US_local!Q128*Q$1,),)</f>
        <v>0</v>
      </c>
      <c r="R128" s="140">
        <f>IFERROR(ROUND(CFwp_US_local!R128*R$1,),)</f>
        <v>0</v>
      </c>
      <c r="S128" s="140">
        <f>IFERROR(ROUND(CFwp_US_local!S128*S$1,),)</f>
        <v>0</v>
      </c>
      <c r="T128" s="140">
        <f>IFERROR(ROUND(CFwp_US_local!T128*T$1,),)</f>
        <v>0</v>
      </c>
      <c r="U128" s="140">
        <f>IFERROR(ROUND(CFwp_US_local!U128*U$1,),)</f>
        <v>0</v>
      </c>
      <c r="V128" s="140">
        <f>IFERROR(ROUND(CFwp_US_local!V128*V$1,),)</f>
        <v>0</v>
      </c>
      <c r="W128" s="140">
        <f>IFERROR(ROUND(CFwp_US_local!W128*W$1,),)</f>
        <v>0</v>
      </c>
      <c r="X128" s="140">
        <f>IFERROR(ROUND(CFwp_US_local!X128*X$1,),)</f>
        <v>0</v>
      </c>
      <c r="Y128" s="145">
        <v>0</v>
      </c>
      <c r="Z128" s="145">
        <v>0</v>
      </c>
      <c r="AA128" s="182">
        <f t="shared" si="16"/>
        <v>0</v>
      </c>
      <c r="AB128" s="182">
        <f t="shared" si="17"/>
        <v>0</v>
      </c>
    </row>
    <row r="129" spans="2:28">
      <c r="B129" s="139" t="s">
        <v>250</v>
      </c>
      <c r="C129" s="139" t="s">
        <v>251</v>
      </c>
      <c r="D129" s="140">
        <f>IFERROR(ROUND(CFwp_US_local!D129*D$1,),)</f>
        <v>0</v>
      </c>
      <c r="E129" s="140">
        <f>IFERROR(ROUND(CFwp_US_local!E129*E$1,),)</f>
        <v>0</v>
      </c>
      <c r="F129" s="146">
        <f t="shared" si="24"/>
        <v>0</v>
      </c>
      <c r="G129" s="146">
        <f t="shared" si="25"/>
        <v>0</v>
      </c>
      <c r="H129" s="143"/>
      <c r="I129" s="140">
        <f>IFERROR(ROUND(CFwp_US_local!I129*I$1,),)</f>
        <v>0</v>
      </c>
      <c r="J129" s="140">
        <f>IFERROR(ROUND(CFwp_US_local!J129*J$1,),)</f>
        <v>0</v>
      </c>
      <c r="K129" s="140">
        <f>IFERROR(ROUND(CFwp_US_local!K129*K$1,),)</f>
        <v>0</v>
      </c>
      <c r="L129" s="140">
        <f>IFERROR(ROUND(CFwp_US_local!L129*L$1,),)</f>
        <v>0</v>
      </c>
      <c r="M129" s="140">
        <f>IFERROR(ROUND(CFwp_US_local!M129*M$1,),)</f>
        <v>0</v>
      </c>
      <c r="N129" s="140">
        <f>IFERROR(ROUND(CFwp_US_local!N129*N$1,),)</f>
        <v>0</v>
      </c>
      <c r="O129" s="140">
        <f>IFERROR(ROUND(CFwp_US_local!O129*O$1,),)</f>
        <v>0</v>
      </c>
      <c r="P129" s="140">
        <f>IFERROR(ROUND(CFwp_US_local!P129*P$1,),)</f>
        <v>0</v>
      </c>
      <c r="Q129" s="140">
        <f>IFERROR(ROUND(CFwp_US_local!Q129*Q$1,),)</f>
        <v>0</v>
      </c>
      <c r="R129" s="140">
        <f>IFERROR(ROUND(CFwp_US_local!R129*R$1,),)</f>
        <v>0</v>
      </c>
      <c r="S129" s="140">
        <f>IFERROR(ROUND(CFwp_US_local!S129*S$1,),)</f>
        <v>0</v>
      </c>
      <c r="T129" s="140">
        <f>IFERROR(ROUND(CFwp_US_local!T129*T$1,),)</f>
        <v>0</v>
      </c>
      <c r="U129" s="140">
        <f>IFERROR(ROUND(CFwp_US_local!U129*U$1,),)</f>
        <v>0</v>
      </c>
      <c r="V129" s="140">
        <f>IFERROR(ROUND(CFwp_US_local!V129*V$1,),)</f>
        <v>0</v>
      </c>
      <c r="W129" s="140">
        <f>IFERROR(ROUND(CFwp_US_local!W129*W$1,),)</f>
        <v>0</v>
      </c>
      <c r="X129" s="140">
        <f>IFERROR(ROUND(CFwp_US_local!X129*X$1,),)</f>
        <v>0</v>
      </c>
      <c r="Y129" s="145">
        <v>0</v>
      </c>
      <c r="Z129" s="145">
        <v>0</v>
      </c>
      <c r="AA129" s="182">
        <f t="shared" si="16"/>
        <v>0</v>
      </c>
      <c r="AB129" s="182">
        <f t="shared" si="17"/>
        <v>0</v>
      </c>
    </row>
    <row r="130" spans="2:28">
      <c r="B130" s="139"/>
      <c r="C130" s="139"/>
      <c r="D130" s="140"/>
      <c r="E130" s="140"/>
      <c r="F130" s="146"/>
      <c r="G130" s="146"/>
      <c r="H130" s="143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5">
        <v>0</v>
      </c>
      <c r="Z130" s="145">
        <v>0</v>
      </c>
      <c r="AA130" s="182">
        <f t="shared" si="16"/>
        <v>0</v>
      </c>
      <c r="AB130" s="182">
        <f t="shared" si="17"/>
        <v>0</v>
      </c>
    </row>
    <row r="131" spans="2:28">
      <c r="B131" s="134"/>
      <c r="C131" s="134" t="s">
        <v>252</v>
      </c>
      <c r="D131" s="136">
        <f>D121+D101</f>
        <v>6591355</v>
      </c>
      <c r="E131" s="136">
        <f>E121+E101</f>
        <v>44933780</v>
      </c>
      <c r="F131" s="152"/>
      <c r="G131" s="152"/>
      <c r="H131" s="136"/>
      <c r="I131" s="153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>
        <v>0</v>
      </c>
      <c r="Z131" s="136">
        <v>0</v>
      </c>
      <c r="AA131" s="182">
        <f t="shared" si="16"/>
        <v>0</v>
      </c>
      <c r="AB131" s="182">
        <f t="shared" si="17"/>
        <v>0</v>
      </c>
    </row>
    <row r="132" spans="2:28">
      <c r="B132" s="134"/>
      <c r="C132" s="134" t="s">
        <v>253</v>
      </c>
      <c r="D132" s="136"/>
      <c r="E132" s="136"/>
      <c r="F132" s="152"/>
      <c r="G132" s="152"/>
      <c r="H132" s="136"/>
      <c r="I132" s="153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>
        <v>0</v>
      </c>
      <c r="Z132" s="136">
        <v>0</v>
      </c>
      <c r="AA132" s="182">
        <f t="shared" si="16"/>
        <v>0</v>
      </c>
      <c r="AB132" s="182">
        <f t="shared" si="17"/>
        <v>0</v>
      </c>
    </row>
    <row r="133" spans="2:28">
      <c r="B133" s="137"/>
      <c r="C133" s="137" t="s">
        <v>259</v>
      </c>
      <c r="D133" s="138">
        <f>SUM(D134:D135)</f>
        <v>5898630</v>
      </c>
      <c r="E133" s="138">
        <f>SUM(E134:E135)</f>
        <v>5898630</v>
      </c>
      <c r="F133" s="154"/>
      <c r="G133" s="154"/>
      <c r="H133" s="138"/>
      <c r="I133" s="149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>
        <v>0</v>
      </c>
      <c r="Z133" s="138">
        <v>0</v>
      </c>
      <c r="AA133" s="182">
        <f t="shared" si="16"/>
        <v>0</v>
      </c>
      <c r="AB133" s="182">
        <f t="shared" si="17"/>
        <v>0</v>
      </c>
    </row>
    <row r="134" spans="2:28">
      <c r="B134" s="139" t="s">
        <v>256</v>
      </c>
      <c r="C134" s="139" t="s">
        <v>257</v>
      </c>
      <c r="D134" s="140">
        <v>5898630</v>
      </c>
      <c r="E134" s="189">
        <v>5898630</v>
      </c>
      <c r="F134" s="146">
        <f>E134-D134</f>
        <v>0</v>
      </c>
      <c r="G134" s="146">
        <f>J134-K134+N134+O134-P134+Q134-R134-T134+V134-F134-W134+X134-Y134+Z134</f>
        <v>0</v>
      </c>
      <c r="H134" s="143"/>
      <c r="I134" s="140">
        <f>IFERROR(ROUND(CFwp_US_local!I134*I$1,),)</f>
        <v>0</v>
      </c>
      <c r="J134" s="140">
        <f>IFERROR(ROUND(CFwp_US_local!J134*J$1,),)</f>
        <v>0</v>
      </c>
      <c r="K134" s="140">
        <f>IFERROR(ROUND(CFwp_US_local!K134*K$1,),)</f>
        <v>0</v>
      </c>
      <c r="L134" s="140">
        <f>IFERROR(ROUND(CFwp_US_local!L134*L$1,),)</f>
        <v>0</v>
      </c>
      <c r="M134" s="140">
        <f>IFERROR(ROUND(CFwp_US_local!M134*M$1,),)</f>
        <v>0</v>
      </c>
      <c r="N134" s="140">
        <f>IFERROR(ROUND(CFwp_US_local!N134*N$1,),)</f>
        <v>0</v>
      </c>
      <c r="O134" s="140">
        <f>IFERROR(ROUND(CFwp_US_local!O134*O$1,),)</f>
        <v>0</v>
      </c>
      <c r="P134" s="140">
        <f>IFERROR(ROUND(CFwp_US_local!P134*P$1,),)</f>
        <v>0</v>
      </c>
      <c r="Q134" s="140">
        <v>0</v>
      </c>
      <c r="R134" s="140">
        <f>IFERROR(ROUND(CFwp_US_local!R134*R$1,),)</f>
        <v>0</v>
      </c>
      <c r="S134" s="140">
        <f>IFERROR(ROUND(CFwp_US_local!S134*S$1,),)</f>
        <v>0</v>
      </c>
      <c r="T134" s="140">
        <f>IFERROR(ROUND(CFwp_US_local!T134*T$1,),)</f>
        <v>0</v>
      </c>
      <c r="U134" s="140">
        <f>IFERROR(ROUND(CFwp_US_local!U134*U$1,),)</f>
        <v>0</v>
      </c>
      <c r="V134" s="140">
        <f>IFERROR(ROUND(CFwp_US_local!V134*V$1,),)</f>
        <v>0</v>
      </c>
      <c r="W134" s="140">
        <f>IFERROR(ROUND(CFwp_US_local!W134*W$1,),)</f>
        <v>0</v>
      </c>
      <c r="X134" s="140">
        <f>IFERROR(ROUND(CFwp_US_local!X134*X$1,),)</f>
        <v>0</v>
      </c>
      <c r="Y134" s="145">
        <v>0</v>
      </c>
      <c r="Z134" s="145">
        <v>0</v>
      </c>
      <c r="AA134" s="182">
        <f>IF(G134&gt;0,G134,0)</f>
        <v>0</v>
      </c>
      <c r="AB134" s="182">
        <f t="shared" si="17"/>
        <v>0</v>
      </c>
    </row>
    <row r="135" spans="2:28">
      <c r="B135" s="139" t="s">
        <v>909</v>
      </c>
      <c r="C135" s="139" t="s">
        <v>594</v>
      </c>
      <c r="D135" s="140">
        <f>IFERROR(ROUND(CFwp_US_local!D135*D$1,),)</f>
        <v>0</v>
      </c>
      <c r="E135" s="140">
        <f>IFERROR(ROUND(CFwp_US_local!E135*E$1,),)</f>
        <v>0</v>
      </c>
      <c r="F135" s="146">
        <f>E135-D135</f>
        <v>0</v>
      </c>
      <c r="G135" s="146">
        <f t="shared" ref="G135" si="26">J135-K135+N135+O135-P135+Q135-R135-T135+V135-F135-W135+X135-Y135+Z135</f>
        <v>0</v>
      </c>
      <c r="H135" s="143"/>
      <c r="I135" s="140">
        <f>IFERROR(ROUND(CFwp_US_local!I135*I$1,),)</f>
        <v>0</v>
      </c>
      <c r="J135" s="140">
        <f>IFERROR(ROUND(CFwp_US_local!J135*J$1,),)</f>
        <v>0</v>
      </c>
      <c r="K135" s="140">
        <f>IFERROR(ROUND(CFwp_US_local!K135*K$1,),)</f>
        <v>0</v>
      </c>
      <c r="L135" s="140">
        <f>IFERROR(ROUND(CFwp_US_local!L135*L$1,),)</f>
        <v>0</v>
      </c>
      <c r="M135" s="140">
        <f>IFERROR(ROUND(CFwp_US_local!M135*M$1,),)</f>
        <v>0</v>
      </c>
      <c r="N135" s="140">
        <f>IFERROR(ROUND(CFwp_US_local!N135*N$1,),)</f>
        <v>0</v>
      </c>
      <c r="O135" s="140">
        <f>IFERROR(ROUND(CFwp_US_local!O135*O$1,),)</f>
        <v>0</v>
      </c>
      <c r="P135" s="140">
        <f>IFERROR(ROUND(CFwp_US_local!P135*P$1,),)</f>
        <v>0</v>
      </c>
      <c r="Q135" s="140">
        <f>IFERROR(ROUND(CFwp_US_local!Q135*Q$1,),)</f>
        <v>0</v>
      </c>
      <c r="R135" s="140">
        <f>IFERROR(ROUND(CFwp_US_local!R135*R$1,),)</f>
        <v>0</v>
      </c>
      <c r="S135" s="140">
        <f>IFERROR(ROUND(CFwp_US_local!S135*S$1,),)</f>
        <v>0</v>
      </c>
      <c r="T135" s="140">
        <f>IFERROR(ROUND(CFwp_US_local!T135*T$1,),)</f>
        <v>0</v>
      </c>
      <c r="U135" s="140">
        <f>IFERROR(ROUND(CFwp_US_local!U135*U$1,),)</f>
        <v>0</v>
      </c>
      <c r="V135" s="140">
        <f>IFERROR(ROUND(CFwp_US_local!V135*V$1,),)</f>
        <v>0</v>
      </c>
      <c r="W135" s="140">
        <f>IFERROR(ROUND(CFwp_US_local!W135*W$1,),)</f>
        <v>0</v>
      </c>
      <c r="X135" s="140">
        <f>IFERROR(ROUND(CFwp_US_local!X135*X$1,),)</f>
        <v>0</v>
      </c>
      <c r="Y135" s="145">
        <v>0</v>
      </c>
      <c r="Z135" s="145">
        <v>0</v>
      </c>
      <c r="AA135" s="182">
        <f t="shared" si="16"/>
        <v>0</v>
      </c>
      <c r="AB135" s="182">
        <f t="shared" si="17"/>
        <v>0</v>
      </c>
    </row>
    <row r="136" spans="2:28">
      <c r="B136" s="137"/>
      <c r="C136" s="137" t="s">
        <v>264</v>
      </c>
      <c r="D136" s="138">
        <f>SUM(D137:D139)</f>
        <v>1173827383</v>
      </c>
      <c r="E136" s="138">
        <f>SUM(E137:E139)</f>
        <v>1719927383</v>
      </c>
      <c r="F136" s="154"/>
      <c r="G136" s="154"/>
      <c r="H136" s="138"/>
      <c r="I136" s="149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>
        <v>0</v>
      </c>
      <c r="Z136" s="138">
        <v>0</v>
      </c>
      <c r="AA136" s="182">
        <f t="shared" si="16"/>
        <v>0</v>
      </c>
      <c r="AB136" s="182">
        <f t="shared" si="17"/>
        <v>0</v>
      </c>
    </row>
    <row r="137" spans="2:28">
      <c r="B137" s="139" t="s">
        <v>261</v>
      </c>
      <c r="C137" s="139" t="s">
        <v>262</v>
      </c>
      <c r="D137" s="140">
        <v>1173827383</v>
      </c>
      <c r="E137" s="189">
        <f>'B.연결조정분개 요약표'!F8+'B.연결조정분개 요약표'!F10</f>
        <v>1719927383</v>
      </c>
      <c r="F137" s="146">
        <f>E137-D137</f>
        <v>546100000</v>
      </c>
      <c r="G137" s="146">
        <f t="shared" ref="G137:G139" si="27">J137-K137+N137+O137-P137+Q137-R137-T137+V137-F137-W137+X137-Y137+Z137</f>
        <v>0</v>
      </c>
      <c r="H137" s="143"/>
      <c r="I137" s="140">
        <f>IFERROR(ROUND(CFwp_US_local!I137*I$1,),)</f>
        <v>0</v>
      </c>
      <c r="J137" s="140">
        <f>IFERROR(ROUND(CFwp_US_local!J137*J$1,),)</f>
        <v>0</v>
      </c>
      <c r="K137" s="140">
        <f>IFERROR(ROUND(CFwp_US_local!K137*K$1,),)</f>
        <v>0</v>
      </c>
      <c r="L137" s="140">
        <f>IFERROR(ROUND(CFwp_US_local!L137*L$1,),)</f>
        <v>0</v>
      </c>
      <c r="M137" s="140">
        <f>IFERROR(ROUND(CFwp_US_local!M137*M$1,),)</f>
        <v>0</v>
      </c>
      <c r="N137" s="140">
        <f>IFERROR(ROUND(CFwp_US_local!N137*N$1,),)</f>
        <v>0</v>
      </c>
      <c r="O137" s="140">
        <f>IFERROR(ROUND(CFwp_US_local!O137*O$1,),)</f>
        <v>0</v>
      </c>
      <c r="P137" s="140">
        <f>IFERROR(ROUND(CFwp_US_local!P137*P$1,),)</f>
        <v>0</v>
      </c>
      <c r="Q137" s="189">
        <v>546100000</v>
      </c>
      <c r="R137" s="140">
        <f>IFERROR(ROUND(CFwp_US_local!R137*R$1,),)</f>
        <v>0</v>
      </c>
      <c r="S137" s="140">
        <f>IFERROR(ROUND(CFwp_US_local!S137*S$1,),)</f>
        <v>0</v>
      </c>
      <c r="T137" s="140">
        <f>IFERROR(ROUND(CFwp_US_local!T137*T$1,),)</f>
        <v>0</v>
      </c>
      <c r="U137" s="140">
        <f>IFERROR(ROUND(CFwp_US_local!U137*U$1,),)</f>
        <v>0</v>
      </c>
      <c r="V137" s="140">
        <f>IFERROR(ROUND(CFwp_US_local!V137*V$1,),)</f>
        <v>0</v>
      </c>
      <c r="W137" s="140">
        <f>IFERROR(ROUND(CFwp_US_local!W137*W$1,),)</f>
        <v>0</v>
      </c>
      <c r="X137" s="140">
        <f>IFERROR(ROUND(CFwp_US_local!X137*X$1,),)</f>
        <v>0</v>
      </c>
      <c r="Y137" s="145">
        <v>0</v>
      </c>
      <c r="Z137" s="145">
        <v>0</v>
      </c>
      <c r="AA137" s="182">
        <f t="shared" si="16"/>
        <v>0</v>
      </c>
      <c r="AB137" s="182">
        <f t="shared" si="17"/>
        <v>0</v>
      </c>
    </row>
    <row r="138" spans="2:28">
      <c r="B138" s="139" t="s">
        <v>265</v>
      </c>
      <c r="C138" s="139" t="s">
        <v>266</v>
      </c>
      <c r="D138" s="140">
        <f>IFERROR(ROUND(CFwp_US_local!D138*D$1,),)</f>
        <v>0</v>
      </c>
      <c r="E138" s="140">
        <f>IFERROR(ROUND(CFwp_US_local!E138*E$1,),)</f>
        <v>0</v>
      </c>
      <c r="F138" s="146">
        <f>E138-D138</f>
        <v>0</v>
      </c>
      <c r="G138" s="146">
        <f t="shared" si="27"/>
        <v>0</v>
      </c>
      <c r="H138" s="143"/>
      <c r="I138" s="140">
        <f>IFERROR(ROUND(CFwp_US_local!I138*I$1,),)</f>
        <v>0</v>
      </c>
      <c r="J138" s="140">
        <f>IFERROR(ROUND(CFwp_US_local!J138*J$1,),)</f>
        <v>0</v>
      </c>
      <c r="K138" s="140">
        <f>IFERROR(ROUND(CFwp_US_local!K138*K$1,),)</f>
        <v>0</v>
      </c>
      <c r="L138" s="140">
        <f>IFERROR(ROUND(CFwp_US_local!L138*L$1,),)</f>
        <v>0</v>
      </c>
      <c r="M138" s="140">
        <f>IFERROR(ROUND(CFwp_US_local!M138*M$1,),)</f>
        <v>0</v>
      </c>
      <c r="N138" s="140">
        <f>IFERROR(ROUND(CFwp_US_local!N138*N$1,),)</f>
        <v>0</v>
      </c>
      <c r="O138" s="140">
        <f>IFERROR(ROUND(CFwp_US_local!O138*O$1,),)</f>
        <v>0</v>
      </c>
      <c r="P138" s="140">
        <f>IFERROR(ROUND(CFwp_US_local!P138*P$1,),)</f>
        <v>0</v>
      </c>
      <c r="Q138" s="140">
        <f>IFERROR(ROUND(CFwp_US_local!Q138*Q$1,),)</f>
        <v>0</v>
      </c>
      <c r="R138" s="140">
        <f>IFERROR(ROUND(CFwp_US_local!R138*R$1,),)</f>
        <v>0</v>
      </c>
      <c r="S138" s="140">
        <f>IFERROR(ROUND(CFwp_US_local!S138*S$1,),)</f>
        <v>0</v>
      </c>
      <c r="T138" s="140">
        <f>IFERROR(ROUND(CFwp_US_local!T138*T$1,),)</f>
        <v>0</v>
      </c>
      <c r="U138" s="140">
        <f>IFERROR(ROUND(CFwp_US_local!U138*U$1,),)</f>
        <v>0</v>
      </c>
      <c r="V138" s="140">
        <f>IFERROR(ROUND(CFwp_US_local!V138*V$1,),)</f>
        <v>0</v>
      </c>
      <c r="W138" s="140">
        <f>IFERROR(ROUND(CFwp_US_local!W138*W$1,),)</f>
        <v>0</v>
      </c>
      <c r="X138" s="140">
        <f>IFERROR(ROUND(CFwp_US_local!X138*X$1,),)</f>
        <v>0</v>
      </c>
      <c r="Y138" s="145">
        <v>0</v>
      </c>
      <c r="Z138" s="145">
        <v>0</v>
      </c>
      <c r="AA138" s="182">
        <f t="shared" si="16"/>
        <v>0</v>
      </c>
      <c r="AB138" s="182">
        <f t="shared" si="17"/>
        <v>0</v>
      </c>
    </row>
    <row r="139" spans="2:28">
      <c r="B139" s="139" t="s">
        <v>267</v>
      </c>
      <c r="C139" s="139" t="s">
        <v>268</v>
      </c>
      <c r="D139" s="140">
        <f>IFERROR(ROUND(CFwp_US_local!D139*D$1,),)</f>
        <v>0</v>
      </c>
      <c r="E139" s="140">
        <f>IFERROR(ROUND(CFwp_US_local!E139*E$1,),)</f>
        <v>0</v>
      </c>
      <c r="F139" s="146">
        <f>E139-D139</f>
        <v>0</v>
      </c>
      <c r="G139" s="146">
        <f t="shared" si="27"/>
        <v>0</v>
      </c>
      <c r="H139" s="143"/>
      <c r="I139" s="140">
        <f>IFERROR(ROUND(CFwp_US_local!I139*I$1,),)</f>
        <v>0</v>
      </c>
      <c r="J139" s="140">
        <f>IFERROR(ROUND(CFwp_US_local!J139*J$1,),)</f>
        <v>0</v>
      </c>
      <c r="K139" s="140">
        <f>IFERROR(ROUND(CFwp_US_local!K139*K$1,),)</f>
        <v>0</v>
      </c>
      <c r="L139" s="140">
        <f>IFERROR(ROUND(CFwp_US_local!L139*L$1,),)</f>
        <v>0</v>
      </c>
      <c r="M139" s="140">
        <f>IFERROR(ROUND(CFwp_US_local!M139*M$1,),)</f>
        <v>0</v>
      </c>
      <c r="N139" s="140">
        <f>IFERROR(ROUND(CFwp_US_local!N139*N$1,),)</f>
        <v>0</v>
      </c>
      <c r="O139" s="140">
        <f>IFERROR(ROUND(CFwp_US_local!O139*O$1,),)</f>
        <v>0</v>
      </c>
      <c r="P139" s="140">
        <f>IFERROR(ROUND(CFwp_US_local!P139*P$1,),)</f>
        <v>0</v>
      </c>
      <c r="Q139" s="140">
        <f>IFERROR(ROUND(CFwp_US_local!Q139*Q$1,),)</f>
        <v>0</v>
      </c>
      <c r="R139" s="140">
        <f>IFERROR(ROUND(CFwp_US_local!R139*R$1,),)</f>
        <v>0</v>
      </c>
      <c r="S139" s="140">
        <f>IFERROR(ROUND(CFwp_US_local!S139*S$1,),)</f>
        <v>0</v>
      </c>
      <c r="T139" s="140">
        <f>IFERROR(ROUND(CFwp_US_local!T139*T$1,),)</f>
        <v>0</v>
      </c>
      <c r="U139" s="140">
        <f>IFERROR(ROUND(CFwp_US_local!U139*U$1,),)</f>
        <v>0</v>
      </c>
      <c r="V139" s="140">
        <f>IFERROR(ROUND(CFwp_US_local!V139*V$1,),)</f>
        <v>0</v>
      </c>
      <c r="W139" s="140">
        <f>IFERROR(ROUND(CFwp_US_local!W139*W$1,),)</f>
        <v>0</v>
      </c>
      <c r="X139" s="140">
        <f>IFERROR(ROUND(CFwp_US_local!X139*X$1,),)</f>
        <v>0</v>
      </c>
      <c r="Y139" s="145">
        <v>0</v>
      </c>
      <c r="Z139" s="145">
        <v>0</v>
      </c>
      <c r="AA139" s="182">
        <f t="shared" si="16"/>
        <v>0</v>
      </c>
      <c r="AB139" s="182">
        <f t="shared" si="17"/>
        <v>0</v>
      </c>
    </row>
    <row r="140" spans="2:28">
      <c r="B140" s="137"/>
      <c r="C140" s="137" t="s">
        <v>273</v>
      </c>
      <c r="D140" s="138">
        <f>SUM(D141)</f>
        <v>0</v>
      </c>
      <c r="E140" s="138">
        <f>SUM(E141)</f>
        <v>0</v>
      </c>
      <c r="F140" s="154"/>
      <c r="G140" s="154"/>
      <c r="H140" s="138"/>
      <c r="I140" s="149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>
        <v>0</v>
      </c>
      <c r="Z140" s="138">
        <v>0</v>
      </c>
      <c r="AA140" s="182">
        <f t="shared" si="16"/>
        <v>0</v>
      </c>
      <c r="AB140" s="182">
        <f t="shared" si="17"/>
        <v>0</v>
      </c>
    </row>
    <row r="141" spans="2:28">
      <c r="B141" s="139" t="s">
        <v>270</v>
      </c>
      <c r="C141" s="139" t="s">
        <v>595</v>
      </c>
      <c r="D141" s="140">
        <f>IFERROR(ROUND(CFwp_US_local!D141*D$1,),)</f>
        <v>0</v>
      </c>
      <c r="E141" s="140">
        <f>IFERROR(ROUND(CFwp_US_local!E141*E$1,),)</f>
        <v>0</v>
      </c>
      <c r="F141" s="146">
        <f>E141-D141</f>
        <v>0</v>
      </c>
      <c r="G141" s="146">
        <f>J141-K141+N141+O141-P141+Q141-R141-T141+V141-F141-W141+X141-Y141+Z141</f>
        <v>0</v>
      </c>
      <c r="H141" s="143" t="s">
        <v>596</v>
      </c>
      <c r="I141" s="140">
        <f>IFERROR(ROUND(CFwp_US_local!I141*I$1,),)</f>
        <v>0</v>
      </c>
      <c r="J141" s="140">
        <f>IFERROR(ROUND(CFwp_US_local!J141*J$1,),)</f>
        <v>0</v>
      </c>
      <c r="K141" s="140">
        <f>IFERROR(ROUND(CFwp_US_local!K141*K$1,),)</f>
        <v>0</v>
      </c>
      <c r="L141" s="140">
        <f>IFERROR(ROUND(CFwp_US_local!L141*L$1,),)</f>
        <v>0</v>
      </c>
      <c r="M141" s="140">
        <f>IFERROR(ROUND(CFwp_US_local!M141*M$1,),)</f>
        <v>0</v>
      </c>
      <c r="N141" s="140">
        <f>IFERROR(ROUND(CFwp_US_local!N141*N$1,),)</f>
        <v>0</v>
      </c>
      <c r="O141" s="140">
        <f>IFERROR(ROUND(CFwp_US_local!O141*O$1,),)</f>
        <v>0</v>
      </c>
      <c r="P141" s="140">
        <f>IFERROR(ROUND(CFwp_US_local!P141*P$1,),)</f>
        <v>0</v>
      </c>
      <c r="Q141" s="140">
        <f>IFERROR(ROUND(CFwp_US_local!Q141*Q$1,),)</f>
        <v>0</v>
      </c>
      <c r="R141" s="140">
        <f>IFERROR(ROUND(CFwp_US_local!R141*R$1,),)</f>
        <v>0</v>
      </c>
      <c r="S141" s="140">
        <f>IFERROR(ROUND(CFwp_US_local!S141*S$1,),)</f>
        <v>0</v>
      </c>
      <c r="T141" s="140">
        <f>IFERROR(ROUND(CFwp_US_local!T141*T$1,),)</f>
        <v>0</v>
      </c>
      <c r="U141" s="140">
        <f>IFERROR(ROUND(CFwp_US_local!U141*U$1,),)</f>
        <v>0</v>
      </c>
      <c r="V141" s="140">
        <f>IFERROR(ROUND(CFwp_US_local!V141*V$1,),)</f>
        <v>0</v>
      </c>
      <c r="W141" s="140">
        <f>IFERROR(ROUND(CFwp_US_local!W141*W$1,),)</f>
        <v>0</v>
      </c>
      <c r="X141" s="140">
        <f>IFERROR(ROUND(CFwp_US_local!X141*X$1,),)</f>
        <v>0</v>
      </c>
      <c r="Y141" s="145">
        <v>0</v>
      </c>
      <c r="Z141" s="145">
        <v>0</v>
      </c>
      <c r="AA141" s="182">
        <f t="shared" si="16"/>
        <v>0</v>
      </c>
      <c r="AB141" s="182">
        <f t="shared" si="17"/>
        <v>0</v>
      </c>
    </row>
    <row r="142" spans="2:28">
      <c r="B142" s="137"/>
      <c r="C142" s="137" t="s">
        <v>597</v>
      </c>
      <c r="D142" s="138">
        <f>SUM(D143:D145)</f>
        <v>-21926013</v>
      </c>
      <c r="E142" s="138">
        <f>SUM(E143:E145)</f>
        <v>-10623822</v>
      </c>
      <c r="F142" s="154"/>
      <c r="G142" s="154"/>
      <c r="H142" s="138"/>
      <c r="I142" s="149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>
        <v>0</v>
      </c>
      <c r="Z142" s="138">
        <v>0</v>
      </c>
      <c r="AA142" s="182">
        <f t="shared" ref="AA142:AA152" si="28">IF(G142&gt;0,G142,0)</f>
        <v>0</v>
      </c>
      <c r="AB142" s="182">
        <f t="shared" ref="AB142:AB152" si="29">IF(G142&lt;0,-G142,0)</f>
        <v>0</v>
      </c>
    </row>
    <row r="143" spans="2:28">
      <c r="B143" s="139" t="s">
        <v>275</v>
      </c>
      <c r="C143" s="139" t="s">
        <v>276</v>
      </c>
      <c r="D143" s="140">
        <f>IFERROR(ROUND(CFwp_US_local!D143*D$1,),)</f>
        <v>0</v>
      </c>
      <c r="E143" s="140">
        <f>IFERROR(ROUND(CFwp_US_local!E143*E$1,),)</f>
        <v>0</v>
      </c>
      <c r="F143" s="146">
        <f>E143-D143</f>
        <v>0</v>
      </c>
      <c r="G143" s="146">
        <f t="shared" ref="G143:G145" si="30">J143-K143+N143+O143-P143+Q143-R143-T143+V143-F143-W143+X143-Y143+Z143</f>
        <v>0</v>
      </c>
      <c r="H143" s="143"/>
      <c r="I143" s="140">
        <f>IFERROR(ROUND(CFwp_US_local!I143*I$1,),)</f>
        <v>0</v>
      </c>
      <c r="J143" s="140">
        <f>IFERROR(ROUND(CFwp_US_local!J143*J$1,),)</f>
        <v>0</v>
      </c>
      <c r="K143" s="140">
        <f>IFERROR(ROUND(CFwp_US_local!K143*K$1,),)</f>
        <v>0</v>
      </c>
      <c r="L143" s="140">
        <f>IFERROR(ROUND(CFwp_US_local!L143*L$1,),)</f>
        <v>0</v>
      </c>
      <c r="M143" s="140">
        <f>IFERROR(ROUND(CFwp_US_local!M143*M$1,),)</f>
        <v>0</v>
      </c>
      <c r="N143" s="140">
        <f>IFERROR(ROUND(CFwp_US_local!N143*N$1,),)</f>
        <v>0</v>
      </c>
      <c r="O143" s="140">
        <f>IFERROR(ROUND(CFwp_US_local!O143*O$1,),)</f>
        <v>0</v>
      </c>
      <c r="P143" s="140">
        <f>IFERROR(ROUND(CFwp_US_local!P143*P$1,),)</f>
        <v>0</v>
      </c>
      <c r="Q143" s="140">
        <f>IFERROR(ROUND(CFwp_US_local!Q143*Q$1,),)</f>
        <v>0</v>
      </c>
      <c r="R143" s="140">
        <f>IFERROR(ROUND(CFwp_US_local!R143*R$1,),)</f>
        <v>0</v>
      </c>
      <c r="S143" s="140">
        <f>IFERROR(ROUND(CFwp_US_local!S143*S$1,),)</f>
        <v>0</v>
      </c>
      <c r="T143" s="140">
        <f>IFERROR(ROUND(CFwp_US_local!T143*T$1,),)</f>
        <v>0</v>
      </c>
      <c r="U143" s="140">
        <f>IFERROR(ROUND(CFwp_US_local!U143*U$1,),)</f>
        <v>0</v>
      </c>
      <c r="V143" s="140">
        <f>IFERROR(ROUND(CFwp_US_local!V143*V$1,),)</f>
        <v>0</v>
      </c>
      <c r="W143" s="140">
        <f>IFERROR(ROUND(CFwp_US_local!W143*W$1,),)</f>
        <v>0</v>
      </c>
      <c r="X143" s="140">
        <f>IFERROR(ROUND(CFwp_US_local!X143*X$1,),)</f>
        <v>0</v>
      </c>
      <c r="Y143" s="145">
        <v>0</v>
      </c>
      <c r="Z143" s="145">
        <v>0</v>
      </c>
      <c r="AA143" s="182">
        <f t="shared" si="28"/>
        <v>0</v>
      </c>
      <c r="AB143" s="182">
        <f t="shared" si="29"/>
        <v>0</v>
      </c>
    </row>
    <row r="144" spans="2:28">
      <c r="B144" s="139" t="s">
        <v>279</v>
      </c>
      <c r="C144" s="139" t="s">
        <v>280</v>
      </c>
      <c r="D144" s="140">
        <v>-21926013</v>
      </c>
      <c r="E144" s="189">
        <v>-10623822</v>
      </c>
      <c r="F144" s="146">
        <f t="shared" ref="F144:F145" si="31">E144-D144</f>
        <v>11302191</v>
      </c>
      <c r="G144" s="146">
        <f t="shared" si="30"/>
        <v>0</v>
      </c>
      <c r="H144" s="143"/>
      <c r="I144" s="140">
        <f>IFERROR(ROUND(CFwp_US_local!I144*I$1,),)</f>
        <v>0</v>
      </c>
      <c r="J144" s="140">
        <f>IFERROR(ROUND(CFwp_US_local!J144*J$1,),)</f>
        <v>0</v>
      </c>
      <c r="K144" s="140">
        <f>IFERROR(ROUND(CFwp_US_local!K144*K$1,),)</f>
        <v>0</v>
      </c>
      <c r="L144" s="140">
        <f>IFERROR(ROUND(CFwp_US_local!L144*L$1,),)</f>
        <v>0</v>
      </c>
      <c r="M144" s="140">
        <f>IFERROR(ROUND(CFwp_US_local!M144*M$1,),)</f>
        <v>0</v>
      </c>
      <c r="N144" s="140">
        <f>IFERROR(ROUND(CFwp_US_local!N144*N$1,),)</f>
        <v>0</v>
      </c>
      <c r="O144" s="140">
        <f>IFERROR(ROUND(CFwp_US_local!O144*O$1,),)</f>
        <v>0</v>
      </c>
      <c r="P144" s="140">
        <f>IFERROR(ROUND(CFwp_US_local!P144*P$1,),)</f>
        <v>0</v>
      </c>
      <c r="Q144" s="140">
        <f>IFERROR(ROUND(CFwp_US_local!Q144*Q$1,),)</f>
        <v>0</v>
      </c>
      <c r="R144" s="140">
        <f>IFERROR(ROUND(CFwp_US_local!R144*R$1,),)</f>
        <v>0</v>
      </c>
      <c r="S144" s="140">
        <f>IFERROR(ROUND(CFwp_US_local!S144*S$1,),)</f>
        <v>0</v>
      </c>
      <c r="T144" s="140">
        <f>IFERROR(ROUND(CFwp_US_local!T144*T$1,),)</f>
        <v>0</v>
      </c>
      <c r="U144" s="140">
        <f>IFERROR(ROUND(CFwp_US_local!U144*U$1,),)</f>
        <v>0</v>
      </c>
      <c r="V144" s="140">
        <f>IFERROR(ROUND(CFwp_US_local!V144*V$1,),)</f>
        <v>0</v>
      </c>
      <c r="W144" s="140">
        <f>IFERROR(ROUND(CFwp_US_local!W144*W$1,),)</f>
        <v>0</v>
      </c>
      <c r="X144" s="140">
        <f>IFERROR(ROUND(CFwp_US_local!X144*X$1,),)</f>
        <v>0</v>
      </c>
      <c r="Y144" s="145">
        <v>0</v>
      </c>
      <c r="Z144" s="145">
        <v>11302191</v>
      </c>
      <c r="AA144" s="182">
        <f t="shared" si="28"/>
        <v>0</v>
      </c>
      <c r="AB144" s="182">
        <f t="shared" si="29"/>
        <v>0</v>
      </c>
    </row>
    <row r="145" spans="2:28">
      <c r="B145" s="139" t="s">
        <v>281</v>
      </c>
      <c r="C145" s="139" t="s">
        <v>282</v>
      </c>
      <c r="D145" s="140">
        <f>IFERROR(ROUND(CFwp_US_local!D145*D$1,),)</f>
        <v>0</v>
      </c>
      <c r="E145" s="140">
        <f>IFERROR(ROUND(CFwp_US_local!E145*E$1,),)</f>
        <v>0</v>
      </c>
      <c r="F145" s="146">
        <f t="shared" si="31"/>
        <v>0</v>
      </c>
      <c r="G145" s="146">
        <f t="shared" si="30"/>
        <v>0</v>
      </c>
      <c r="H145" s="143"/>
      <c r="I145" s="140">
        <f>IFERROR(ROUND(CFwp_US_local!I145*I$1,),)</f>
        <v>0</v>
      </c>
      <c r="J145" s="140">
        <f>IFERROR(ROUND(CFwp_US_local!J145*J$1,),)</f>
        <v>0</v>
      </c>
      <c r="K145" s="140">
        <f>IFERROR(ROUND(CFwp_US_local!K145*K$1,),)</f>
        <v>0</v>
      </c>
      <c r="L145" s="140">
        <f>IFERROR(ROUND(CFwp_US_local!L145*L$1,),)</f>
        <v>0</v>
      </c>
      <c r="M145" s="140">
        <f>IFERROR(ROUND(CFwp_US_local!M145*M$1,),)</f>
        <v>0</v>
      </c>
      <c r="N145" s="140">
        <f>IFERROR(ROUND(CFwp_US_local!N145*N$1,),)</f>
        <v>0</v>
      </c>
      <c r="O145" s="140">
        <f>IFERROR(ROUND(CFwp_US_local!O145*O$1,),)</f>
        <v>0</v>
      </c>
      <c r="P145" s="140">
        <f>IFERROR(ROUND(CFwp_US_local!P145*P$1,),)</f>
        <v>0</v>
      </c>
      <c r="Q145" s="140">
        <f>IFERROR(ROUND(CFwp_US_local!Q145*Q$1,),)</f>
        <v>0</v>
      </c>
      <c r="R145" s="140">
        <f>IFERROR(ROUND(CFwp_US_local!R145*R$1,),)</f>
        <v>0</v>
      </c>
      <c r="S145" s="140">
        <f>IFERROR(ROUND(CFwp_US_local!S145*S$1,),)</f>
        <v>0</v>
      </c>
      <c r="T145" s="140">
        <f>IFERROR(ROUND(CFwp_US_local!T145*T$1,),)</f>
        <v>0</v>
      </c>
      <c r="U145" s="140">
        <f>IFERROR(ROUND(CFwp_US_local!U145*U$1,),)</f>
        <v>0</v>
      </c>
      <c r="V145" s="140">
        <f>IFERROR(ROUND(CFwp_US_local!V145*V$1,),)</f>
        <v>0</v>
      </c>
      <c r="W145" s="140">
        <f>IFERROR(ROUND(CFwp_US_local!W145*W$1,),)</f>
        <v>0</v>
      </c>
      <c r="X145" s="140">
        <f>IFERROR(ROUND(CFwp_US_local!X145*X$1,),)</f>
        <v>0</v>
      </c>
      <c r="Y145" s="145">
        <v>0</v>
      </c>
      <c r="Z145" s="145">
        <v>0</v>
      </c>
      <c r="AA145" s="182">
        <f t="shared" si="28"/>
        <v>0</v>
      </c>
      <c r="AB145" s="182">
        <f t="shared" si="29"/>
        <v>0</v>
      </c>
    </row>
    <row r="146" spans="2:28">
      <c r="B146" s="137"/>
      <c r="C146" s="137" t="s">
        <v>287</v>
      </c>
      <c r="D146" s="138">
        <f>SUM(D147:D152)</f>
        <v>-105876179</v>
      </c>
      <c r="E146" s="138">
        <f>SUM(E147:E152)</f>
        <v>-1057016646</v>
      </c>
      <c r="F146" s="154"/>
      <c r="G146" s="154"/>
      <c r="H146" s="138"/>
      <c r="I146" s="149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>
        <v>0</v>
      </c>
      <c r="Z146" s="138">
        <v>0</v>
      </c>
      <c r="AA146" s="182">
        <f t="shared" si="28"/>
        <v>0</v>
      </c>
      <c r="AB146" s="182">
        <f t="shared" si="29"/>
        <v>0</v>
      </c>
    </row>
    <row r="147" spans="2:28">
      <c r="B147" s="139" t="s">
        <v>284</v>
      </c>
      <c r="C147" s="139" t="s">
        <v>285</v>
      </c>
      <c r="D147" s="140">
        <f>IFERROR(ROUND(CFwp_US_local!D147*D$1,),)</f>
        <v>0</v>
      </c>
      <c r="E147" s="140">
        <f>IFERROR(ROUND(CFwp_US_local!E147*E$1,),)</f>
        <v>0</v>
      </c>
      <c r="F147" s="146">
        <f>E147-D147</f>
        <v>0</v>
      </c>
      <c r="G147" s="146">
        <f t="shared" ref="G147:G151" si="32">J147-K147+N147+O147-P147+Q147-R147-T147+V147-F147-W147+X147-Y147+Z147</f>
        <v>0</v>
      </c>
      <c r="H147" s="143"/>
      <c r="I147" s="140">
        <f>IFERROR(ROUND(CFwp_US_local!I147*I$1,),)</f>
        <v>0</v>
      </c>
      <c r="J147" s="140">
        <f>IFERROR(ROUND(CFwp_US_local!J147*J$1,),)</f>
        <v>0</v>
      </c>
      <c r="K147" s="140">
        <f>IFERROR(ROUND(CFwp_US_local!K147*K$1,),)</f>
        <v>0</v>
      </c>
      <c r="L147" s="140">
        <f>IFERROR(ROUND(CFwp_US_local!L147*L$1,),)</f>
        <v>0</v>
      </c>
      <c r="M147" s="140">
        <f>IFERROR(ROUND(CFwp_US_local!M147*M$1,),)</f>
        <v>0</v>
      </c>
      <c r="N147" s="140">
        <f>IFERROR(ROUND(CFwp_US_local!N147*N$1,),)</f>
        <v>0</v>
      </c>
      <c r="O147" s="140">
        <f>IFERROR(ROUND(CFwp_US_local!O147*O$1,),)</f>
        <v>0</v>
      </c>
      <c r="P147" s="140">
        <f>IFERROR(ROUND(CFwp_US_local!P147*P$1,),)</f>
        <v>0</v>
      </c>
      <c r="Q147" s="140">
        <f>IFERROR(ROUND(CFwp_US_local!Q147*Q$1,),)</f>
        <v>0</v>
      </c>
      <c r="R147" s="140">
        <f>IFERROR(ROUND(CFwp_US_local!R147*R$1,),)</f>
        <v>0</v>
      </c>
      <c r="S147" s="140">
        <f>IFERROR(ROUND(CFwp_US_local!S147*S$1,),)</f>
        <v>0</v>
      </c>
      <c r="T147" s="140">
        <f>IFERROR(ROUND(CFwp_US_local!T147*T$1,),)</f>
        <v>0</v>
      </c>
      <c r="U147" s="140">
        <f>IFERROR(ROUND(CFwp_US_local!U147*U$1,),)</f>
        <v>0</v>
      </c>
      <c r="V147" s="140">
        <f>IFERROR(ROUND(CFwp_US_local!V147*V$1,),)</f>
        <v>0</v>
      </c>
      <c r="W147" s="140">
        <f>IFERROR(ROUND(CFwp_US_local!W147*W$1,),)</f>
        <v>0</v>
      </c>
      <c r="X147" s="140">
        <f>IFERROR(ROUND(CFwp_US_local!X147*X$1,),)</f>
        <v>0</v>
      </c>
      <c r="Y147" s="145">
        <v>0</v>
      </c>
      <c r="Z147" s="145">
        <v>0</v>
      </c>
      <c r="AA147" s="182">
        <f t="shared" si="28"/>
        <v>0</v>
      </c>
      <c r="AB147" s="182">
        <f t="shared" si="29"/>
        <v>0</v>
      </c>
    </row>
    <row r="148" spans="2:28">
      <c r="B148" s="139" t="s">
        <v>514</v>
      </c>
      <c r="C148" s="139" t="s">
        <v>515</v>
      </c>
      <c r="D148" s="140">
        <f>IFERROR(ROUND(CFwp_US_local!D148*D$1,),)</f>
        <v>0</v>
      </c>
      <c r="E148" s="140">
        <f>IFERROR(ROUND(CFwp_US_local!E148*E$1,),)</f>
        <v>0</v>
      </c>
      <c r="F148" s="146">
        <f>E148-D148</f>
        <v>0</v>
      </c>
      <c r="G148" s="146">
        <f t="shared" si="32"/>
        <v>0</v>
      </c>
      <c r="H148" s="143"/>
      <c r="I148" s="140">
        <f>IFERROR(ROUND(CFwp_US_local!I148*I$1,),)</f>
        <v>0</v>
      </c>
      <c r="J148" s="140">
        <f>IFERROR(ROUND(CFwp_US_local!J148*J$1,),)</f>
        <v>0</v>
      </c>
      <c r="K148" s="140">
        <f>IFERROR(ROUND(CFwp_US_local!K148*K$1,),)</f>
        <v>0</v>
      </c>
      <c r="L148" s="140">
        <f>IFERROR(ROUND(CFwp_US_local!L148*L$1,),)</f>
        <v>0</v>
      </c>
      <c r="M148" s="140">
        <f>IFERROR(ROUND(CFwp_US_local!M148*M$1,),)</f>
        <v>0</v>
      </c>
      <c r="N148" s="140">
        <f>IFERROR(ROUND(CFwp_US_local!N148*N$1,),)</f>
        <v>0</v>
      </c>
      <c r="O148" s="140">
        <f>IFERROR(ROUND(CFwp_US_local!O148*O$1,),)</f>
        <v>0</v>
      </c>
      <c r="P148" s="140">
        <f>IFERROR(ROUND(CFwp_US_local!P148*P$1,),)</f>
        <v>0</v>
      </c>
      <c r="Q148" s="140">
        <f>IFERROR(ROUND(CFwp_US_local!Q148*Q$1,),)</f>
        <v>0</v>
      </c>
      <c r="R148" s="140">
        <f>IFERROR(ROUND(CFwp_US_local!R148*R$1,),)</f>
        <v>0</v>
      </c>
      <c r="S148" s="140">
        <f>IFERROR(ROUND(CFwp_US_local!S148*S$1,),)</f>
        <v>0</v>
      </c>
      <c r="T148" s="140">
        <f>IFERROR(ROUND(CFwp_US_local!T148*T$1,),)</f>
        <v>0</v>
      </c>
      <c r="U148" s="140">
        <f>IFERROR(ROUND(CFwp_US_local!U148*U$1,),)</f>
        <v>0</v>
      </c>
      <c r="V148" s="140">
        <f>IFERROR(ROUND(CFwp_US_local!V148*V$1,),)</f>
        <v>0</v>
      </c>
      <c r="W148" s="140">
        <f>IFERROR(ROUND(CFwp_US_local!W148*W$1,),)</f>
        <v>0</v>
      </c>
      <c r="X148" s="140">
        <f>IFERROR(ROUND(CFwp_US_local!X148*X$1,),)</f>
        <v>0</v>
      </c>
      <c r="Y148" s="145">
        <v>0</v>
      </c>
      <c r="Z148" s="145">
        <v>0</v>
      </c>
      <c r="AA148" s="182">
        <f t="shared" si="28"/>
        <v>0</v>
      </c>
      <c r="AB148" s="182">
        <f t="shared" si="29"/>
        <v>0</v>
      </c>
    </row>
    <row r="149" spans="2:28">
      <c r="B149" s="139" t="s">
        <v>288</v>
      </c>
      <c r="C149" s="139" t="s">
        <v>289</v>
      </c>
      <c r="D149" s="140">
        <f>IFERROR(ROUND(CFwp_US_local!D149*D$1,),)</f>
        <v>0</v>
      </c>
      <c r="E149" s="140">
        <f>IFERROR(ROUND(CFwp_US_local!E149*E$1,),)</f>
        <v>0</v>
      </c>
      <c r="F149" s="146">
        <f>E149-D149</f>
        <v>0</v>
      </c>
      <c r="G149" s="146">
        <f t="shared" si="32"/>
        <v>0</v>
      </c>
      <c r="H149" s="143"/>
      <c r="I149" s="140">
        <f>IFERROR(ROUND(CFwp_US_local!I149*I$1,),)</f>
        <v>0</v>
      </c>
      <c r="J149" s="140">
        <f>IFERROR(ROUND(CFwp_US_local!J149*J$1,),)</f>
        <v>0</v>
      </c>
      <c r="K149" s="140">
        <f>IFERROR(ROUND(CFwp_US_local!K149*K$1,),)</f>
        <v>0</v>
      </c>
      <c r="L149" s="140">
        <f>IFERROR(ROUND(CFwp_US_local!L149*L$1,),)</f>
        <v>0</v>
      </c>
      <c r="M149" s="140">
        <f>IFERROR(ROUND(CFwp_US_local!M149*M$1,),)</f>
        <v>0</v>
      </c>
      <c r="N149" s="140">
        <f>IFERROR(ROUND(CFwp_US_local!N149*N$1,),)</f>
        <v>0</v>
      </c>
      <c r="O149" s="140">
        <f>IFERROR(ROUND(CFwp_US_local!O149*O$1,),)</f>
        <v>0</v>
      </c>
      <c r="P149" s="140">
        <f>IFERROR(ROUND(CFwp_US_local!P149*P$1,),)</f>
        <v>0</v>
      </c>
      <c r="Q149" s="140">
        <f>IFERROR(ROUND(CFwp_US_local!Q149*Q$1,),)</f>
        <v>0</v>
      </c>
      <c r="R149" s="140">
        <f>IFERROR(ROUND(CFwp_US_local!R149*R$1,),)</f>
        <v>0</v>
      </c>
      <c r="S149" s="140">
        <f>IFERROR(ROUND(CFwp_US_local!S149*S$1,),)</f>
        <v>0</v>
      </c>
      <c r="T149" s="140">
        <f>IFERROR(ROUND(CFwp_US_local!T149*T$1,),)</f>
        <v>0</v>
      </c>
      <c r="U149" s="140">
        <f>IFERROR(ROUND(CFwp_US_local!U149*U$1,),)</f>
        <v>0</v>
      </c>
      <c r="V149" s="140">
        <f>IFERROR(ROUND(CFwp_US_local!V149*V$1,),)</f>
        <v>0</v>
      </c>
      <c r="W149" s="140">
        <f>IFERROR(ROUND(CFwp_US_local!W149*W$1,),)</f>
        <v>0</v>
      </c>
      <c r="X149" s="140">
        <f>IFERROR(ROUND(CFwp_US_local!X149*X$1,),)</f>
        <v>0</v>
      </c>
      <c r="Y149" s="145">
        <v>0</v>
      </c>
      <c r="Z149" s="145">
        <v>0</v>
      </c>
      <c r="AA149" s="182">
        <f t="shared" si="28"/>
        <v>0</v>
      </c>
      <c r="AB149" s="182">
        <f t="shared" si="29"/>
        <v>0</v>
      </c>
    </row>
    <row r="150" spans="2:28">
      <c r="B150" s="139" t="s">
        <v>290</v>
      </c>
      <c r="C150" s="139" t="s">
        <v>291</v>
      </c>
      <c r="D150" s="140">
        <v>-105876179</v>
      </c>
      <c r="E150" s="140">
        <v>-951140467</v>
      </c>
      <c r="F150" s="146">
        <f>E150-D150</f>
        <v>-845264288</v>
      </c>
      <c r="G150" s="146">
        <f>J150-K150+N150+O150-P150+Q150-R150-T150+V150-F150-W150+X150-Y150+Z150</f>
        <v>0</v>
      </c>
      <c r="H150" s="143" t="s">
        <v>291</v>
      </c>
      <c r="I150" s="140">
        <f>IFERROR(ROUND(CFwp_US_local!I150*I$1,),)</f>
        <v>-950422616</v>
      </c>
      <c r="J150" s="140">
        <f>IFERROR(ROUND(CFwp_US_local!J150*J$1,),)</f>
        <v>-950422616</v>
      </c>
      <c r="K150" s="140">
        <f>IFERROR(ROUND(CFwp_US_local!K150*K$1,),)</f>
        <v>0</v>
      </c>
      <c r="L150" s="140">
        <f>IFERROR(ROUND(CFwp_US_local!L150*L$1,),)</f>
        <v>0</v>
      </c>
      <c r="M150" s="140">
        <f>IFERROR(ROUND(CFwp_US_local!M150*M$1,),)</f>
        <v>0</v>
      </c>
      <c r="N150" s="140">
        <f>IFERROR(ROUND(CFwp_US_local!N150*N$1,),)</f>
        <v>0</v>
      </c>
      <c r="O150" s="140">
        <f>IFERROR(ROUND(CFwp_US_local!O150*O$1,),)</f>
        <v>0</v>
      </c>
      <c r="P150" s="140">
        <f>IFERROR(ROUND(CFwp_US_local!P150*P$1,),)</f>
        <v>0</v>
      </c>
      <c r="Q150" s="140">
        <f>IFERROR(ROUND(CFwp_US_local!Q150*Q$1,),)</f>
        <v>0</v>
      </c>
      <c r="R150" s="140">
        <f>IFERROR(ROUND(CFwp_US_local!R150*R$1,),)</f>
        <v>0</v>
      </c>
      <c r="S150" s="140">
        <f>IFERROR(ROUND(CFwp_US_local!S150*S$1,),)</f>
        <v>0</v>
      </c>
      <c r="T150" s="140">
        <f>IFERROR(ROUND(CFwp_US_local!T150*T$1,),)</f>
        <v>0</v>
      </c>
      <c r="U150" s="140">
        <f>IFERROR(ROUND(CFwp_US_local!U150*U$1,),)</f>
        <v>0</v>
      </c>
      <c r="V150" s="140">
        <f>IFERROR(ROUND(CFwp_US_local!V150*V$1,),)</f>
        <v>0</v>
      </c>
      <c r="W150" s="140">
        <f>IFERROR(ROUND(CFwp_US_local!W150*W$1,),)</f>
        <v>0</v>
      </c>
      <c r="X150" s="140">
        <f>IFERROR(ROUND(CFwp_US_local!X150*X$1,),)</f>
        <v>0</v>
      </c>
      <c r="Y150" s="145">
        <v>0</v>
      </c>
      <c r="Z150" s="145">
        <v>105158328</v>
      </c>
      <c r="AA150" s="182">
        <f t="shared" si="28"/>
        <v>0</v>
      </c>
      <c r="AB150" s="182">
        <f t="shared" si="29"/>
        <v>0</v>
      </c>
    </row>
    <row r="151" spans="2:28">
      <c r="B151" s="139" t="s">
        <v>292</v>
      </c>
      <c r="C151" s="139" t="s">
        <v>293</v>
      </c>
      <c r="D151" s="140">
        <v>0</v>
      </c>
      <c r="E151" s="140">
        <f>D150</f>
        <v>-105876179</v>
      </c>
      <c r="F151" s="146">
        <f>E151-D151</f>
        <v>-105876179</v>
      </c>
      <c r="G151" s="146">
        <f t="shared" si="32"/>
        <v>0</v>
      </c>
      <c r="H151" s="143"/>
      <c r="I151" s="140">
        <f>IFERROR(ROUND(CFwp_US_local!I151*I$1,),)</f>
        <v>0</v>
      </c>
      <c r="J151" s="140">
        <f>IFERROR(ROUND(CFwp_US_local!J151*J$1,),)</f>
        <v>0</v>
      </c>
      <c r="K151" s="140">
        <f>IFERROR(ROUND(CFwp_US_local!K151*K$1,),)</f>
        <v>0</v>
      </c>
      <c r="L151" s="140">
        <f>IFERROR(ROUND(CFwp_US_local!L151*L$1,),)</f>
        <v>0</v>
      </c>
      <c r="M151" s="140">
        <f>IFERROR(ROUND(CFwp_US_local!M151*M$1,),)</f>
        <v>0</v>
      </c>
      <c r="N151" s="140">
        <f>IFERROR(ROUND(CFwp_US_local!N151*N$1,),)</f>
        <v>0</v>
      </c>
      <c r="O151" s="140">
        <f>IFERROR(ROUND(CFwp_US_local!O151*O$1,),)</f>
        <v>0</v>
      </c>
      <c r="P151" s="140">
        <f>IFERROR(ROUND(CFwp_US_local!P151*P$1,),)</f>
        <v>0</v>
      </c>
      <c r="Q151" s="140">
        <f>IFERROR(ROUND(CFwp_US_local!Q151*Q$1,),)</f>
        <v>0</v>
      </c>
      <c r="R151" s="140">
        <f>IFERROR(ROUND(CFwp_US_local!R151*R$1,),)</f>
        <v>0</v>
      </c>
      <c r="S151" s="140">
        <f>IFERROR(ROUND(CFwp_US_local!S151*S$1,),)</f>
        <v>0</v>
      </c>
      <c r="T151" s="140">
        <f>IFERROR(ROUND(CFwp_US_local!T151*T$1,),)</f>
        <v>0</v>
      </c>
      <c r="U151" s="140">
        <f>IFERROR(ROUND(CFwp_US_local!U151*U$1,),)</f>
        <v>0</v>
      </c>
      <c r="V151" s="140">
        <f>IFERROR(ROUND(CFwp_US_local!V151*V$1,),)</f>
        <v>0</v>
      </c>
      <c r="W151" s="140">
        <f>IFERROR(ROUND(CFwp_US_local!W151*W$1,),)</f>
        <v>0</v>
      </c>
      <c r="X151" s="140">
        <f>IFERROR(ROUND(CFwp_US_local!X151*X$1,),)</f>
        <v>0</v>
      </c>
      <c r="Y151" s="145">
        <v>105876179</v>
      </c>
      <c r="Z151" s="145">
        <v>0</v>
      </c>
      <c r="AA151" s="182">
        <f t="shared" si="28"/>
        <v>0</v>
      </c>
      <c r="AB151" s="182">
        <f t="shared" si="29"/>
        <v>0</v>
      </c>
    </row>
    <row r="152" spans="2:28">
      <c r="B152" s="139"/>
      <c r="C152" s="139"/>
      <c r="D152" s="140"/>
      <c r="E152" s="140"/>
      <c r="F152" s="146"/>
      <c r="G152" s="146"/>
      <c r="H152" s="143"/>
      <c r="I152" s="140">
        <f>IFERROR(ROUND(CFwp_US_local!I152*I$1,),)</f>
        <v>0</v>
      </c>
      <c r="J152" s="140">
        <f>IFERROR(ROUND(CFwp_US_local!J152*J$1,),)</f>
        <v>0</v>
      </c>
      <c r="K152" s="140">
        <f>IFERROR(ROUND(CFwp_US_local!K152*K$1,),)</f>
        <v>0</v>
      </c>
      <c r="L152" s="140">
        <f>IFERROR(ROUND(CFwp_US_local!L152*L$1,),)</f>
        <v>0</v>
      </c>
      <c r="M152" s="140">
        <f>IFERROR(ROUND(CFwp_US_local!M152*M$1,),)</f>
        <v>0</v>
      </c>
      <c r="N152" s="140">
        <f>IFERROR(ROUND(CFwp_US_local!N152*N$1,),)</f>
        <v>0</v>
      </c>
      <c r="O152" s="140">
        <f>IFERROR(ROUND(CFwp_US_local!O152*O$1,),)</f>
        <v>0</v>
      </c>
      <c r="P152" s="140">
        <f>IFERROR(ROUND(CFwp_US_local!P152*P$1,),)</f>
        <v>0</v>
      </c>
      <c r="Q152" s="140">
        <f>IFERROR(ROUND(CFwp_US_local!Q152*Q$1,),)</f>
        <v>0</v>
      </c>
      <c r="R152" s="140">
        <f>IFERROR(ROUND(CFwp_US_local!R152*R$1,),)</f>
        <v>0</v>
      </c>
      <c r="S152" s="140">
        <f>IFERROR(ROUND(CFwp_US_local!S152*S$1,),)</f>
        <v>0</v>
      </c>
      <c r="T152" s="140">
        <f>IFERROR(ROUND(CFwp_US_local!T152*T$1,),)</f>
        <v>0</v>
      </c>
      <c r="U152" s="140">
        <f>IFERROR(ROUND(CFwp_US_local!U152*U$1,),)</f>
        <v>0</v>
      </c>
      <c r="V152" s="140">
        <f>IFERROR(ROUND(CFwp_US_local!V152*V$1,),)</f>
        <v>0</v>
      </c>
      <c r="W152" s="140">
        <f>IFERROR(ROUND(CFwp_US_local!W152*W$1,),)</f>
        <v>0</v>
      </c>
      <c r="X152" s="140">
        <f>IFERROR(ROUND(CFwp_US_local!X152*X$1,),)</f>
        <v>0</v>
      </c>
      <c r="Y152" s="145">
        <v>0</v>
      </c>
      <c r="Z152" s="145">
        <v>0</v>
      </c>
      <c r="AA152" s="182">
        <f t="shared" si="28"/>
        <v>0</v>
      </c>
      <c r="AB152" s="182">
        <f t="shared" si="29"/>
        <v>0</v>
      </c>
    </row>
    <row r="153" spans="2:28">
      <c r="B153" s="134"/>
      <c r="C153" s="134" t="s">
        <v>304</v>
      </c>
      <c r="D153" s="136">
        <f>D133+D136+D140+D146+D142</f>
        <v>1051923821</v>
      </c>
      <c r="E153" s="136">
        <f>E133+E136+E140+E146+E142</f>
        <v>658185545</v>
      </c>
      <c r="F153" s="152"/>
      <c r="G153" s="152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</row>
    <row r="154" spans="2:28">
      <c r="B154" s="134"/>
      <c r="C154" s="134" t="s">
        <v>305</v>
      </c>
      <c r="D154" s="136">
        <f>D153+D131</f>
        <v>1058515176</v>
      </c>
      <c r="E154" s="136">
        <f>E153+E131</f>
        <v>703119325</v>
      </c>
      <c r="F154" s="152"/>
      <c r="G154" s="152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</row>
    <row r="155" spans="2:28">
      <c r="D155" s="115" t="b">
        <f>D154=D100</f>
        <v>1</v>
      </c>
      <c r="E155" s="115" t="b">
        <f>E154=E100</f>
        <v>0</v>
      </c>
      <c r="I155" s="115"/>
      <c r="J155" s="115">
        <f t="shared" ref="J155:R155" si="33">SUM(J10:J152)</f>
        <v>-945588921</v>
      </c>
      <c r="K155" s="115">
        <f t="shared" si="33"/>
        <v>0</v>
      </c>
      <c r="L155" s="115">
        <f t="shared" si="33"/>
        <v>-115563048</v>
      </c>
      <c r="M155" s="115">
        <f t="shared" si="33"/>
        <v>0</v>
      </c>
      <c r="N155" s="115">
        <f t="shared" si="33"/>
        <v>-115563048</v>
      </c>
      <c r="O155" s="115">
        <f t="shared" si="33"/>
        <v>0</v>
      </c>
      <c r="P155" s="115">
        <f>SUM(P10:P152)</f>
        <v>9045704</v>
      </c>
      <c r="Q155" s="115">
        <f t="shared" si="33"/>
        <v>546100000</v>
      </c>
      <c r="R155" s="115">
        <f t="shared" si="33"/>
        <v>0</v>
      </c>
      <c r="T155" s="115">
        <f>SUM(T10:T152)</f>
        <v>0</v>
      </c>
      <c r="V155" s="115">
        <f>SUM(V10:V152)</f>
        <v>0</v>
      </c>
      <c r="W155" s="115">
        <f>SUM(W10:W152)</f>
        <v>0</v>
      </c>
      <c r="X155" s="115">
        <f>SUM(X10:X152)</f>
        <v>0</v>
      </c>
    </row>
    <row r="156" spans="2:28">
      <c r="E156" s="164"/>
      <c r="I156" s="115"/>
      <c r="X156" s="115"/>
    </row>
    <row r="157" spans="2:28">
      <c r="D157" s="115">
        <f>SUM(D146,D142)</f>
        <v>-127802192</v>
      </c>
      <c r="E157" s="115">
        <f>SUM(E146,E142)</f>
        <v>-1067640468</v>
      </c>
      <c r="I157" s="115"/>
      <c r="X157" s="115"/>
    </row>
    <row r="158" spans="2:28">
      <c r="B158" s="156"/>
      <c r="C158" s="156"/>
      <c r="D158" s="156" t="s">
        <v>599</v>
      </c>
      <c r="E158" s="157" t="s">
        <v>600</v>
      </c>
      <c r="H158" s="158" t="s">
        <v>601</v>
      </c>
      <c r="I158" s="159" t="s">
        <v>602</v>
      </c>
      <c r="J158" s="160" t="s">
        <v>603</v>
      </c>
      <c r="L158" s="114" t="s">
        <v>410</v>
      </c>
      <c r="M158" s="114" t="s">
        <v>428</v>
      </c>
      <c r="O158" s="114"/>
      <c r="P158" s="114" t="s">
        <v>604</v>
      </c>
      <c r="Q158" s="114" t="s">
        <v>605</v>
      </c>
      <c r="R158" s="114" t="s">
        <v>606</v>
      </c>
      <c r="X158" s="115"/>
    </row>
    <row r="159" spans="2:28">
      <c r="B159" s="114" t="s">
        <v>607</v>
      </c>
      <c r="D159" s="161">
        <f>D160+SUM(D164:D167)</f>
        <v>-1061151969</v>
      </c>
      <c r="E159" s="162"/>
      <c r="H159" s="139" t="str">
        <f>C10</f>
        <v>현금시재</v>
      </c>
      <c r="I159" s="140">
        <f t="shared" ref="I159:J162" si="34">L159</f>
        <v>0</v>
      </c>
      <c r="J159" s="140">
        <f t="shared" si="34"/>
        <v>0</v>
      </c>
      <c r="K159" s="114" t="s">
        <v>608</v>
      </c>
      <c r="L159" s="163"/>
      <c r="M159" s="163"/>
      <c r="O159" s="114" t="s">
        <v>441</v>
      </c>
      <c r="P159" s="164">
        <f>SUMIF($H$10:$H$152,O159,$I$10:$I$152)</f>
        <v>0</v>
      </c>
      <c r="Q159" s="164">
        <f>[197]정산표!L220</f>
        <v>83347124</v>
      </c>
      <c r="R159" s="164">
        <f>P159-Q159</f>
        <v>-83347124</v>
      </c>
      <c r="X159" s="115"/>
    </row>
    <row r="160" spans="2:28">
      <c r="B160" s="114" t="s">
        <v>609</v>
      </c>
      <c r="D160" s="161">
        <f>SUM(D161:D163)</f>
        <v>-1061151969</v>
      </c>
      <c r="E160" s="162"/>
      <c r="H160" s="139" t="s">
        <v>34</v>
      </c>
      <c r="I160" s="140">
        <f t="shared" si="34"/>
        <v>0</v>
      </c>
      <c r="J160" s="140">
        <f t="shared" si="34"/>
        <v>0</v>
      </c>
      <c r="K160" s="114" t="s">
        <v>34</v>
      </c>
      <c r="L160" s="163"/>
      <c r="M160" s="163"/>
      <c r="O160" s="114" t="s">
        <v>590</v>
      </c>
      <c r="P160" s="164">
        <f>SUMIF($H$10:$H$152,O160,$I$10:$I$152)</f>
        <v>0</v>
      </c>
      <c r="Q160" s="164">
        <f>[197]정산표!L227</f>
        <v>251878308</v>
      </c>
      <c r="R160" s="164">
        <f>P160-Q160</f>
        <v>-251878308</v>
      </c>
      <c r="X160" s="115"/>
    </row>
    <row r="161" spans="2:29">
      <c r="B161" s="114" t="s">
        <v>610</v>
      </c>
      <c r="D161" s="115">
        <f>I150</f>
        <v>-950422616</v>
      </c>
      <c r="E161" s="162"/>
      <c r="H161" s="139" t="s">
        <v>52</v>
      </c>
      <c r="I161" s="140">
        <f t="shared" si="34"/>
        <v>0</v>
      </c>
      <c r="J161" s="140">
        <f t="shared" si="34"/>
        <v>0</v>
      </c>
      <c r="K161" s="114" t="s">
        <v>611</v>
      </c>
      <c r="L161" s="163"/>
      <c r="M161" s="163"/>
      <c r="X161" s="115"/>
    </row>
    <row r="162" spans="2:29">
      <c r="B162" s="114" t="s">
        <v>612</v>
      </c>
      <c r="D162" s="115">
        <f>J155-K155-J150</f>
        <v>4833695</v>
      </c>
      <c r="E162" s="162"/>
      <c r="H162" s="139" t="str">
        <f>C102</f>
        <v>외상매입금</v>
      </c>
      <c r="I162" s="140">
        <f t="shared" si="34"/>
        <v>0</v>
      </c>
      <c r="J162" s="140">
        <f t="shared" si="34"/>
        <v>0</v>
      </c>
      <c r="K162" s="114" t="s">
        <v>189</v>
      </c>
      <c r="L162" s="163"/>
      <c r="M162" s="163"/>
      <c r="X162" s="115"/>
    </row>
    <row r="163" spans="2:29">
      <c r="B163" s="114" t="s">
        <v>613</v>
      </c>
      <c r="D163" s="115">
        <f>N155-SUM(D164:D167)</f>
        <v>-115563048</v>
      </c>
      <c r="E163" s="162"/>
      <c r="H163" s="139"/>
      <c r="I163" s="140"/>
      <c r="J163" s="140">
        <f>M161</f>
        <v>0</v>
      </c>
      <c r="L163" s="163"/>
      <c r="M163" s="163"/>
    </row>
    <row r="164" spans="2:29">
      <c r="B164" s="114" t="s">
        <v>614</v>
      </c>
      <c r="D164" s="115">
        <f>M24</f>
        <v>0</v>
      </c>
      <c r="E164" s="162"/>
      <c r="H164" s="165" t="s">
        <v>615</v>
      </c>
      <c r="I164" s="166">
        <f>SUM(I159:I163)</f>
        <v>0</v>
      </c>
      <c r="J164" s="166">
        <f>SUM(J159:J163)</f>
        <v>0</v>
      </c>
      <c r="L164" s="161">
        <f>SUM(L159:L163)</f>
        <v>0</v>
      </c>
      <c r="M164" s="161">
        <f>SUM(M159:M163)</f>
        <v>0</v>
      </c>
    </row>
    <row r="165" spans="2:29">
      <c r="B165" s="114" t="s">
        <v>616</v>
      </c>
      <c r="D165" s="115">
        <f>M115</f>
        <v>0</v>
      </c>
      <c r="E165" s="162"/>
      <c r="H165" s="114" t="s">
        <v>617</v>
      </c>
      <c r="I165" s="115"/>
      <c r="J165" s="115"/>
      <c r="L165" s="164">
        <f>SUMIF($H$10:$H$152,L158,$I$10:$I$152)-L164</f>
        <v>0</v>
      </c>
      <c r="M165" s="164">
        <f>SUMIF($H$10:$H$152,M158,$I$10:$I$152)-M164</f>
        <v>0</v>
      </c>
    </row>
    <row r="166" spans="2:29">
      <c r="B166" s="114" t="s">
        <v>618</v>
      </c>
      <c r="D166" s="115"/>
      <c r="E166" s="162"/>
      <c r="H166" s="114" t="s">
        <v>619</v>
      </c>
      <c r="I166" s="167">
        <f>I164-I165</f>
        <v>0</v>
      </c>
      <c r="J166" s="167">
        <f>J164-J165</f>
        <v>0</v>
      </c>
    </row>
    <row r="167" spans="2:29">
      <c r="B167" s="114" t="s">
        <v>620</v>
      </c>
      <c r="D167" s="115">
        <f>M114</f>
        <v>0</v>
      </c>
      <c r="E167" s="162"/>
    </row>
    <row r="168" spans="2:29">
      <c r="D168" s="115"/>
      <c r="E168" s="162"/>
    </row>
    <row r="169" spans="2:29">
      <c r="B169" s="114" t="s">
        <v>621</v>
      </c>
      <c r="D169" s="115">
        <f>D170-D171</f>
        <v>-9045704</v>
      </c>
      <c r="E169" s="162"/>
      <c r="H169" s="160" t="s">
        <v>622</v>
      </c>
      <c r="I169" s="160" t="s">
        <v>623</v>
      </c>
      <c r="J169" s="160" t="s">
        <v>624</v>
      </c>
      <c r="K169" s="160" t="s">
        <v>625</v>
      </c>
      <c r="L169" s="160" t="s">
        <v>626</v>
      </c>
    </row>
    <row r="170" spans="2:29">
      <c r="B170" s="114" t="s">
        <v>627</v>
      </c>
      <c r="D170" s="115">
        <f>O155+W10</f>
        <v>0</v>
      </c>
      <c r="E170" s="162"/>
      <c r="G170" s="168"/>
      <c r="H170" s="146" t="s">
        <v>131</v>
      </c>
      <c r="I170" s="140"/>
      <c r="J170" s="169"/>
      <c r="K170" s="169"/>
      <c r="L170" s="140">
        <f t="shared" ref="L170:L177" si="35">SUM(I170:K170)</f>
        <v>0</v>
      </c>
    </row>
    <row r="171" spans="2:29">
      <c r="B171" s="114" t="s">
        <v>628</v>
      </c>
      <c r="D171" s="115">
        <f>P155</f>
        <v>9045704</v>
      </c>
      <c r="E171" s="162"/>
      <c r="G171" s="168"/>
      <c r="H171" s="146"/>
      <c r="I171" s="140"/>
      <c r="J171" s="169"/>
      <c r="K171" s="169"/>
      <c r="L171" s="140"/>
    </row>
    <row r="172" spans="2:29">
      <c r="D172" s="115"/>
      <c r="E172" s="162"/>
      <c r="G172" s="168"/>
      <c r="H172" s="146" t="s">
        <v>629</v>
      </c>
      <c r="I172" s="140"/>
      <c r="J172" s="169"/>
      <c r="K172" s="169"/>
      <c r="L172" s="140">
        <f t="shared" si="35"/>
        <v>0</v>
      </c>
    </row>
    <row r="173" spans="2:29">
      <c r="B173" s="114" t="s">
        <v>631</v>
      </c>
      <c r="D173" s="115">
        <f>D174-D175</f>
        <v>546100000</v>
      </c>
      <c r="E173" s="162"/>
      <c r="G173" s="168"/>
      <c r="H173" s="146" t="s">
        <v>630</v>
      </c>
      <c r="I173" s="140"/>
      <c r="J173" s="169"/>
      <c r="K173" s="169"/>
      <c r="L173" s="140">
        <f t="shared" si="35"/>
        <v>0</v>
      </c>
      <c r="AA173" s="115"/>
      <c r="AB173" s="115"/>
      <c r="AC173" s="115"/>
    </row>
    <row r="174" spans="2:29" s="115" customFormat="1">
      <c r="B174" s="114" t="s">
        <v>633</v>
      </c>
      <c r="C174" s="114"/>
      <c r="D174" s="115">
        <f>Q155</f>
        <v>546100000</v>
      </c>
      <c r="E174" s="162"/>
      <c r="F174" s="114"/>
      <c r="G174" s="114"/>
      <c r="H174" s="146" t="s">
        <v>632</v>
      </c>
      <c r="I174" s="140"/>
      <c r="J174" s="169"/>
      <c r="K174" s="169"/>
      <c r="L174" s="140">
        <f t="shared" si="35"/>
        <v>0</v>
      </c>
      <c r="M174" s="114"/>
      <c r="X174" s="114"/>
      <c r="Y174" s="114"/>
      <c r="Z174" s="114"/>
    </row>
    <row r="175" spans="2:29" s="115" customFormat="1">
      <c r="B175" s="114" t="s">
        <v>635</v>
      </c>
      <c r="C175" s="114"/>
      <c r="D175" s="115">
        <f>R155</f>
        <v>0</v>
      </c>
      <c r="E175" s="162"/>
      <c r="F175" s="114"/>
      <c r="G175" s="114"/>
      <c r="H175" s="146" t="s">
        <v>634</v>
      </c>
      <c r="I175" s="140">
        <v>148038</v>
      </c>
      <c r="J175" s="169"/>
      <c r="K175" s="169"/>
      <c r="L175" s="140">
        <f t="shared" si="35"/>
        <v>148038</v>
      </c>
      <c r="M175" s="114"/>
      <c r="X175" s="114"/>
      <c r="Y175" s="114"/>
      <c r="Z175" s="114"/>
    </row>
    <row r="176" spans="2:29" s="115" customFormat="1">
      <c r="B176" s="114"/>
      <c r="C176" s="114"/>
      <c r="E176" s="162"/>
      <c r="F176" s="114"/>
      <c r="G176" s="114"/>
      <c r="H176" s="146" t="s">
        <v>636</v>
      </c>
      <c r="I176" s="140"/>
      <c r="J176" s="169"/>
      <c r="K176" s="169"/>
      <c r="L176" s="140">
        <f t="shared" si="35"/>
        <v>0</v>
      </c>
      <c r="M176" s="114"/>
      <c r="X176" s="114"/>
      <c r="Y176" s="114"/>
      <c r="Z176" s="114"/>
    </row>
    <row r="177" spans="2:29" s="115" customFormat="1">
      <c r="B177" s="114" t="s">
        <v>638</v>
      </c>
      <c r="C177" s="114"/>
      <c r="D177" s="115">
        <f>D159+D169+D173</f>
        <v>-524097673</v>
      </c>
      <c r="E177" s="162"/>
      <c r="F177" s="114"/>
      <c r="G177" s="114"/>
      <c r="H177" s="146" t="s">
        <v>637</v>
      </c>
      <c r="I177" s="140"/>
      <c r="J177" s="169"/>
      <c r="K177" s="169"/>
      <c r="L177" s="140">
        <f t="shared" si="35"/>
        <v>0</v>
      </c>
      <c r="M177" s="114"/>
      <c r="X177" s="114"/>
      <c r="Y177" s="114"/>
      <c r="Z177" s="114"/>
    </row>
    <row r="178" spans="2:29" s="115" customFormat="1">
      <c r="B178" s="114" t="s">
        <v>639</v>
      </c>
      <c r="C178" s="114"/>
      <c r="D178" s="161">
        <f>SUM(D10:D12)</f>
        <v>1049847886</v>
      </c>
      <c r="E178" s="162"/>
      <c r="F178" s="114"/>
      <c r="G178" s="114"/>
      <c r="H178" s="165" t="s">
        <v>615</v>
      </c>
      <c r="I178" s="166">
        <f>SUM(I170:I177)</f>
        <v>148038</v>
      </c>
      <c r="J178" s="166">
        <f>SUM(J170:J177)</f>
        <v>0</v>
      </c>
      <c r="K178" s="166">
        <f>SUM(K170:K177)</f>
        <v>0</v>
      </c>
      <c r="L178" s="166">
        <f>SUM(L170:L177)</f>
        <v>148038</v>
      </c>
      <c r="M178" s="115" t="b">
        <f>SUM(I178:K178)=L178</f>
        <v>1</v>
      </c>
      <c r="X178" s="114"/>
      <c r="Y178" s="114"/>
      <c r="Z178" s="114"/>
    </row>
    <row r="179" spans="2:29" s="115" customFormat="1">
      <c r="B179" s="114" t="s">
        <v>640</v>
      </c>
      <c r="C179" s="114"/>
      <c r="D179" s="115">
        <f>L159-M159-Z4</f>
        <v>20300003</v>
      </c>
      <c r="E179" s="162"/>
      <c r="F179" s="114"/>
      <c r="G179" s="114"/>
      <c r="H179" s="114" t="s">
        <v>617</v>
      </c>
      <c r="I179" s="115">
        <v>148038</v>
      </c>
      <c r="M179" s="114"/>
      <c r="X179" s="114"/>
      <c r="Y179" s="114"/>
      <c r="Z179" s="114"/>
    </row>
    <row r="180" spans="2:29" s="115" customFormat="1">
      <c r="B180" s="114" t="s">
        <v>641</v>
      </c>
      <c r="C180" s="114"/>
      <c r="D180" s="115">
        <f>D177+D178+D179</f>
        <v>546050216</v>
      </c>
      <c r="E180" s="162"/>
      <c r="F180" s="114"/>
      <c r="G180" s="114"/>
      <c r="H180" s="114" t="s">
        <v>619</v>
      </c>
      <c r="I180" s="167">
        <f>I178-I179</f>
        <v>0</v>
      </c>
      <c r="J180" s="114"/>
      <c r="K180" s="114"/>
      <c r="L180" s="114"/>
      <c r="M180" s="114"/>
      <c r="X180" s="114"/>
      <c r="Y180" s="114"/>
      <c r="Z180" s="114"/>
    </row>
    <row r="181" spans="2:29" s="115" customFormat="1">
      <c r="B181" s="114"/>
      <c r="C181" s="114"/>
      <c r="E181" s="162"/>
      <c r="F181" s="114"/>
      <c r="G181" s="114"/>
      <c r="H181" s="170"/>
      <c r="I181" s="114"/>
      <c r="J181" s="114"/>
      <c r="K181" s="114"/>
      <c r="L181" s="114"/>
      <c r="M181" s="114"/>
      <c r="X181" s="114"/>
      <c r="Y181" s="114"/>
      <c r="Z181" s="114"/>
    </row>
    <row r="182" spans="2:29" s="115" customFormat="1">
      <c r="B182" s="114" t="s">
        <v>643</v>
      </c>
      <c r="C182" s="114"/>
      <c r="D182" s="161">
        <f>SUM(E10:E12)</f>
        <v>1090050216</v>
      </c>
      <c r="E182" s="162"/>
      <c r="F182" s="114"/>
      <c r="G182" s="114"/>
      <c r="H182" s="160" t="s">
        <v>642</v>
      </c>
      <c r="I182" s="160" t="s">
        <v>623</v>
      </c>
      <c r="J182" s="160" t="s">
        <v>624</v>
      </c>
      <c r="K182" s="160" t="s">
        <v>625</v>
      </c>
      <c r="L182" s="160" t="s">
        <v>626</v>
      </c>
      <c r="M182" s="114"/>
      <c r="X182" s="114"/>
      <c r="Y182" s="114"/>
      <c r="Z182" s="114"/>
    </row>
    <row r="183" spans="2:29" s="115" customFormat="1">
      <c r="B183" s="114"/>
      <c r="C183" s="114"/>
      <c r="E183" s="162"/>
      <c r="F183" s="114"/>
      <c r="G183" s="114"/>
      <c r="H183" s="146" t="s">
        <v>176</v>
      </c>
      <c r="I183" s="140"/>
      <c r="J183" s="169"/>
      <c r="K183" s="169"/>
      <c r="L183" s="140"/>
      <c r="M183" s="114"/>
      <c r="X183" s="114"/>
      <c r="Y183" s="114"/>
      <c r="Z183" s="114"/>
    </row>
    <row r="184" spans="2:29" s="115" customFormat="1">
      <c r="B184" s="171" t="s">
        <v>600</v>
      </c>
      <c r="C184" s="114"/>
      <c r="D184" s="172">
        <f>D180-D182</f>
        <v>-544000000</v>
      </c>
      <c r="E184" s="173"/>
      <c r="F184" s="114"/>
      <c r="G184" s="114"/>
      <c r="H184" s="146" t="s">
        <v>174</v>
      </c>
      <c r="I184" s="140"/>
      <c r="J184" s="169"/>
      <c r="K184" s="169"/>
      <c r="L184" s="140"/>
      <c r="M184" s="114"/>
      <c r="X184" s="114"/>
      <c r="Y184" s="114"/>
      <c r="Z184" s="114"/>
    </row>
    <row r="185" spans="2:29" s="115" customFormat="1">
      <c r="B185" s="114"/>
      <c r="C185" s="114"/>
      <c r="F185" s="114"/>
      <c r="G185" s="114"/>
      <c r="H185" s="146" t="s">
        <v>644</v>
      </c>
      <c r="I185" s="140"/>
      <c r="J185" s="169"/>
      <c r="K185" s="169"/>
      <c r="L185" s="140"/>
      <c r="M185" s="114"/>
      <c r="X185" s="114"/>
      <c r="Y185" s="114"/>
      <c r="Z185" s="114"/>
    </row>
    <row r="186" spans="2:29" s="115" customFormat="1">
      <c r="B186" s="114"/>
      <c r="C186" s="114"/>
      <c r="D186" s="114"/>
      <c r="E186" s="114"/>
      <c r="F186" s="114"/>
      <c r="G186" s="114"/>
      <c r="H186" s="165" t="s">
        <v>615</v>
      </c>
      <c r="I186" s="166">
        <f>SUM(I183:I185)</f>
        <v>0</v>
      </c>
      <c r="J186" s="174">
        <f>SUM(J183:J185)</f>
        <v>0</v>
      </c>
      <c r="K186" s="174">
        <f>SUM(K183:K185)</f>
        <v>0</v>
      </c>
      <c r="L186" s="166">
        <f>SUM(L183:L185)</f>
        <v>0</v>
      </c>
      <c r="M186" s="114"/>
      <c r="X186" s="114"/>
      <c r="Y186" s="114"/>
      <c r="Z186" s="114"/>
    </row>
    <row r="187" spans="2:29" s="115" customFormat="1">
      <c r="B187" s="114"/>
      <c r="C187" s="114"/>
      <c r="D187" s="114"/>
      <c r="E187" s="114"/>
      <c r="F187" s="114"/>
      <c r="G187" s="114"/>
      <c r="H187" s="114" t="s">
        <v>617</v>
      </c>
      <c r="J187" s="114"/>
      <c r="K187" s="114"/>
      <c r="L187" s="114"/>
      <c r="M187" s="114"/>
      <c r="X187" s="114"/>
      <c r="Y187" s="114"/>
      <c r="Z187" s="114"/>
    </row>
    <row r="188" spans="2:29" s="115" customFormat="1">
      <c r="B188" s="114"/>
      <c r="C188" s="114"/>
      <c r="D188" s="114"/>
      <c r="E188" s="114"/>
      <c r="F188" s="114"/>
      <c r="G188" s="13"/>
      <c r="H188" s="114" t="s">
        <v>619</v>
      </c>
      <c r="I188" s="167">
        <f>I186-I187</f>
        <v>0</v>
      </c>
      <c r="J188" s="114"/>
      <c r="K188" s="114"/>
      <c r="L188" s="114"/>
      <c r="M188" s="114"/>
      <c r="X188" s="114"/>
      <c r="Y188" s="114"/>
      <c r="Z188" s="114"/>
    </row>
    <row r="189" spans="2:29" s="115" customFormat="1">
      <c r="B189" s="114"/>
      <c r="C189" s="114"/>
      <c r="D189" s="114"/>
      <c r="E189" s="114"/>
      <c r="F189" s="114"/>
      <c r="G189" s="13"/>
      <c r="H189" s="114"/>
      <c r="I189" s="114"/>
      <c r="J189" s="114"/>
      <c r="K189" s="114"/>
      <c r="L189" s="114"/>
      <c r="M189" s="114"/>
      <c r="X189" s="114"/>
      <c r="Y189" s="114"/>
      <c r="Z189" s="114"/>
      <c r="AA189" s="114"/>
      <c r="AB189" s="114"/>
      <c r="AC189" s="114"/>
    </row>
    <row r="190" spans="2:29">
      <c r="G190" s="13"/>
    </row>
    <row r="191" spans="2:29">
      <c r="G191" s="13"/>
      <c r="H191" s="175" t="s">
        <v>645</v>
      </c>
      <c r="I191" s="175" t="s">
        <v>646</v>
      </c>
      <c r="J191" s="175" t="s">
        <v>647</v>
      </c>
      <c r="K191" s="175" t="s">
        <v>648</v>
      </c>
      <c r="L191" s="175"/>
    </row>
    <row r="192" spans="2:29">
      <c r="G192" s="13"/>
      <c r="H192" s="176" t="s">
        <v>649</v>
      </c>
      <c r="I192" s="177"/>
      <c r="J192" s="177"/>
      <c r="K192" s="177"/>
      <c r="L192" s="177"/>
    </row>
    <row r="193" spans="8:12">
      <c r="H193" s="176" t="s">
        <v>650</v>
      </c>
      <c r="I193" s="177"/>
      <c r="J193" s="177"/>
      <c r="K193" s="177"/>
      <c r="L193" s="177"/>
    </row>
    <row r="194" spans="8:12">
      <c r="H194" s="176"/>
      <c r="I194" s="178">
        <f>SUM(I192:I193)</f>
        <v>0</v>
      </c>
      <c r="J194" s="178">
        <f>SUM(J192:J193)</f>
        <v>0</v>
      </c>
      <c r="K194" s="178">
        <f>SUM(K192:K193)</f>
        <v>0</v>
      </c>
      <c r="L194" s="178">
        <f>SUM(L192:L193)</f>
        <v>0</v>
      </c>
    </row>
    <row r="195" spans="8:12">
      <c r="H195" s="13"/>
      <c r="I195" s="13"/>
      <c r="J195" s="179">
        <f>J194-I194</f>
        <v>0</v>
      </c>
      <c r="K195" s="179">
        <f>K194-J194</f>
        <v>0</v>
      </c>
      <c r="L195" s="179">
        <f>L194-K194</f>
        <v>0</v>
      </c>
    </row>
    <row r="197" spans="8:12">
      <c r="H197" s="180" t="s">
        <v>651</v>
      </c>
      <c r="I197" s="181" t="s">
        <v>623</v>
      </c>
      <c r="J197" s="181" t="s">
        <v>624</v>
      </c>
      <c r="K197" s="181" t="s">
        <v>652</v>
      </c>
      <c r="L197" s="181" t="s">
        <v>653</v>
      </c>
    </row>
    <row r="198" spans="8:12">
      <c r="H198" s="182" t="s">
        <v>511</v>
      </c>
      <c r="I198" s="182"/>
      <c r="J198" s="182"/>
      <c r="K198" s="182"/>
      <c r="L198" s="182">
        <f>SUM(I198:K198)</f>
        <v>0</v>
      </c>
    </row>
    <row r="199" spans="8:12">
      <c r="H199" s="183" t="s">
        <v>653</v>
      </c>
      <c r="I199" s="183">
        <f>SUM(I198:I198)</f>
        <v>0</v>
      </c>
      <c r="J199" s="183">
        <f>SUM(J198:J198)</f>
        <v>0</v>
      </c>
      <c r="K199" s="183">
        <f>SUM(K198:K198)</f>
        <v>0</v>
      </c>
      <c r="L199" s="183">
        <f>SUM(L198:L198)</f>
        <v>0</v>
      </c>
    </row>
    <row r="200" spans="8:12">
      <c r="H200" s="182" t="s">
        <v>600</v>
      </c>
      <c r="I200" s="182"/>
      <c r="J200" s="182"/>
      <c r="K200" s="182"/>
      <c r="L200" s="182"/>
    </row>
    <row r="201" spans="8:12">
      <c r="H201" s="184"/>
      <c r="I201" s="182"/>
      <c r="J201" s="182"/>
      <c r="K201" s="182"/>
      <c r="L201" s="182"/>
    </row>
    <row r="202" spans="8:12">
      <c r="H202" s="180" t="s">
        <v>654</v>
      </c>
      <c r="I202" s="181" t="s">
        <v>655</v>
      </c>
      <c r="J202" s="181" t="s">
        <v>656</v>
      </c>
      <c r="K202" s="181" t="s">
        <v>657</v>
      </c>
      <c r="L202" s="181" t="s">
        <v>658</v>
      </c>
    </row>
    <row r="203" spans="8:12">
      <c r="H203" s="182" t="s">
        <v>659</v>
      </c>
      <c r="I203" s="182"/>
      <c r="J203" s="182"/>
      <c r="K203" s="182"/>
      <c r="L203" s="182"/>
    </row>
    <row r="204" spans="8:12">
      <c r="H204" s="182" t="s">
        <v>660</v>
      </c>
      <c r="I204" s="182"/>
      <c r="J204" s="182"/>
      <c r="K204" s="182"/>
      <c r="L204" s="182"/>
    </row>
    <row r="205" spans="8:12">
      <c r="H205" s="182" t="s">
        <v>661</v>
      </c>
      <c r="I205" s="182"/>
      <c r="J205" s="182"/>
      <c r="K205" s="182"/>
      <c r="L205" s="182"/>
    </row>
    <row r="206" spans="8:12">
      <c r="H206" s="182" t="s">
        <v>662</v>
      </c>
      <c r="I206" s="182"/>
      <c r="J206" s="182"/>
      <c r="K206" s="182"/>
      <c r="L206" s="182"/>
    </row>
    <row r="207" spans="8:12">
      <c r="H207" s="182" t="s">
        <v>663</v>
      </c>
      <c r="I207" s="182"/>
      <c r="J207" s="182"/>
      <c r="K207" s="182"/>
      <c r="L207" s="182"/>
    </row>
    <row r="208" spans="8:12">
      <c r="H208" s="182" t="s">
        <v>664</v>
      </c>
      <c r="I208" s="182"/>
      <c r="J208" s="182"/>
      <c r="K208" s="182"/>
      <c r="L208" s="182"/>
    </row>
    <row r="209" spans="8:12">
      <c r="H209" s="183" t="s">
        <v>653</v>
      </c>
      <c r="I209" s="183">
        <f>SUM(I203:I208)</f>
        <v>0</v>
      </c>
      <c r="J209" s="183">
        <f>SUM(J203:J208)</f>
        <v>0</v>
      </c>
      <c r="K209" s="183">
        <f>SUM(K203:K208)</f>
        <v>0</v>
      </c>
      <c r="L209" s="183">
        <f>SUM(L203:L208)</f>
        <v>0</v>
      </c>
    </row>
    <row r="210" spans="8:12">
      <c r="H210" s="185" t="s">
        <v>665</v>
      </c>
      <c r="I210" s="182"/>
      <c r="J210" s="182"/>
      <c r="K210" s="182"/>
      <c r="L210" s="182"/>
    </row>
    <row r="211" spans="8:12">
      <c r="H211" s="184"/>
      <c r="I211" s="182"/>
      <c r="J211" s="182"/>
      <c r="K211" s="182"/>
      <c r="L211" s="182"/>
    </row>
    <row r="212" spans="8:12">
      <c r="H212" s="180" t="s">
        <v>666</v>
      </c>
      <c r="I212" s="181" t="s">
        <v>667</v>
      </c>
      <c r="J212" s="181" t="s">
        <v>668</v>
      </c>
      <c r="K212" s="182"/>
      <c r="L212" s="182"/>
    </row>
    <row r="213" spans="8:12">
      <c r="H213" s="182" t="s">
        <v>669</v>
      </c>
      <c r="I213" s="182"/>
      <c r="J213" s="182"/>
      <c r="K213" s="182"/>
      <c r="L213" s="182"/>
    </row>
    <row r="214" spans="8:12">
      <c r="H214" s="182" t="s">
        <v>670</v>
      </c>
      <c r="I214" s="182"/>
      <c r="J214" s="182"/>
      <c r="K214" s="182"/>
      <c r="L214" s="182"/>
    </row>
    <row r="215" spans="8:12">
      <c r="H215" s="182" t="s">
        <v>131</v>
      </c>
      <c r="I215" s="182"/>
      <c r="J215" s="182"/>
      <c r="K215" s="182"/>
      <c r="L215" s="182"/>
    </row>
    <row r="216" spans="8:12">
      <c r="H216" s="182" t="s">
        <v>139</v>
      </c>
      <c r="I216" s="182"/>
      <c r="J216" s="182"/>
      <c r="K216" s="182"/>
      <c r="L216" s="182"/>
    </row>
    <row r="217" spans="8:12">
      <c r="H217" s="182" t="s">
        <v>145</v>
      </c>
      <c r="I217" s="182"/>
      <c r="J217" s="182"/>
      <c r="K217" s="182"/>
      <c r="L217" s="182"/>
    </row>
    <row r="218" spans="8:12">
      <c r="H218" s="182" t="s">
        <v>149</v>
      </c>
      <c r="I218" s="182"/>
      <c r="J218" s="182"/>
      <c r="K218" s="182"/>
      <c r="L218" s="182"/>
    </row>
    <row r="219" spans="8:12">
      <c r="H219" s="182" t="s">
        <v>155</v>
      </c>
      <c r="I219" s="186"/>
      <c r="J219" s="182"/>
      <c r="K219" s="182"/>
      <c r="L219" s="182"/>
    </row>
    <row r="220" spans="8:12">
      <c r="H220" s="182" t="s">
        <v>161</v>
      </c>
      <c r="I220" s="182"/>
      <c r="J220" s="182"/>
      <c r="K220" s="182"/>
      <c r="L220" s="182"/>
    </row>
    <row r="221" spans="8:12">
      <c r="H221" s="182" t="s">
        <v>671</v>
      </c>
      <c r="I221" s="182"/>
      <c r="J221" s="182"/>
      <c r="K221" s="182"/>
      <c r="L221" s="182"/>
    </row>
    <row r="222" spans="8:12">
      <c r="H222" s="182" t="s">
        <v>159</v>
      </c>
      <c r="I222" s="182"/>
      <c r="J222" s="182"/>
      <c r="K222" s="182"/>
      <c r="L222" s="182"/>
    </row>
    <row r="223" spans="8:12">
      <c r="H223" s="183" t="s">
        <v>653</v>
      </c>
      <c r="I223" s="183">
        <f>SUM(I213:I222)</f>
        <v>0</v>
      </c>
      <c r="J223" s="183">
        <f>SUM(J213:J222)</f>
        <v>0</v>
      </c>
      <c r="K223" s="182"/>
      <c r="L223" s="182"/>
    </row>
    <row r="224" spans="8:12">
      <c r="H224" s="185" t="s">
        <v>665</v>
      </c>
      <c r="I224" s="182"/>
      <c r="J224" s="182"/>
      <c r="K224" s="182"/>
      <c r="L224" s="182"/>
    </row>
    <row r="225" spans="8:12">
      <c r="H225" s="184"/>
      <c r="I225" s="182"/>
      <c r="J225" s="182"/>
      <c r="K225" s="182"/>
      <c r="L225" s="182"/>
    </row>
    <row r="226" spans="8:12">
      <c r="H226" s="180" t="s">
        <v>672</v>
      </c>
      <c r="I226" s="181" t="s">
        <v>653</v>
      </c>
      <c r="J226" s="182"/>
      <c r="K226" s="182"/>
      <c r="L226" s="182"/>
    </row>
    <row r="227" spans="8:12">
      <c r="H227" s="182" t="s">
        <v>673</v>
      </c>
      <c r="I227" s="182"/>
      <c r="J227" s="182"/>
      <c r="K227" s="182"/>
      <c r="L227" s="182"/>
    </row>
    <row r="228" spans="8:12">
      <c r="H228" s="182" t="s">
        <v>674</v>
      </c>
      <c r="I228" s="182"/>
      <c r="J228" s="182"/>
      <c r="K228" s="182"/>
      <c r="L228" s="182"/>
    </row>
    <row r="229" spans="8:12">
      <c r="H229" s="182" t="s">
        <v>675</v>
      </c>
      <c r="I229" s="182"/>
      <c r="J229" s="182"/>
      <c r="K229" s="182"/>
      <c r="L229" s="182"/>
    </row>
    <row r="230" spans="8:12">
      <c r="H230" s="182" t="s">
        <v>676</v>
      </c>
      <c r="I230" s="182"/>
      <c r="J230" s="182"/>
      <c r="K230" s="182"/>
      <c r="L230" s="182"/>
    </row>
    <row r="231" spans="8:12">
      <c r="H231" s="182" t="s">
        <v>677</v>
      </c>
      <c r="I231" s="182"/>
      <c r="J231" s="182"/>
      <c r="K231" s="182"/>
      <c r="L231" s="182"/>
    </row>
    <row r="232" spans="8:12">
      <c r="H232" s="182" t="s">
        <v>678</v>
      </c>
      <c r="I232" s="182"/>
      <c r="J232" s="182"/>
      <c r="K232" s="182"/>
      <c r="L232" s="182"/>
    </row>
    <row r="233" spans="8:12">
      <c r="H233" s="182" t="s">
        <v>679</v>
      </c>
      <c r="I233" s="182"/>
      <c r="J233" s="182"/>
      <c r="K233" s="182"/>
      <c r="L233" s="182"/>
    </row>
    <row r="234" spans="8:12">
      <c r="H234" s="183" t="s">
        <v>653</v>
      </c>
      <c r="I234" s="183">
        <f>SUM(I227:I233)</f>
        <v>0</v>
      </c>
      <c r="J234" s="182"/>
      <c r="K234" s="182"/>
      <c r="L234" s="182"/>
    </row>
    <row r="235" spans="8:12">
      <c r="H235" s="185" t="s">
        <v>600</v>
      </c>
      <c r="I235" s="182"/>
      <c r="J235" s="182"/>
      <c r="K235" s="182"/>
      <c r="L235" s="182"/>
    </row>
    <row r="236" spans="8:12">
      <c r="H236" s="182"/>
      <c r="I236" s="182"/>
      <c r="J236" s="182"/>
      <c r="K236" s="182"/>
      <c r="L236" s="182"/>
    </row>
    <row r="237" spans="8:12">
      <c r="H237" s="184"/>
      <c r="I237" s="182"/>
      <c r="J237" s="182"/>
      <c r="K237" s="182"/>
      <c r="L237" s="182"/>
    </row>
    <row r="238" spans="8:12">
      <c r="H238" s="180" t="s">
        <v>680</v>
      </c>
      <c r="I238" s="181" t="s">
        <v>681</v>
      </c>
      <c r="J238" s="181" t="s">
        <v>682</v>
      </c>
      <c r="K238" s="182"/>
      <c r="L238" s="182"/>
    </row>
    <row r="239" spans="8:12">
      <c r="H239" s="182" t="s">
        <v>683</v>
      </c>
      <c r="I239" s="182"/>
      <c r="J239" s="182"/>
      <c r="K239" s="182"/>
      <c r="L239" s="182"/>
    </row>
    <row r="240" spans="8:12">
      <c r="H240" s="182" t="s">
        <v>684</v>
      </c>
      <c r="I240" s="182"/>
      <c r="J240" s="182"/>
      <c r="K240" s="182"/>
      <c r="L240" s="182"/>
    </row>
    <row r="241" spans="8:12">
      <c r="H241" s="182" t="s">
        <v>685</v>
      </c>
      <c r="I241" s="182"/>
      <c r="J241" s="182"/>
      <c r="K241" s="182"/>
      <c r="L241" s="182"/>
    </row>
    <row r="242" spans="8:12">
      <c r="H242" s="183" t="s">
        <v>653</v>
      </c>
      <c r="I242" s="183">
        <f>SUM(I239:I241)</f>
        <v>0</v>
      </c>
      <c r="J242" s="183">
        <f>SUM(J239:J241)</f>
        <v>0</v>
      </c>
      <c r="K242" s="182"/>
      <c r="L242" s="182"/>
    </row>
    <row r="243" spans="8:12">
      <c r="H243" s="185" t="s">
        <v>665</v>
      </c>
      <c r="I243" s="182"/>
      <c r="J243" s="182"/>
      <c r="K243" s="182"/>
      <c r="L243" s="182"/>
    </row>
    <row r="244" spans="8:12">
      <c r="H244" s="182"/>
      <c r="I244" s="182"/>
      <c r="J244" s="182"/>
      <c r="K244" s="182"/>
      <c r="L244" s="182"/>
    </row>
    <row r="245" spans="8:12">
      <c r="H245" s="184" t="s">
        <v>686</v>
      </c>
      <c r="I245" s="182"/>
      <c r="J245" s="182"/>
      <c r="K245" s="182"/>
      <c r="L245" s="182"/>
    </row>
    <row r="246" spans="8:12">
      <c r="H246" s="180" t="s">
        <v>687</v>
      </c>
      <c r="I246" s="181" t="s">
        <v>688</v>
      </c>
      <c r="J246" s="181" t="s">
        <v>689</v>
      </c>
      <c r="K246" s="182"/>
      <c r="L246" s="182"/>
    </row>
    <row r="247" spans="8:12">
      <c r="H247" s="182" t="s">
        <v>690</v>
      </c>
      <c r="I247" s="182"/>
      <c r="J247" s="182"/>
      <c r="K247" s="182"/>
      <c r="L247" s="182"/>
    </row>
    <row r="248" spans="8:12">
      <c r="H248" s="182" t="s">
        <v>174</v>
      </c>
      <c r="I248" s="182"/>
      <c r="J248" s="182"/>
      <c r="K248" s="182"/>
      <c r="L248" s="182"/>
    </row>
    <row r="249" spans="8:12">
      <c r="H249" s="183" t="s">
        <v>653</v>
      </c>
      <c r="I249" s="183">
        <f>SUM(I247:I248)</f>
        <v>0</v>
      </c>
      <c r="J249" s="183">
        <f>SUM(J247:J248)</f>
        <v>0</v>
      </c>
      <c r="K249" s="182"/>
      <c r="L249" s="182"/>
    </row>
    <row r="250" spans="8:12">
      <c r="H250" s="185" t="s">
        <v>665</v>
      </c>
      <c r="I250" s="182"/>
      <c r="J250" s="182"/>
      <c r="K250" s="182"/>
      <c r="L250" s="182"/>
    </row>
    <row r="251" spans="8:12">
      <c r="H251" s="182"/>
      <c r="I251" s="182"/>
      <c r="J251" s="182"/>
      <c r="K251" s="182"/>
      <c r="L251" s="182"/>
    </row>
    <row r="252" spans="8:12">
      <c r="H252" s="184" t="s">
        <v>691</v>
      </c>
      <c r="I252" s="182"/>
      <c r="J252" s="182"/>
      <c r="K252" s="182"/>
      <c r="L252" s="182"/>
    </row>
    <row r="253" spans="8:12">
      <c r="H253" s="180" t="s">
        <v>692</v>
      </c>
      <c r="I253" s="181" t="s">
        <v>693</v>
      </c>
      <c r="J253" s="182"/>
      <c r="K253" s="182"/>
      <c r="L253" s="182"/>
    </row>
    <row r="254" spans="8:12">
      <c r="H254" s="182" t="s">
        <v>694</v>
      </c>
      <c r="I254" s="182"/>
      <c r="J254" s="182"/>
      <c r="K254" s="182"/>
      <c r="L254" s="182"/>
    </row>
    <row r="255" spans="8:12">
      <c r="H255" s="182" t="s">
        <v>695</v>
      </c>
      <c r="I255" s="182">
        <f>[197]정산표!L227</f>
        <v>251878308</v>
      </c>
      <c r="J255" s="182"/>
      <c r="K255" s="182"/>
      <c r="L255" s="182"/>
    </row>
    <row r="256" spans="8:12">
      <c r="H256" s="182" t="s">
        <v>696</v>
      </c>
      <c r="I256" s="182"/>
      <c r="J256" s="182"/>
      <c r="K256" s="182"/>
      <c r="L256" s="182"/>
    </row>
    <row r="257" spans="8:12">
      <c r="H257" s="182" t="s">
        <v>697</v>
      </c>
      <c r="I257" s="182"/>
      <c r="J257" s="182"/>
      <c r="K257" s="182"/>
      <c r="L257" s="182"/>
    </row>
    <row r="258" spans="8:12">
      <c r="H258" s="182" t="s">
        <v>698</v>
      </c>
      <c r="I258" s="187"/>
      <c r="J258" s="182"/>
      <c r="K258" s="182"/>
      <c r="L258" s="182"/>
    </row>
    <row r="259" spans="8:12">
      <c r="H259" s="182" t="s">
        <v>665</v>
      </c>
      <c r="I259" s="182">
        <f>SUM(I254:I257,-I258)</f>
        <v>251878308</v>
      </c>
      <c r="J259" s="182"/>
      <c r="K259" s="182"/>
      <c r="L259" s="182"/>
    </row>
    <row r="260" spans="8:12">
      <c r="H260" s="185"/>
      <c r="I260" s="182"/>
      <c r="J260" s="182"/>
      <c r="K260" s="182"/>
      <c r="L260" s="182"/>
    </row>
    <row r="261" spans="8:12">
      <c r="H261" s="182"/>
      <c r="I261" s="182"/>
      <c r="J261" s="182"/>
      <c r="K261" s="182"/>
      <c r="L261" s="182"/>
    </row>
  </sheetData>
  <mergeCells count="10">
    <mergeCell ref="B5:B6"/>
    <mergeCell ref="C5:C6"/>
    <mergeCell ref="F5:F6"/>
    <mergeCell ref="G5:G6"/>
    <mergeCell ref="O5:P5"/>
    <mergeCell ref="Q5:R5"/>
    <mergeCell ref="S5:V5"/>
    <mergeCell ref="W5:X5"/>
    <mergeCell ref="Y5:Z5"/>
    <mergeCell ref="D2:E3"/>
  </mergeCells>
  <phoneticPr fontId="2" type="noConversion"/>
  <conditionalFormatting sqref="F12 F16:F18 F20:F21">
    <cfRule type="expression" dxfId="310" priority="673">
      <formula>"&lt;&gt;0"</formula>
    </cfRule>
    <cfRule type="expression" dxfId="309" priority="671">
      <formula>"&gt;=0"</formula>
    </cfRule>
  </conditionalFormatting>
  <conditionalFormatting sqref="F12:F13">
    <cfRule type="expression" dxfId="308" priority="504">
      <formula>"&gt;&lt;0"</formula>
    </cfRule>
  </conditionalFormatting>
  <conditionalFormatting sqref="F13">
    <cfRule type="expression" dxfId="307" priority="503">
      <formula>"&gt;=0"</formula>
    </cfRule>
    <cfRule type="expression" dxfId="306" priority="505">
      <formula>"&lt;&gt;0"</formula>
    </cfRule>
  </conditionalFormatting>
  <conditionalFormatting sqref="F13:F15">
    <cfRule type="expression" priority="311">
      <formula>"""&gt;&lt;0"""</formula>
    </cfRule>
    <cfRule type="expression" dxfId="305" priority="314">
      <formula>"&gt;&lt;0"</formula>
    </cfRule>
  </conditionalFormatting>
  <conditionalFormatting sqref="F16:F21">
    <cfRule type="expression" dxfId="304" priority="439">
      <formula>"&gt;&lt;0"</formula>
    </cfRule>
  </conditionalFormatting>
  <conditionalFormatting sqref="F19">
    <cfRule type="expression" priority="436">
      <formula>"""&gt;&lt;0"""</formula>
    </cfRule>
  </conditionalFormatting>
  <conditionalFormatting sqref="F22">
    <cfRule type="expression" dxfId="303" priority="430">
      <formula>"&lt;&gt;0"</formula>
    </cfRule>
    <cfRule type="expression" dxfId="302" priority="428">
      <formula>"&gt;=0"</formula>
    </cfRule>
  </conditionalFormatting>
  <conditionalFormatting sqref="F22:F23">
    <cfRule type="expression" priority="416">
      <formula>"""&gt;&lt;0"""</formula>
    </cfRule>
    <cfRule type="expression" dxfId="301" priority="419">
      <formula>"&gt;&lt;0"</formula>
    </cfRule>
  </conditionalFormatting>
  <conditionalFormatting sqref="F33">
    <cfRule type="expression" priority="481">
      <formula>"""&gt;&lt;0"""</formula>
    </cfRule>
    <cfRule type="expression" dxfId="300" priority="482">
      <formula>"&gt;&lt;0"</formula>
    </cfRule>
    <cfRule type="expression" dxfId="299" priority="483">
      <formula>"&gt;=0"</formula>
    </cfRule>
    <cfRule type="expression" dxfId="298" priority="484">
      <formula>"&gt;&lt;0"</formula>
    </cfRule>
    <cfRule type="expression" dxfId="297" priority="485">
      <formula>"&lt;&gt;0"</formula>
    </cfRule>
  </conditionalFormatting>
  <conditionalFormatting sqref="F35:F45">
    <cfRule type="expression" dxfId="296" priority="65">
      <formula>"&lt;&gt;0"</formula>
    </cfRule>
    <cfRule type="expression" dxfId="295" priority="63">
      <formula>"&gt;=0"</formula>
    </cfRule>
    <cfRule type="expression" dxfId="294" priority="62">
      <formula>"&gt;&lt;0"</formula>
    </cfRule>
  </conditionalFormatting>
  <conditionalFormatting sqref="F35:F46">
    <cfRule type="expression" dxfId="293" priority="64">
      <formula>"&gt;&lt;0"</formula>
    </cfRule>
  </conditionalFormatting>
  <conditionalFormatting sqref="F35:F47">
    <cfRule type="expression" priority="61">
      <formula>"""&gt;&lt;0"""</formula>
    </cfRule>
  </conditionalFormatting>
  <conditionalFormatting sqref="F46">
    <cfRule type="expression" dxfId="292" priority="613">
      <formula>"&lt;&gt;0"</formula>
    </cfRule>
    <cfRule type="expression" dxfId="291" priority="611">
      <formula>"&gt;=0"</formula>
    </cfRule>
  </conditionalFormatting>
  <conditionalFormatting sqref="F46:F47">
    <cfRule type="expression" dxfId="290" priority="612">
      <formula>"&gt;&lt;0"</formula>
    </cfRule>
  </conditionalFormatting>
  <conditionalFormatting sqref="F50">
    <cfRule type="expression" dxfId="289" priority="668">
      <formula>"&lt;&gt;0"</formula>
    </cfRule>
    <cfRule type="expression" dxfId="288" priority="667">
      <formula>"&gt;&lt;0"</formula>
    </cfRule>
    <cfRule type="expression" dxfId="287" priority="666">
      <formula>"&gt;=0"</formula>
    </cfRule>
  </conditionalFormatting>
  <conditionalFormatting sqref="F50:F52">
    <cfRule type="expression" dxfId="286" priority="414">
      <formula>"&gt;&lt;0"</formula>
    </cfRule>
  </conditionalFormatting>
  <conditionalFormatting sqref="F51">
    <cfRule type="expression" dxfId="285" priority="413">
      <formula>"&gt;=0"</formula>
    </cfRule>
    <cfRule type="expression" dxfId="284" priority="415">
      <formula>"&lt;&gt;0"</formula>
    </cfRule>
    <cfRule type="expression" dxfId="283" priority="412">
      <formula>"&gt;&lt;0"</formula>
    </cfRule>
  </conditionalFormatting>
  <conditionalFormatting sqref="F52">
    <cfRule type="expression" dxfId="282" priority="500">
      <formula>"&lt;&gt;0"</formula>
    </cfRule>
    <cfRule type="expression" dxfId="281" priority="499">
      <formula>"&gt;&lt;0"</formula>
    </cfRule>
    <cfRule type="expression" dxfId="280" priority="498">
      <formula>"&gt;=0"</formula>
    </cfRule>
  </conditionalFormatting>
  <conditionalFormatting sqref="F53:F54">
    <cfRule type="expression" dxfId="279" priority="309">
      <formula>"&gt;&lt;0"</formula>
    </cfRule>
    <cfRule type="expression" dxfId="278" priority="310">
      <formula>"&lt;&gt;0"</formula>
    </cfRule>
    <cfRule type="expression" dxfId="277" priority="307">
      <formula>"&gt;&lt;0"</formula>
    </cfRule>
    <cfRule type="expression" dxfId="276" priority="308">
      <formula>"&gt;=0"</formula>
    </cfRule>
  </conditionalFormatting>
  <conditionalFormatting sqref="F55:F58">
    <cfRule type="expression" dxfId="275" priority="404">
      <formula>"&gt;&lt;0"</formula>
    </cfRule>
  </conditionalFormatting>
  <conditionalFormatting sqref="F57:F58">
    <cfRule type="expression" dxfId="274" priority="405">
      <formula>"&lt;&gt;0"</formula>
    </cfRule>
    <cfRule type="expression" dxfId="273" priority="403">
      <formula>"&gt;=0"</formula>
    </cfRule>
    <cfRule type="expression" dxfId="272" priority="402">
      <formula>"&gt;&lt;0"</formula>
    </cfRule>
  </conditionalFormatting>
  <conditionalFormatting sqref="F60:F62">
    <cfRule type="expression" dxfId="271" priority="274">
      <formula>"&gt;&lt;0"</formula>
    </cfRule>
  </conditionalFormatting>
  <conditionalFormatting sqref="F62">
    <cfRule type="expression" dxfId="270" priority="275">
      <formula>"&lt;&gt;0"</formula>
    </cfRule>
    <cfRule type="expression" dxfId="269" priority="273">
      <formula>"&gt;=0"</formula>
    </cfRule>
  </conditionalFormatting>
  <conditionalFormatting sqref="F62:F63">
    <cfRule type="expression" dxfId="268" priority="264">
      <formula>"&gt;&lt;0"</formula>
    </cfRule>
  </conditionalFormatting>
  <conditionalFormatting sqref="F63">
    <cfRule type="expression" dxfId="267" priority="263">
      <formula>"&gt;=0"</formula>
    </cfRule>
    <cfRule type="expression" dxfId="266" priority="265">
      <formula>"&lt;&gt;0"</formula>
    </cfRule>
  </conditionalFormatting>
  <conditionalFormatting sqref="F63:F64">
    <cfRule type="expression" dxfId="265" priority="254">
      <formula>"&gt;&lt;0"</formula>
    </cfRule>
  </conditionalFormatting>
  <conditionalFormatting sqref="F64">
    <cfRule type="expression" dxfId="264" priority="255">
      <formula>"&lt;&gt;0"</formula>
    </cfRule>
    <cfRule type="expression" dxfId="263" priority="253">
      <formula>"&gt;=0"</formula>
    </cfRule>
  </conditionalFormatting>
  <conditionalFormatting sqref="F64:F66">
    <cfRule type="expression" dxfId="262" priority="244">
      <formula>"&gt;&lt;0"</formula>
    </cfRule>
  </conditionalFormatting>
  <conditionalFormatting sqref="F65:F66">
    <cfRule type="expression" dxfId="261" priority="243">
      <formula>"&gt;=0"</formula>
    </cfRule>
    <cfRule type="expression" dxfId="260" priority="245">
      <formula>"&lt;&gt;0"</formula>
    </cfRule>
  </conditionalFormatting>
  <conditionalFormatting sqref="F65:F67">
    <cfRule type="expression" dxfId="259" priority="234">
      <formula>"&gt;&lt;0"</formula>
    </cfRule>
  </conditionalFormatting>
  <conditionalFormatting sqref="F67">
    <cfRule type="expression" dxfId="258" priority="233">
      <formula>"&gt;=0"</formula>
    </cfRule>
    <cfRule type="expression" dxfId="257" priority="235">
      <formula>"&lt;&gt;0"</formula>
    </cfRule>
  </conditionalFormatting>
  <conditionalFormatting sqref="F67:F68">
    <cfRule type="expression" dxfId="256" priority="224">
      <formula>"&gt;&lt;0"</formula>
    </cfRule>
  </conditionalFormatting>
  <conditionalFormatting sqref="F68">
    <cfRule type="expression" dxfId="255" priority="225">
      <formula>"&lt;&gt;0"</formula>
    </cfRule>
    <cfRule type="expression" dxfId="254" priority="223">
      <formula>"&gt;=0"</formula>
    </cfRule>
  </conditionalFormatting>
  <conditionalFormatting sqref="F68:F69">
    <cfRule type="expression" dxfId="253" priority="214">
      <formula>"&gt;&lt;0"</formula>
    </cfRule>
  </conditionalFormatting>
  <conditionalFormatting sqref="F69">
    <cfRule type="expression" dxfId="252" priority="215">
      <formula>"&lt;&gt;0"</formula>
    </cfRule>
    <cfRule type="expression" dxfId="251" priority="213">
      <formula>"&gt;=0"</formula>
    </cfRule>
  </conditionalFormatting>
  <conditionalFormatting sqref="F69:F70">
    <cfRule type="expression" dxfId="250" priority="204">
      <formula>"&gt;&lt;0"</formula>
    </cfRule>
  </conditionalFormatting>
  <conditionalFormatting sqref="F70">
    <cfRule type="expression" dxfId="249" priority="203">
      <formula>"&gt;=0"</formula>
    </cfRule>
    <cfRule type="expression" dxfId="248" priority="205">
      <formula>"&lt;&gt;0"</formula>
    </cfRule>
  </conditionalFormatting>
  <conditionalFormatting sqref="F70:F71">
    <cfRule type="expression" dxfId="247" priority="194">
      <formula>"&gt;&lt;0"</formula>
    </cfRule>
  </conditionalFormatting>
  <conditionalFormatting sqref="F71">
    <cfRule type="expression" dxfId="246" priority="193">
      <formula>"&gt;=0"</formula>
    </cfRule>
    <cfRule type="expression" dxfId="245" priority="195">
      <formula>"&lt;&gt;0"</formula>
    </cfRule>
  </conditionalFormatting>
  <conditionalFormatting sqref="F71:F72">
    <cfRule type="expression" dxfId="244" priority="184">
      <formula>"&gt;&lt;0"</formula>
    </cfRule>
  </conditionalFormatting>
  <conditionalFormatting sqref="F72">
    <cfRule type="expression" dxfId="243" priority="185">
      <formula>"&lt;&gt;0"</formula>
    </cfRule>
    <cfRule type="expression" dxfId="242" priority="183">
      <formula>"&gt;=0"</formula>
    </cfRule>
  </conditionalFormatting>
  <conditionalFormatting sqref="F72:F73">
    <cfRule type="expression" dxfId="241" priority="174">
      <formula>"&gt;&lt;0"</formula>
    </cfRule>
  </conditionalFormatting>
  <conditionalFormatting sqref="F73">
    <cfRule type="expression" dxfId="240" priority="173">
      <formula>"&gt;=0"</formula>
    </cfRule>
    <cfRule type="expression" dxfId="239" priority="175">
      <formula>"&lt;&gt;0"</formula>
    </cfRule>
  </conditionalFormatting>
  <conditionalFormatting sqref="F73:F74">
    <cfRule type="expression" dxfId="238" priority="164">
      <formula>"&gt;&lt;0"</formula>
    </cfRule>
  </conditionalFormatting>
  <conditionalFormatting sqref="F74">
    <cfRule type="expression" dxfId="237" priority="163">
      <formula>"&gt;=0"</formula>
    </cfRule>
    <cfRule type="expression" dxfId="236" priority="165">
      <formula>"&lt;&gt;0"</formula>
    </cfRule>
  </conditionalFormatting>
  <conditionalFormatting sqref="F74:F75">
    <cfRule type="expression" dxfId="235" priority="154">
      <formula>"&gt;&lt;0"</formula>
    </cfRule>
  </conditionalFormatting>
  <conditionalFormatting sqref="F75">
    <cfRule type="expression" dxfId="234" priority="153">
      <formula>"&gt;=0"</formula>
    </cfRule>
    <cfRule type="expression" dxfId="233" priority="155">
      <formula>"&lt;&gt;0"</formula>
    </cfRule>
  </conditionalFormatting>
  <conditionalFormatting sqref="F75:F76">
    <cfRule type="expression" dxfId="232" priority="144">
      <formula>"&gt;&lt;0"</formula>
    </cfRule>
  </conditionalFormatting>
  <conditionalFormatting sqref="F76">
    <cfRule type="expression" dxfId="231" priority="145">
      <formula>"&lt;&gt;0"</formula>
    </cfRule>
    <cfRule type="expression" dxfId="230" priority="143">
      <formula>"&gt;=0"</formula>
    </cfRule>
  </conditionalFormatting>
  <conditionalFormatting sqref="F76:F77">
    <cfRule type="expression" dxfId="229" priority="134">
      <formula>"&gt;&lt;0"</formula>
    </cfRule>
  </conditionalFormatting>
  <conditionalFormatting sqref="F77">
    <cfRule type="expression" dxfId="228" priority="135">
      <formula>"&lt;&gt;0"</formula>
    </cfRule>
    <cfRule type="expression" dxfId="227" priority="133">
      <formula>"&gt;=0"</formula>
    </cfRule>
  </conditionalFormatting>
  <conditionalFormatting sqref="F77:F78">
    <cfRule type="expression" dxfId="226" priority="124">
      <formula>"&gt;&lt;0"</formula>
    </cfRule>
  </conditionalFormatting>
  <conditionalFormatting sqref="F78">
    <cfRule type="expression" dxfId="225" priority="123">
      <formula>"&gt;=0"</formula>
    </cfRule>
    <cfRule type="expression" dxfId="224" priority="125">
      <formula>"&lt;&gt;0"</formula>
    </cfRule>
  </conditionalFormatting>
  <conditionalFormatting sqref="F78:F79">
    <cfRule type="expression" dxfId="223" priority="114">
      <formula>"&gt;&lt;0"</formula>
    </cfRule>
  </conditionalFormatting>
  <conditionalFormatting sqref="F79">
    <cfRule type="expression" dxfId="222" priority="115">
      <formula>"&lt;&gt;0"</formula>
    </cfRule>
    <cfRule type="expression" dxfId="221" priority="113">
      <formula>"&gt;=0"</formula>
    </cfRule>
  </conditionalFormatting>
  <conditionalFormatting sqref="F79:F81">
    <cfRule type="expression" dxfId="220" priority="104">
      <formula>"&gt;&lt;0"</formula>
    </cfRule>
  </conditionalFormatting>
  <conditionalFormatting sqref="F80">
    <cfRule type="expression" dxfId="219" priority="105">
      <formula>"&lt;&gt;0"</formula>
    </cfRule>
    <cfRule type="expression" dxfId="218" priority="103">
      <formula>"&gt;=0"</formula>
    </cfRule>
    <cfRule type="expression" dxfId="217" priority="102">
      <formula>"&gt;&lt;0"</formula>
    </cfRule>
  </conditionalFormatting>
  <conditionalFormatting sqref="F83:F89">
    <cfRule type="expression" dxfId="216" priority="663">
      <formula>"&lt;&gt;0"</formula>
    </cfRule>
    <cfRule type="expression" dxfId="215" priority="661">
      <formula>"&gt;=0"</formula>
    </cfRule>
    <cfRule type="expression" dxfId="214" priority="662">
      <formula>"&gt;&lt;0"</formula>
    </cfRule>
  </conditionalFormatting>
  <conditionalFormatting sqref="F91:F94">
    <cfRule type="expression" dxfId="213" priority="399">
      <formula>"&gt;&lt;0"</formula>
    </cfRule>
  </conditionalFormatting>
  <conditionalFormatting sqref="F94">
    <cfRule type="expression" dxfId="212" priority="398">
      <formula>"&gt;=0"</formula>
    </cfRule>
    <cfRule type="expression" dxfId="211" priority="400">
      <formula>"&lt;&gt;0"</formula>
    </cfRule>
  </conditionalFormatting>
  <conditionalFormatting sqref="F94:F95">
    <cfRule type="expression" dxfId="210" priority="289">
      <formula>"&gt;&lt;0"</formula>
    </cfRule>
  </conditionalFormatting>
  <conditionalFormatting sqref="F95">
    <cfRule type="expression" dxfId="209" priority="288">
      <formula>"&gt;=0"</formula>
    </cfRule>
    <cfRule type="expression" dxfId="208" priority="290">
      <formula>"&lt;&gt;0"</formula>
    </cfRule>
    <cfRule type="expression" dxfId="207" priority="287">
      <formula>"&gt;&lt;0"</formula>
    </cfRule>
  </conditionalFormatting>
  <conditionalFormatting sqref="F96">
    <cfRule type="expression" dxfId="206" priority="479">
      <formula>"&gt;&lt;0"</formula>
    </cfRule>
    <cfRule type="expression" dxfId="205" priority="478">
      <formula>"&gt;=0"</formula>
    </cfRule>
    <cfRule type="expression" dxfId="204" priority="480">
      <formula>"&lt;&gt;0"</formula>
    </cfRule>
  </conditionalFormatting>
  <conditionalFormatting sqref="F96:F99">
    <cfRule type="expression" dxfId="203" priority="389">
      <formula>"&gt;&lt;0"</formula>
    </cfRule>
  </conditionalFormatting>
  <conditionalFormatting sqref="F97:F98">
    <cfRule type="expression" dxfId="202" priority="390">
      <formula>"&lt;&gt;0"</formula>
    </cfRule>
    <cfRule type="expression" dxfId="201" priority="388">
      <formula>"&gt;=0"</formula>
    </cfRule>
    <cfRule type="expression" dxfId="200" priority="387">
      <formula>"&gt;&lt;0"</formula>
    </cfRule>
  </conditionalFormatting>
  <conditionalFormatting sqref="F99">
    <cfRule type="expression" dxfId="199" priority="470">
      <formula>"&lt;&gt;0"</formula>
    </cfRule>
    <cfRule type="expression" dxfId="198" priority="469">
      <formula>"&gt;&lt;0"</formula>
    </cfRule>
    <cfRule type="expression" dxfId="197" priority="468">
      <formula>"&gt;=0"</formula>
    </cfRule>
  </conditionalFormatting>
  <conditionalFormatting sqref="F102:F111 F113:F118">
    <cfRule type="expression" dxfId="196" priority="652">
      <formula>"&gt;&lt;0"</formula>
    </cfRule>
    <cfRule type="expression" dxfId="195" priority="647">
      <formula>"&gt;&lt;0"</formula>
    </cfRule>
    <cfRule type="expression" dxfId="194" priority="651">
      <formula>"&gt;=0"</formula>
    </cfRule>
    <cfRule type="expression" dxfId="193" priority="653">
      <formula>"&lt;&gt;0"</formula>
    </cfRule>
  </conditionalFormatting>
  <conditionalFormatting sqref="F103">
    <cfRule type="expression" dxfId="192" priority="601">
      <formula>"&gt;=0"</formula>
    </cfRule>
    <cfRule type="expression" dxfId="191" priority="603">
      <formula>"&lt;&gt;0"</formula>
    </cfRule>
    <cfRule type="expression" dxfId="190" priority="600">
      <formula>"&gt;&lt;0"</formula>
    </cfRule>
  </conditionalFormatting>
  <conditionalFormatting sqref="F106:F109">
    <cfRule type="expression" dxfId="189" priority="590">
      <formula>"&gt;&lt;0"</formula>
    </cfRule>
    <cfRule type="expression" dxfId="188" priority="591">
      <formula>"&gt;=0"</formula>
    </cfRule>
    <cfRule type="expression" dxfId="187" priority="593">
      <formula>"&lt;&gt;0"</formula>
    </cfRule>
  </conditionalFormatting>
  <conditionalFormatting sqref="F112">
    <cfRule type="expression" dxfId="186" priority="368">
      <formula>"&gt;=0"</formula>
    </cfRule>
    <cfRule type="expression" dxfId="185" priority="369">
      <formula>"&gt;&lt;0"</formula>
    </cfRule>
    <cfRule type="expression" dxfId="184" priority="370">
      <formula>"&lt;&gt;0"</formula>
    </cfRule>
    <cfRule type="expression" dxfId="183" priority="373">
      <formula>"&gt;=0"</formula>
    </cfRule>
    <cfRule type="expression" dxfId="182" priority="375">
      <formula>"&lt;&gt;0"</formula>
    </cfRule>
  </conditionalFormatting>
  <conditionalFormatting sqref="F119">
    <cfRule type="expression" dxfId="181" priority="348">
      <formula>"&gt;=0"</formula>
    </cfRule>
    <cfRule type="expression" dxfId="180" priority="355">
      <formula>"&lt;&gt;0"</formula>
    </cfRule>
    <cfRule type="expression" dxfId="179" priority="353">
      <formula>"&gt;=0"</formula>
    </cfRule>
    <cfRule type="expression" dxfId="178" priority="350">
      <formula>"&lt;&gt;0"</formula>
    </cfRule>
    <cfRule type="expression" dxfId="177" priority="349">
      <formula>"&gt;&lt;0"</formula>
    </cfRule>
  </conditionalFormatting>
  <conditionalFormatting sqref="F120">
    <cfRule type="expression" dxfId="176" priority="90">
      <formula>"&lt;&gt;0"</formula>
    </cfRule>
    <cfRule type="expression" dxfId="175" priority="88">
      <formula>"&gt;=0"</formula>
    </cfRule>
    <cfRule type="expression" dxfId="174" priority="83">
      <formula>"&gt;=0"</formula>
    </cfRule>
    <cfRule type="expression" dxfId="173" priority="85">
      <formula>"&lt;&gt;0"</formula>
    </cfRule>
    <cfRule type="expression" dxfId="172" priority="84">
      <formula>"&gt;&lt;0"</formula>
    </cfRule>
  </conditionalFormatting>
  <conditionalFormatting sqref="F122:F124">
    <cfRule type="expression" dxfId="171" priority="459">
      <formula>"&gt;&lt;0"</formula>
    </cfRule>
  </conditionalFormatting>
  <conditionalFormatting sqref="F124">
    <cfRule type="expression" dxfId="170" priority="460">
      <formula>"&lt;&gt;0"</formula>
    </cfRule>
    <cfRule type="expression" dxfId="169" priority="458">
      <formula>"&gt;=0"</formula>
    </cfRule>
  </conditionalFormatting>
  <conditionalFormatting sqref="F124:F126">
    <cfRule type="expression" dxfId="168" priority="74">
      <formula>"&gt;&lt;0"</formula>
    </cfRule>
  </conditionalFormatting>
  <conditionalFormatting sqref="F125">
    <cfRule type="expression" dxfId="167" priority="72">
      <formula>"&gt;&lt;0"</formula>
    </cfRule>
    <cfRule type="expression" dxfId="166" priority="73">
      <formula>"&gt;=0"</formula>
    </cfRule>
    <cfRule type="expression" dxfId="165" priority="75">
      <formula>"&lt;&gt;0"</formula>
    </cfRule>
  </conditionalFormatting>
  <conditionalFormatting sqref="F126">
    <cfRule type="expression" dxfId="164" priority="325">
      <formula>"&lt;&gt;0"</formula>
    </cfRule>
    <cfRule type="expression" dxfId="163" priority="324">
      <formula>"&gt;&lt;0"</formula>
    </cfRule>
    <cfRule type="expression" dxfId="162" priority="323">
      <formula>"&gt;=0"</formula>
    </cfRule>
  </conditionalFormatting>
  <conditionalFormatting sqref="F127">
    <cfRule type="expression" dxfId="161" priority="455">
      <formula>"&lt;&gt;0"</formula>
    </cfRule>
    <cfRule type="expression" dxfId="160" priority="453">
      <formula>"&gt;=0"</formula>
    </cfRule>
    <cfRule type="expression" dxfId="159" priority="454">
      <formula>"&gt;&lt;0"</formula>
    </cfRule>
  </conditionalFormatting>
  <conditionalFormatting sqref="F127:F128">
    <cfRule type="expression" dxfId="158" priority="449">
      <formula>"&gt;&lt;0"</formula>
    </cfRule>
  </conditionalFormatting>
  <conditionalFormatting sqref="F128">
    <cfRule type="expression" dxfId="157" priority="450">
      <formula>"&lt;&gt;0"</formula>
    </cfRule>
    <cfRule type="expression" dxfId="156" priority="448">
      <formula>"&gt;=0"</formula>
    </cfRule>
  </conditionalFormatting>
  <conditionalFormatting sqref="F128:F130">
    <cfRule type="expression" dxfId="155" priority="339">
      <formula>"&gt;&lt;0"</formula>
    </cfRule>
  </conditionalFormatting>
  <conditionalFormatting sqref="F129:F130">
    <cfRule type="expression" dxfId="154" priority="337">
      <formula>"&gt;&lt;0"</formula>
    </cfRule>
    <cfRule type="expression" dxfId="153" priority="338">
      <formula>"&gt;=0"</formula>
    </cfRule>
    <cfRule type="expression" dxfId="152" priority="340">
      <formula>"&lt;&gt;0"</formula>
    </cfRule>
  </conditionalFormatting>
  <conditionalFormatting sqref="F134:F135">
    <cfRule type="expression" dxfId="151" priority="643">
      <formula>"&lt;&gt;0"</formula>
    </cfRule>
    <cfRule type="expression" dxfId="150" priority="642">
      <formula>"&gt;&lt;0"</formula>
    </cfRule>
    <cfRule type="expression" dxfId="149" priority="641">
      <formula>"&gt;=0"</formula>
    </cfRule>
  </conditionalFormatting>
  <conditionalFormatting sqref="F137">
    <cfRule type="expression" dxfId="148" priority="638">
      <formula>"&lt;&gt;0"</formula>
    </cfRule>
    <cfRule type="expression" dxfId="147" priority="637">
      <formula>"&gt;&lt;0"</formula>
    </cfRule>
    <cfRule type="expression" dxfId="146" priority="636">
      <formula>"&gt;=0"</formula>
    </cfRule>
  </conditionalFormatting>
  <conditionalFormatting sqref="F137:F138">
    <cfRule type="expression" dxfId="145" priority="539">
      <formula>"&gt;&lt;0"</formula>
    </cfRule>
  </conditionalFormatting>
  <conditionalFormatting sqref="F138">
    <cfRule type="expression" dxfId="144" priority="540">
      <formula>"&lt;&gt;0"</formula>
    </cfRule>
    <cfRule type="expression" dxfId="143" priority="538">
      <formula>"&gt;=0"</formula>
    </cfRule>
  </conditionalFormatting>
  <conditionalFormatting sqref="F138:F139">
    <cfRule type="expression" dxfId="142" priority="529">
      <formula>"&gt;&lt;0"</formula>
    </cfRule>
  </conditionalFormatting>
  <conditionalFormatting sqref="F139">
    <cfRule type="expression" dxfId="141" priority="527">
      <formula>"&gt;&lt;0"</formula>
    </cfRule>
    <cfRule type="expression" dxfId="140" priority="528">
      <formula>"&gt;=0"</formula>
    </cfRule>
    <cfRule type="expression" dxfId="139" priority="530">
      <formula>"&lt;&gt;0"</formula>
    </cfRule>
  </conditionalFormatting>
  <conditionalFormatting sqref="F141">
    <cfRule type="expression" dxfId="138" priority="333">
      <formula>"&gt;=0"</formula>
    </cfRule>
    <cfRule type="expression" dxfId="137" priority="334">
      <formula>"&gt;&lt;0"</formula>
    </cfRule>
    <cfRule type="expression" dxfId="136" priority="335">
      <formula>"&lt;&gt;0"</formula>
    </cfRule>
  </conditionalFormatting>
  <conditionalFormatting sqref="F143:F145">
    <cfRule type="expression" dxfId="135" priority="633">
      <formula>"&lt;&gt;0"</formula>
    </cfRule>
    <cfRule type="expression" dxfId="134" priority="632">
      <formula>"&gt;&lt;0"</formula>
    </cfRule>
    <cfRule type="expression" dxfId="133" priority="631">
      <formula>"&gt;=0"</formula>
    </cfRule>
  </conditionalFormatting>
  <conditionalFormatting sqref="F147:F150">
    <cfRule type="expression" dxfId="132" priority="299">
      <formula>"&gt;&lt;0"</formula>
    </cfRule>
  </conditionalFormatting>
  <conditionalFormatting sqref="F148">
    <cfRule type="expression" dxfId="131" priority="298">
      <formula>"&gt;=0"</formula>
    </cfRule>
    <cfRule type="expression" dxfId="130" priority="297">
      <formula>"&gt;&lt;0"</formula>
    </cfRule>
    <cfRule type="expression" dxfId="129" priority="300">
      <formula>"&lt;&gt;0"</formula>
    </cfRule>
  </conditionalFormatting>
  <conditionalFormatting sqref="F149:F150">
    <cfRule type="expression" dxfId="128" priority="520">
      <formula>"&lt;&gt;0"</formula>
    </cfRule>
    <cfRule type="expression" dxfId="127" priority="518">
      <formula>"&gt;=0"</formula>
    </cfRule>
  </conditionalFormatting>
  <conditionalFormatting sqref="F149:F152">
    <cfRule type="expression" dxfId="126" priority="519">
      <formula>"&gt;&lt;0"</formula>
    </cfRule>
  </conditionalFormatting>
  <conditionalFormatting sqref="F12:G12 F16:G18 F20:G21">
    <cfRule type="expression" priority="669">
      <formula>"""&gt;&lt;0"""</formula>
    </cfRule>
    <cfRule type="expression" dxfId="125" priority="672">
      <formula>"&gt;&lt;0"</formula>
    </cfRule>
  </conditionalFormatting>
  <conditionalFormatting sqref="F14:G15">
    <cfRule type="expression" dxfId="124" priority="315">
      <formula>"&lt;&gt;0"</formula>
    </cfRule>
    <cfRule type="expression" dxfId="123" priority="312">
      <formula>"&gt;&lt;0"</formula>
    </cfRule>
    <cfRule type="expression" dxfId="122" priority="313">
      <formula>"&gt;=0"</formula>
    </cfRule>
  </conditionalFormatting>
  <conditionalFormatting sqref="F19:G19">
    <cfRule type="expression" dxfId="121" priority="440">
      <formula>"&lt;&gt;0"</formula>
    </cfRule>
    <cfRule type="expression" dxfId="120" priority="437">
      <formula>"&gt;&lt;0"</formula>
    </cfRule>
    <cfRule type="expression" dxfId="119" priority="438">
      <formula>"&gt;=0"</formula>
    </cfRule>
  </conditionalFormatting>
  <conditionalFormatting sqref="F22:G22">
    <cfRule type="expression" dxfId="118" priority="429">
      <formula>"&gt;&lt;0"</formula>
    </cfRule>
  </conditionalFormatting>
  <conditionalFormatting sqref="F23:G23">
    <cfRule type="expression" dxfId="117" priority="418">
      <formula>"&gt;=0"</formula>
    </cfRule>
    <cfRule type="expression" dxfId="116" priority="417">
      <formula>"&gt;&lt;0"</formula>
    </cfRule>
    <cfRule type="expression" dxfId="115" priority="420">
      <formula>"&lt;&gt;0"</formula>
    </cfRule>
  </conditionalFormatting>
  <conditionalFormatting sqref="F24:G31 F47 F55:F56 F60:F61 F81 F91:F93 F122:F123 F147 F151:F152">
    <cfRule type="expression" dxfId="114" priority="627">
      <formula>"&gt;&lt;0"</formula>
    </cfRule>
    <cfRule type="expression" dxfId="113" priority="628">
      <formula>"&lt;&gt;0"</formula>
    </cfRule>
  </conditionalFormatting>
  <conditionalFormatting sqref="F24:G31 F47 F151:F152 F122:F123 F55:F56 F91:F93 F147 F60:F61 F81">
    <cfRule type="expression" dxfId="112" priority="626">
      <formula>"&gt;=0"</formula>
    </cfRule>
  </conditionalFormatting>
  <conditionalFormatting sqref="F24:G31">
    <cfRule type="expression" dxfId="111" priority="625">
      <formula>"&gt;&lt;0"</formula>
    </cfRule>
  </conditionalFormatting>
  <conditionalFormatting sqref="F24:G32">
    <cfRule type="expression" priority="6">
      <formula>"""&gt;&lt;0"""</formula>
    </cfRule>
  </conditionalFormatting>
  <conditionalFormatting sqref="F32:G32">
    <cfRule type="expression" dxfId="110" priority="10">
      <formula>"&lt;&gt;0"</formula>
    </cfRule>
    <cfRule type="expression" dxfId="109" priority="4">
      <formula>"&gt;&lt;0"</formula>
    </cfRule>
    <cfRule type="expression" dxfId="108" priority="8">
      <formula>"&gt;=0"</formula>
    </cfRule>
    <cfRule type="expression" dxfId="107" priority="9">
      <formula>"&gt;&lt;0"</formula>
    </cfRule>
  </conditionalFormatting>
  <conditionalFormatting sqref="F50:G58">
    <cfRule type="expression" priority="56">
      <formula>"""&gt;&lt;0"""</formula>
    </cfRule>
  </conditionalFormatting>
  <conditionalFormatting sqref="F60:G81">
    <cfRule type="expression" priority="51">
      <formula>"""&gt;&lt;0"""</formula>
    </cfRule>
  </conditionalFormatting>
  <conditionalFormatting sqref="F83:G89">
    <cfRule type="expression" priority="46">
      <formula>"""&gt;&lt;0"""</formula>
    </cfRule>
    <cfRule type="expression" dxfId="106" priority="49">
      <formula>"&gt;&lt;0"</formula>
    </cfRule>
  </conditionalFormatting>
  <conditionalFormatting sqref="F91:G99">
    <cfRule type="expression" priority="41">
      <formula>"""&gt;&lt;0"""</formula>
    </cfRule>
  </conditionalFormatting>
  <conditionalFormatting sqref="F102:G120">
    <cfRule type="expression" priority="76">
      <formula>"""&gt;&lt;0"""</formula>
    </cfRule>
  </conditionalFormatting>
  <conditionalFormatting sqref="F103:G103">
    <cfRule type="expression" dxfId="105" priority="602">
      <formula>"&gt;&lt;0"</formula>
    </cfRule>
  </conditionalFormatting>
  <conditionalFormatting sqref="F106:G111">
    <cfRule type="expression" dxfId="104" priority="592">
      <formula>"&gt;&lt;0"</formula>
    </cfRule>
  </conditionalFormatting>
  <conditionalFormatting sqref="F110:G111 F113:G118">
    <cfRule type="expression" dxfId="103" priority="623">
      <formula>"&lt;&gt;0"</formula>
    </cfRule>
    <cfRule type="expression" dxfId="102" priority="621">
      <formula>"&gt;=0"</formula>
    </cfRule>
  </conditionalFormatting>
  <conditionalFormatting sqref="F112:G112">
    <cfRule type="expression" dxfId="101" priority="364">
      <formula>"&gt;&lt;0"</formula>
    </cfRule>
  </conditionalFormatting>
  <conditionalFormatting sqref="F112:G118">
    <cfRule type="expression" dxfId="100" priority="374">
      <formula>"&gt;&lt;0"</formula>
    </cfRule>
  </conditionalFormatting>
  <conditionalFormatting sqref="F119:G119">
    <cfRule type="expression" dxfId="99" priority="354">
      <formula>"&gt;&lt;0"</formula>
    </cfRule>
    <cfRule type="expression" dxfId="98" priority="344">
      <formula>"&gt;&lt;0"</formula>
    </cfRule>
  </conditionalFormatting>
  <conditionalFormatting sqref="F120:G120">
    <cfRule type="expression" dxfId="97" priority="79">
      <formula>"&gt;&lt;0"</formula>
    </cfRule>
    <cfRule type="expression" dxfId="96" priority="89">
      <formula>"&gt;&lt;0"</formula>
    </cfRule>
  </conditionalFormatting>
  <conditionalFormatting sqref="F122:G130">
    <cfRule type="expression" priority="36">
      <formula>"""&gt;&lt;0"""</formula>
    </cfRule>
  </conditionalFormatting>
  <conditionalFormatting sqref="F134:G135">
    <cfRule type="expression" priority="31">
      <formula>"""&gt;&lt;0"""</formula>
    </cfRule>
    <cfRule type="expression" dxfId="95" priority="34">
      <formula>"&gt;&lt;0"</formula>
    </cfRule>
  </conditionalFormatting>
  <conditionalFormatting sqref="F137:G139">
    <cfRule type="expression" priority="26">
      <formula>"""&gt;&lt;0"""</formula>
    </cfRule>
  </conditionalFormatting>
  <conditionalFormatting sqref="F141:G141">
    <cfRule type="expression" dxfId="94" priority="24">
      <formula>"&gt;&lt;0"</formula>
    </cfRule>
    <cfRule type="expression" priority="21">
      <formula>"""&gt;&lt;0"""</formula>
    </cfRule>
  </conditionalFormatting>
  <conditionalFormatting sqref="F143:G145">
    <cfRule type="expression" priority="16">
      <formula>"""&gt;&lt;0"""</formula>
    </cfRule>
    <cfRule type="expression" dxfId="93" priority="19">
      <formula>"&gt;&lt;0"</formula>
    </cfRule>
  </conditionalFormatting>
  <conditionalFormatting sqref="F147:G152">
    <cfRule type="expression" priority="11">
      <formula>"""&gt;&lt;0"""</formula>
    </cfRule>
  </conditionalFormatting>
  <conditionalFormatting sqref="G12 G16:G18 G20:G21">
    <cfRule type="expression" dxfId="92" priority="678">
      <formula>"&lt;&gt;0"</formula>
    </cfRule>
    <cfRule type="expression" dxfId="91" priority="676">
      <formula>"&gt;=0"</formula>
    </cfRule>
    <cfRule type="expression" dxfId="90" priority="677">
      <formula>"&gt;&lt;0"</formula>
    </cfRule>
  </conditionalFormatting>
  <conditionalFormatting sqref="G13:G31 G33:G34">
    <cfRule type="expression" dxfId="89" priority="510">
      <formula>"&lt;&gt;0"</formula>
    </cfRule>
    <cfRule type="expression" dxfId="88" priority="509">
      <formula>"&gt;&lt;0"</formula>
    </cfRule>
  </conditionalFormatting>
  <conditionalFormatting sqref="G13:G31">
    <cfRule type="expression" dxfId="87" priority="444">
      <formula>"&gt;&lt;0"</formula>
    </cfRule>
  </conditionalFormatting>
  <conditionalFormatting sqref="G13:G47">
    <cfRule type="expression" priority="1">
      <formula>"""&gt;&lt;0"""</formula>
    </cfRule>
  </conditionalFormatting>
  <conditionalFormatting sqref="G14:G15">
    <cfRule type="expression" dxfId="86" priority="319">
      <formula>"&gt;&lt;0"</formula>
    </cfRule>
  </conditionalFormatting>
  <conditionalFormatting sqref="G22">
    <cfRule type="expression" dxfId="85" priority="433">
      <formula>"&gt;=0"</formula>
    </cfRule>
    <cfRule type="expression" dxfId="84" priority="434">
      <formula>"&gt;&lt;0"</formula>
    </cfRule>
    <cfRule type="expression" dxfId="83" priority="435">
      <formula>"&lt;&gt;0"</formula>
    </cfRule>
  </conditionalFormatting>
  <conditionalFormatting sqref="G23">
    <cfRule type="expression" dxfId="82" priority="424">
      <formula>"&gt;&lt;0"</formula>
    </cfRule>
  </conditionalFormatting>
  <conditionalFormatting sqref="G32">
    <cfRule type="expression" dxfId="81" priority="2">
      <formula>"&gt;&lt;0"</formula>
    </cfRule>
    <cfRule type="expression" dxfId="80" priority="5">
      <formula>"&lt;&gt;0"</formula>
    </cfRule>
    <cfRule type="expression" dxfId="79" priority="3">
      <formula>"&gt;=0"</formula>
    </cfRule>
  </conditionalFormatting>
  <conditionalFormatting sqref="G33:G34 G13:G31">
    <cfRule type="expression" dxfId="78" priority="508">
      <formula>"&gt;=0"</formula>
    </cfRule>
  </conditionalFormatting>
  <conditionalFormatting sqref="G33:G34">
    <cfRule type="expression" dxfId="77" priority="490">
      <formula>"&lt;&gt;0"</formula>
    </cfRule>
    <cfRule type="expression" dxfId="76" priority="488">
      <formula>"&gt;=0"</formula>
    </cfRule>
    <cfRule type="expression" dxfId="75" priority="489">
      <formula>"&gt;&lt;0"</formula>
    </cfRule>
  </conditionalFormatting>
  <conditionalFormatting sqref="G33:G47">
    <cfRule type="expression" dxfId="74" priority="69">
      <formula>"&gt;&lt;0"</formula>
    </cfRule>
  </conditionalFormatting>
  <conditionalFormatting sqref="G35:G47">
    <cfRule type="expression" dxfId="73" priority="70">
      <formula>"&lt;&gt;0"</formula>
    </cfRule>
    <cfRule type="expression" dxfId="72" priority="68">
      <formula>"&gt;=0"</formula>
    </cfRule>
    <cfRule type="expression" dxfId="71" priority="67">
      <formula>"&gt;&lt;0"</formula>
    </cfRule>
  </conditionalFormatting>
  <conditionalFormatting sqref="G50:G58">
    <cfRule type="expression" dxfId="70" priority="57">
      <formula>"&gt;&lt;0"</formula>
    </cfRule>
    <cfRule type="expression" dxfId="69" priority="60">
      <formula>"&lt;&gt;0"</formula>
    </cfRule>
    <cfRule type="expression" dxfId="68" priority="59">
      <formula>"&gt;&lt;0"</formula>
    </cfRule>
    <cfRule type="expression" dxfId="67" priority="58">
      <formula>"&gt;=0"</formula>
    </cfRule>
  </conditionalFormatting>
  <conditionalFormatting sqref="G60:G81">
    <cfRule type="expression" dxfId="66" priority="53">
      <formula>"&gt;=0"</formula>
    </cfRule>
    <cfRule type="expression" dxfId="65" priority="55">
      <formula>"&lt;&gt;0"</formula>
    </cfRule>
    <cfRule type="expression" dxfId="64" priority="52">
      <formula>"&gt;&lt;0"</formula>
    </cfRule>
    <cfRule type="expression" dxfId="63" priority="54">
      <formula>"&gt;&lt;0"</formula>
    </cfRule>
  </conditionalFormatting>
  <conditionalFormatting sqref="G83:G89">
    <cfRule type="expression" dxfId="62" priority="47">
      <formula>"&gt;&lt;0"</formula>
    </cfRule>
    <cfRule type="expression" dxfId="61" priority="48">
      <formula>"&gt;=0"</formula>
    </cfRule>
    <cfRule type="expression" dxfId="60" priority="50">
      <formula>"&lt;&gt;0"</formula>
    </cfRule>
  </conditionalFormatting>
  <conditionalFormatting sqref="G91:G99">
    <cfRule type="expression" dxfId="59" priority="45">
      <formula>"&lt;&gt;0"</formula>
    </cfRule>
    <cfRule type="expression" dxfId="58" priority="44">
      <formula>"&gt;&lt;0"</formula>
    </cfRule>
    <cfRule type="expression" dxfId="57" priority="42">
      <formula>"&gt;&lt;0"</formula>
    </cfRule>
    <cfRule type="expression" dxfId="56" priority="43">
      <formula>"&gt;=0"</formula>
    </cfRule>
  </conditionalFormatting>
  <conditionalFormatting sqref="G102:G120">
    <cfRule type="expression" dxfId="55" priority="622">
      <formula>"&gt;&lt;0"</formula>
    </cfRule>
    <cfRule type="expression" dxfId="54" priority="656">
      <formula>"&gt;=0"</formula>
    </cfRule>
    <cfRule type="expression" dxfId="53" priority="657">
      <formula>"&gt;&lt;0"</formula>
    </cfRule>
    <cfRule type="expression" dxfId="52" priority="658">
      <formula>"&lt;&gt;0"</formula>
    </cfRule>
  </conditionalFormatting>
  <conditionalFormatting sqref="G103">
    <cfRule type="expression" dxfId="51" priority="606">
      <formula>"&gt;=0"</formula>
    </cfRule>
    <cfRule type="expression" dxfId="50" priority="608">
      <formula>"&lt;&gt;0"</formula>
    </cfRule>
    <cfRule type="expression" dxfId="49" priority="607">
      <formula>"&gt;&lt;0"</formula>
    </cfRule>
  </conditionalFormatting>
  <conditionalFormatting sqref="G106:G109">
    <cfRule type="expression" dxfId="48" priority="596">
      <formula>"&gt;=0"</formula>
    </cfRule>
    <cfRule type="expression" dxfId="47" priority="598">
      <formula>"&lt;&gt;0"</formula>
    </cfRule>
    <cfRule type="expression" dxfId="46" priority="597">
      <formula>"&gt;&lt;0"</formula>
    </cfRule>
  </conditionalFormatting>
  <conditionalFormatting sqref="G112">
    <cfRule type="expression" dxfId="45" priority="362">
      <formula>"&gt;&lt;0"</formula>
    </cfRule>
    <cfRule type="expression" dxfId="44" priority="363">
      <formula>"&gt;=0"</formula>
    </cfRule>
    <cfRule type="expression" dxfId="43" priority="365">
      <formula>"&lt;&gt;0"</formula>
    </cfRule>
    <cfRule type="expression" dxfId="42" priority="380">
      <formula>"&lt;&gt;0"</formula>
    </cfRule>
    <cfRule type="expression" dxfId="41" priority="379">
      <formula>"&gt;&lt;0"</formula>
    </cfRule>
    <cfRule type="expression" dxfId="40" priority="378">
      <formula>"&gt;=0"</formula>
    </cfRule>
  </conditionalFormatting>
  <conditionalFormatting sqref="G119">
    <cfRule type="expression" dxfId="39" priority="359">
      <formula>"&gt;&lt;0"</formula>
    </cfRule>
    <cfRule type="expression" dxfId="38" priority="360">
      <formula>"&lt;&gt;0"</formula>
    </cfRule>
    <cfRule type="expression" dxfId="37" priority="358">
      <formula>"&gt;=0"</formula>
    </cfRule>
    <cfRule type="expression" dxfId="36" priority="343">
      <formula>"&gt;=0"</formula>
    </cfRule>
    <cfRule type="expression" dxfId="35" priority="345">
      <formula>"&lt;&gt;0"</formula>
    </cfRule>
  </conditionalFormatting>
  <conditionalFormatting sqref="G119:G120">
    <cfRule type="expression" dxfId="34" priority="94">
      <formula>"&gt;&lt;0"</formula>
    </cfRule>
  </conditionalFormatting>
  <conditionalFormatting sqref="G120">
    <cfRule type="expression" dxfId="33" priority="95">
      <formula>"&lt;&gt;0"</formula>
    </cfRule>
    <cfRule type="expression" dxfId="32" priority="93">
      <formula>"&gt;=0"</formula>
    </cfRule>
    <cfRule type="expression" dxfId="31" priority="80">
      <formula>"&lt;&gt;0"</formula>
    </cfRule>
    <cfRule type="expression" dxfId="30" priority="78">
      <formula>"&gt;=0"</formula>
    </cfRule>
    <cfRule type="expression" dxfId="29" priority="77">
      <formula>"&gt;&lt;0"</formula>
    </cfRule>
  </conditionalFormatting>
  <conditionalFormatting sqref="G122:G130">
    <cfRule type="expression" dxfId="28" priority="37">
      <formula>"&gt;&lt;0"</formula>
    </cfRule>
    <cfRule type="expression" dxfId="27" priority="39">
      <formula>"&gt;&lt;0"</formula>
    </cfRule>
    <cfRule type="expression" dxfId="26" priority="38">
      <formula>"&gt;=0"</formula>
    </cfRule>
    <cfRule type="expression" dxfId="25" priority="40">
      <formula>"&lt;&gt;0"</formula>
    </cfRule>
  </conditionalFormatting>
  <conditionalFormatting sqref="G134:G135">
    <cfRule type="expression" dxfId="24" priority="35">
      <formula>"&lt;&gt;0"</formula>
    </cfRule>
    <cfRule type="expression" dxfId="23" priority="33">
      <formula>"&gt;=0"</formula>
    </cfRule>
    <cfRule type="expression" dxfId="22" priority="32">
      <formula>"&gt;&lt;0"</formula>
    </cfRule>
  </conditionalFormatting>
  <conditionalFormatting sqref="G137:G139">
    <cfRule type="expression" dxfId="21" priority="27">
      <formula>"&gt;&lt;0"</formula>
    </cfRule>
    <cfRule type="expression" dxfId="20" priority="30">
      <formula>"&lt;&gt;0"</formula>
    </cfRule>
    <cfRule type="expression" dxfId="19" priority="29">
      <formula>"&gt;&lt;0"</formula>
    </cfRule>
    <cfRule type="expression" dxfId="18" priority="28">
      <formula>"&gt;=0"</formula>
    </cfRule>
  </conditionalFormatting>
  <conditionalFormatting sqref="G141">
    <cfRule type="expression" dxfId="17" priority="25">
      <formula>"&lt;&gt;0"</formula>
    </cfRule>
    <cfRule type="expression" dxfId="16" priority="23">
      <formula>"&gt;=0"</formula>
    </cfRule>
    <cfRule type="expression" dxfId="15" priority="22">
      <formula>"&gt;&lt;0"</formula>
    </cfRule>
  </conditionalFormatting>
  <conditionalFormatting sqref="G143:G145">
    <cfRule type="expression" dxfId="14" priority="20">
      <formula>"&lt;&gt;0"</formula>
    </cfRule>
    <cfRule type="expression" dxfId="13" priority="18">
      <formula>"&gt;=0"</formula>
    </cfRule>
    <cfRule type="expression" dxfId="12" priority="17">
      <formula>"&gt;&lt;0"</formula>
    </cfRule>
  </conditionalFormatting>
  <conditionalFormatting sqref="G147:G151">
    <cfRule type="expression" dxfId="11" priority="13">
      <formula>"&gt;=0"</formula>
    </cfRule>
    <cfRule type="expression" dxfId="10" priority="15">
      <formula>"&lt;&gt;0"</formula>
    </cfRule>
    <cfRule type="expression" dxfId="9" priority="12">
      <formula>"&gt;&lt;0"</formula>
    </cfRule>
  </conditionalFormatting>
  <conditionalFormatting sqref="G147:G152">
    <cfRule type="expression" dxfId="8" priority="14">
      <formula>"&gt;&lt;0"</formula>
    </cfRule>
  </conditionalFormatting>
  <conditionalFormatting sqref="G152">
    <cfRule type="expression" dxfId="7" priority="553">
      <formula>"&lt;&gt;0"</formula>
    </cfRule>
    <cfRule type="expression" dxfId="6" priority="552">
      <formula>"&gt;&lt;0"</formula>
    </cfRule>
    <cfRule type="expression" dxfId="5" priority="551">
      <formula>"&gt;=0"</formula>
    </cfRule>
  </conditionalFormatting>
  <conditionalFormatting sqref="I200:J200">
    <cfRule type="cellIs" dxfId="4" priority="541" stopIfTrue="1" operator="notEqual">
      <formula>0</formula>
    </cfRule>
  </conditionalFormatting>
  <conditionalFormatting sqref="I235:J235">
    <cfRule type="cellIs" dxfId="3" priority="542" operator="notEqual">
      <formula>0</formula>
    </cfRule>
    <cfRule type="cellIs" dxfId="2" priority="544" stopIfTrue="1" operator="notEqual">
      <formula>0</formula>
    </cfRule>
  </conditionalFormatting>
  <conditionalFormatting sqref="I260:J260">
    <cfRule type="cellIs" dxfId="1" priority="545" stopIfTrue="1" operator="notEqual">
      <formula>0</formula>
    </cfRule>
  </conditionalFormatting>
  <conditionalFormatting sqref="L200 I210:L210 I224:J224 I243:J243 I250:J250">
    <cfRule type="cellIs" dxfId="0" priority="548" stopIfTrue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FX</vt:lpstr>
      <vt:lpstr>A-1. 별도FS_18</vt:lpstr>
      <vt:lpstr>A-1. 별도FS_19</vt:lpstr>
      <vt:lpstr>A-1. 별도FS_20</vt:lpstr>
      <vt:lpstr>C.연결조정 정산표_20</vt:lpstr>
      <vt:lpstr>공시CF</vt:lpstr>
      <vt:lpstr>B.연결조정분개 요약표</vt:lpstr>
      <vt:lpstr>CFwp_Aggregated</vt:lpstr>
      <vt:lpstr>CFwp_Korea</vt:lpstr>
      <vt:lpstr>CFwp_US_local</vt:lpstr>
      <vt:lpstr>CFwp_US_KRW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Shin, Hyoung Jin</cp:lastModifiedBy>
  <dcterms:created xsi:type="dcterms:W3CDTF">2020-07-21T07:17:11Z</dcterms:created>
  <dcterms:modified xsi:type="dcterms:W3CDTF">2025-09-15T05:29:11Z</dcterms:modified>
</cp:coreProperties>
</file>